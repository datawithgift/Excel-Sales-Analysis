
<file path=[Content_Types].xml><?xml version="1.0" encoding="utf-8"?>
<Types xmlns="http://schemas.openxmlformats.org/package/2006/content-types">
  <Default Extension="png" ContentType="image/png"/>
  <Default Extension="rels" ContentType="application/vnd.openxmlformats-package.relationships+xml"/>
  <Default Extension="svg" ContentType="image/svg+xml"/>
  <Default Extension="wdp" ContentType="image/vnd.ms-photo"/>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drawings/drawing2.xml" ContentType="application/vnd.openxmlformats-officedocument.drawing+xml"/>
  <Override PartName="/xl/slicers/slicer2.xml" ContentType="application/vnd.ms-excel.slicer+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alcChain.xml" ContentType="application/vnd.openxmlformats-officedocument.spreadsheetml.calcChain+xml"/>
  <Override PartName="/xl/webextensions/taskpanes.xml" ContentType="application/vnd.ms-office.webextensiontaskpanes+xml"/>
  <Override PartName="/xl/webextensions/webextension1.xml" ContentType="application/vnd.ms-office.webextensio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11/relationships/webextensiontaskpanes" Target="xl/webextensions/taskpanes.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codeName="ThisWorkbook" hidePivotFieldList="1"/>
  <mc:AlternateContent xmlns:mc="http://schemas.openxmlformats.org/markup-compatibility/2006">
    <mc:Choice Requires="x15">
      <x15ac:absPath xmlns:x15ac="http://schemas.microsoft.com/office/spreadsheetml/2010/11/ac" url="C:\Users\HP\Documents\"/>
    </mc:Choice>
  </mc:AlternateContent>
  <xr:revisionPtr revIDLastSave="0" documentId="13_ncr:1_{DEE6BCE9-96EF-49E9-9608-18AA9DCB480A}" xr6:coauthVersionLast="47" xr6:coauthVersionMax="47" xr10:uidLastSave="{00000000-0000-0000-0000-000000000000}"/>
  <workbookProtection workbookAlgorithmName="SHA-512" workbookHashValue="Ay+NDVPkwBqFp3Q7/uk4PI3s+JW2anEWrHO/C1qwZ/zgFBH9lt32lGu7k6PLowhGHVL2tPmKEz4YhyVbjsh3WA==" workbookSaltValue="avnrMoJMK0+GrkiZWMEWfA==" workbookSpinCount="100000" lockStructure="1"/>
  <bookViews>
    <workbookView xWindow="-120" yWindow="-120" windowWidth="20730" windowHeight="11160" tabRatio="597" xr2:uid="{00000000-000D-0000-FFFF-FFFF00000000}"/>
  </bookViews>
  <sheets>
    <sheet name="Sales Data" sheetId="13" r:id="rId1"/>
    <sheet name="Working Sheet" sheetId="1" r:id="rId2"/>
    <sheet name="Pivot Table &amp; Chart" sheetId="12" r:id="rId3"/>
    <sheet name="Dashboard" sheetId="6" r:id="rId4"/>
    <sheet name="Key Insights &amp; Findings" sheetId="14" r:id="rId5"/>
  </sheets>
  <definedNames>
    <definedName name="Slicer_Category">#N/A</definedName>
    <definedName name="Slicer_Region1">#N/A</definedName>
  </definedNames>
  <calcPr calcId="191029"/>
  <pivotCaches>
    <pivotCache cacheId="0" r:id="rId6"/>
  </pivotCaches>
  <extLst>
    <ext xmlns:x14="http://schemas.microsoft.com/office/spreadsheetml/2009/9/main" uri="{BBE1A952-AA13-448e-AADC-164F8A28A991}">
      <x14:slicerCaches>
        <x14:slicerCache r:id="rId7"/>
        <x14:slicerCache r:id="rId8"/>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N2100" i="1" l="1"/>
  <c r="C2" i="1"/>
  <c r="C3" i="1"/>
  <c r="C4" i="1"/>
  <c r="C5" i="1"/>
  <c r="C6" i="1"/>
  <c r="C7" i="1"/>
  <c r="C8" i="1"/>
  <c r="C9" i="1"/>
  <c r="C10" i="1"/>
  <c r="C11" i="1"/>
  <c r="C12" i="1"/>
  <c r="C13" i="1"/>
  <c r="C14" i="1"/>
  <c r="C15" i="1"/>
  <c r="C16" i="1"/>
  <c r="C17" i="1"/>
  <c r="C18" i="1"/>
  <c r="C19" i="1"/>
  <c r="C20" i="1"/>
  <c r="C21" i="1"/>
  <c r="C22" i="1"/>
  <c r="C23" i="1"/>
  <c r="C24" i="1"/>
  <c r="C25" i="1"/>
  <c r="C26" i="1"/>
  <c r="C27" i="1"/>
  <c r="C28" i="1"/>
  <c r="C29" i="1"/>
  <c r="C30" i="1"/>
  <c r="C31" i="1"/>
  <c r="C32" i="1"/>
  <c r="C33" i="1"/>
  <c r="C34" i="1"/>
  <c r="C35" i="1"/>
  <c r="C36" i="1"/>
  <c r="C37" i="1"/>
  <c r="C38" i="1"/>
  <c r="C39" i="1"/>
  <c r="C40" i="1"/>
  <c r="C41" i="1"/>
  <c r="C42" i="1"/>
  <c r="C43" i="1"/>
  <c r="C44" i="1"/>
  <c r="C45" i="1"/>
  <c r="C46" i="1"/>
  <c r="C47" i="1"/>
  <c r="C48" i="1"/>
  <c r="C49" i="1"/>
  <c r="C50" i="1"/>
  <c r="C51" i="1"/>
  <c r="C52" i="1"/>
  <c r="C53" i="1"/>
  <c r="C54" i="1"/>
  <c r="C55" i="1"/>
  <c r="C56" i="1"/>
  <c r="C57" i="1"/>
  <c r="C58" i="1"/>
  <c r="C59" i="1"/>
  <c r="C60" i="1"/>
  <c r="C61" i="1"/>
  <c r="C62" i="1"/>
  <c r="C63" i="1"/>
  <c r="C64" i="1"/>
  <c r="C65" i="1"/>
  <c r="C66" i="1"/>
  <c r="C67" i="1"/>
  <c r="C68" i="1"/>
  <c r="C69" i="1"/>
  <c r="C70" i="1"/>
  <c r="C71" i="1"/>
  <c r="C72" i="1"/>
  <c r="C73" i="1"/>
  <c r="C74" i="1"/>
  <c r="C75" i="1"/>
  <c r="C76" i="1"/>
  <c r="C77" i="1"/>
  <c r="C78" i="1"/>
  <c r="C79" i="1"/>
  <c r="C80" i="1"/>
  <c r="C81" i="1"/>
  <c r="C82" i="1"/>
  <c r="C83" i="1"/>
  <c r="C84" i="1"/>
  <c r="C85" i="1"/>
  <c r="C86" i="1"/>
  <c r="C87" i="1"/>
  <c r="C88" i="1"/>
  <c r="C89" i="1"/>
  <c r="C90" i="1"/>
  <c r="C91" i="1"/>
  <c r="C92" i="1"/>
  <c r="C93" i="1"/>
  <c r="C94" i="1"/>
  <c r="C95" i="1"/>
  <c r="C96" i="1"/>
  <c r="C97" i="1"/>
  <c r="C98" i="1"/>
  <c r="C99" i="1"/>
  <c r="C100" i="1"/>
  <c r="C101" i="1"/>
  <c r="C102" i="1"/>
  <c r="C103" i="1"/>
  <c r="C104" i="1"/>
  <c r="C105" i="1"/>
  <c r="C106" i="1"/>
  <c r="C107" i="1"/>
  <c r="C108" i="1"/>
  <c r="C109" i="1"/>
  <c r="C110" i="1"/>
  <c r="C111" i="1"/>
  <c r="C112" i="1"/>
  <c r="C113" i="1"/>
  <c r="C114" i="1"/>
  <c r="C115" i="1"/>
  <c r="C116" i="1"/>
  <c r="C117" i="1"/>
  <c r="C118" i="1"/>
  <c r="C119" i="1"/>
  <c r="C120" i="1"/>
  <c r="C121" i="1"/>
  <c r="C122" i="1"/>
  <c r="C123" i="1"/>
  <c r="C124" i="1"/>
  <c r="C125" i="1"/>
  <c r="C126" i="1"/>
  <c r="C127" i="1"/>
  <c r="C128" i="1"/>
  <c r="C129" i="1"/>
  <c r="C130" i="1"/>
  <c r="C131" i="1"/>
  <c r="C132" i="1"/>
  <c r="C133" i="1"/>
  <c r="C134" i="1"/>
  <c r="C135" i="1"/>
  <c r="C136" i="1"/>
  <c r="C137" i="1"/>
  <c r="C138" i="1"/>
  <c r="C139" i="1"/>
  <c r="C140" i="1"/>
  <c r="C141" i="1"/>
  <c r="C142" i="1"/>
  <c r="C143" i="1"/>
  <c r="C144" i="1"/>
  <c r="C145" i="1"/>
  <c r="C146" i="1"/>
  <c r="C147" i="1"/>
  <c r="C148" i="1"/>
  <c r="C149" i="1"/>
  <c r="C150" i="1"/>
  <c r="C151" i="1"/>
  <c r="C152" i="1"/>
  <c r="C153" i="1"/>
  <c r="C154" i="1"/>
  <c r="C155" i="1"/>
  <c r="C156" i="1"/>
  <c r="C157" i="1"/>
  <c r="C158" i="1"/>
  <c r="C159" i="1"/>
  <c r="C160" i="1"/>
  <c r="C161" i="1"/>
  <c r="C162" i="1"/>
  <c r="C163" i="1"/>
  <c r="C164" i="1"/>
  <c r="C165" i="1"/>
  <c r="C166" i="1"/>
  <c r="C167" i="1"/>
  <c r="C168" i="1"/>
  <c r="C169" i="1"/>
  <c r="C170" i="1"/>
  <c r="C171" i="1"/>
  <c r="C172" i="1"/>
  <c r="C173" i="1"/>
  <c r="C174" i="1"/>
  <c r="C175" i="1"/>
  <c r="C176" i="1"/>
  <c r="C177" i="1"/>
  <c r="C178" i="1"/>
  <c r="C179" i="1"/>
  <c r="C180" i="1"/>
  <c r="C181" i="1"/>
  <c r="C182" i="1"/>
  <c r="C183" i="1"/>
  <c r="C184" i="1"/>
  <c r="C185" i="1"/>
  <c r="C186" i="1"/>
  <c r="C187" i="1"/>
  <c r="C188" i="1"/>
  <c r="C189" i="1"/>
  <c r="C190" i="1"/>
  <c r="C191" i="1"/>
  <c r="C192" i="1"/>
  <c r="C193" i="1"/>
  <c r="C194" i="1"/>
  <c r="C195" i="1"/>
  <c r="C196" i="1"/>
  <c r="C197" i="1"/>
  <c r="C198" i="1"/>
  <c r="C199" i="1"/>
  <c r="C200" i="1"/>
  <c r="C201" i="1"/>
  <c r="C202" i="1"/>
  <c r="C203" i="1"/>
  <c r="C204" i="1"/>
  <c r="C205" i="1"/>
  <c r="C206" i="1"/>
  <c r="C207" i="1"/>
  <c r="C208" i="1"/>
  <c r="C209" i="1"/>
  <c r="C210" i="1"/>
  <c r="C211" i="1"/>
  <c r="C212" i="1"/>
  <c r="C213" i="1"/>
  <c r="C214" i="1"/>
  <c r="C215" i="1"/>
  <c r="C216" i="1"/>
  <c r="C217" i="1"/>
  <c r="C218" i="1"/>
  <c r="C219" i="1"/>
  <c r="C220" i="1"/>
  <c r="C221" i="1"/>
  <c r="C222" i="1"/>
  <c r="C223" i="1"/>
  <c r="C224" i="1"/>
  <c r="C225" i="1"/>
  <c r="C226" i="1"/>
  <c r="C227" i="1"/>
  <c r="C228" i="1"/>
  <c r="C229" i="1"/>
  <c r="C230" i="1"/>
  <c r="C231" i="1"/>
  <c r="C232" i="1"/>
  <c r="C233" i="1"/>
  <c r="C234" i="1"/>
  <c r="C235" i="1"/>
  <c r="C236" i="1"/>
  <c r="C237" i="1"/>
  <c r="C238" i="1"/>
  <c r="C239" i="1"/>
  <c r="C240" i="1"/>
  <c r="C241" i="1"/>
  <c r="C242" i="1"/>
  <c r="C243" i="1"/>
  <c r="C244" i="1"/>
  <c r="C245" i="1"/>
  <c r="C246" i="1"/>
  <c r="C247" i="1"/>
  <c r="C248" i="1"/>
  <c r="C249" i="1"/>
  <c r="C250" i="1"/>
  <c r="C251" i="1"/>
  <c r="C252" i="1"/>
  <c r="C253" i="1"/>
  <c r="C254" i="1"/>
  <c r="C255" i="1"/>
  <c r="C256" i="1"/>
  <c r="C257" i="1"/>
  <c r="C258" i="1"/>
  <c r="C259" i="1"/>
  <c r="C260" i="1"/>
  <c r="C261" i="1"/>
  <c r="C262" i="1"/>
  <c r="C263" i="1"/>
  <c r="C264" i="1"/>
  <c r="C265" i="1"/>
  <c r="C266" i="1"/>
  <c r="C267" i="1"/>
  <c r="C268" i="1"/>
  <c r="C269" i="1"/>
  <c r="C270" i="1"/>
  <c r="C271" i="1"/>
  <c r="C272" i="1"/>
  <c r="C273" i="1"/>
  <c r="C274" i="1"/>
  <c r="C275" i="1"/>
  <c r="C276" i="1"/>
  <c r="C277" i="1"/>
  <c r="C278" i="1"/>
  <c r="C279" i="1"/>
  <c r="C280" i="1"/>
  <c r="C281" i="1"/>
  <c r="C282" i="1"/>
  <c r="C283" i="1"/>
  <c r="C284" i="1"/>
  <c r="C285" i="1"/>
  <c r="C286" i="1"/>
  <c r="C287" i="1"/>
  <c r="C288" i="1"/>
  <c r="C289" i="1"/>
  <c r="C290" i="1"/>
  <c r="C291" i="1"/>
  <c r="C292" i="1"/>
  <c r="C293" i="1"/>
  <c r="C294" i="1"/>
  <c r="C295" i="1"/>
  <c r="C296" i="1"/>
  <c r="C297" i="1"/>
  <c r="C298" i="1"/>
  <c r="C299" i="1"/>
  <c r="C300" i="1"/>
  <c r="C301" i="1"/>
  <c r="C302" i="1"/>
  <c r="C303" i="1"/>
  <c r="C304" i="1"/>
  <c r="C305" i="1"/>
  <c r="C306" i="1"/>
  <c r="C307" i="1"/>
  <c r="C308" i="1"/>
  <c r="C309" i="1"/>
  <c r="C310" i="1"/>
  <c r="C311" i="1"/>
  <c r="C312" i="1"/>
  <c r="C313" i="1"/>
  <c r="C314" i="1"/>
  <c r="C315" i="1"/>
  <c r="C316" i="1"/>
  <c r="C317" i="1"/>
  <c r="C318" i="1"/>
  <c r="C319" i="1"/>
  <c r="C320" i="1"/>
  <c r="C321" i="1"/>
  <c r="C322" i="1"/>
  <c r="C323" i="1"/>
  <c r="C324" i="1"/>
  <c r="C325" i="1"/>
  <c r="C326" i="1"/>
  <c r="C327" i="1"/>
  <c r="C328" i="1"/>
  <c r="C329" i="1"/>
  <c r="C330" i="1"/>
  <c r="C331" i="1"/>
  <c r="C332" i="1"/>
  <c r="C333" i="1"/>
  <c r="C334" i="1"/>
  <c r="C335" i="1"/>
  <c r="C336" i="1"/>
  <c r="C337" i="1"/>
  <c r="C338" i="1"/>
  <c r="C339" i="1"/>
  <c r="C340" i="1"/>
  <c r="C341" i="1"/>
  <c r="C342" i="1"/>
  <c r="C343" i="1"/>
  <c r="C344" i="1"/>
  <c r="C345" i="1"/>
  <c r="C346" i="1"/>
  <c r="C347" i="1"/>
  <c r="C348" i="1"/>
  <c r="C349" i="1"/>
  <c r="C350" i="1"/>
  <c r="C351" i="1"/>
  <c r="C352" i="1"/>
  <c r="C353" i="1"/>
  <c r="C354" i="1"/>
  <c r="C355" i="1"/>
  <c r="C356" i="1"/>
  <c r="C357" i="1"/>
  <c r="C358" i="1"/>
  <c r="C359" i="1"/>
  <c r="C360" i="1"/>
  <c r="C361" i="1"/>
  <c r="C362" i="1"/>
  <c r="C363" i="1"/>
  <c r="C364" i="1"/>
  <c r="C365" i="1"/>
  <c r="C366" i="1"/>
  <c r="C367" i="1"/>
  <c r="C368" i="1"/>
  <c r="C369" i="1"/>
  <c r="C370" i="1"/>
  <c r="C371" i="1"/>
  <c r="C372" i="1"/>
  <c r="C373" i="1"/>
  <c r="C374" i="1"/>
  <c r="C375" i="1"/>
  <c r="C376" i="1"/>
  <c r="C377" i="1"/>
  <c r="C378" i="1"/>
  <c r="C379" i="1"/>
  <c r="C380" i="1"/>
  <c r="C381" i="1"/>
  <c r="C382" i="1"/>
  <c r="C383" i="1"/>
  <c r="C384" i="1"/>
  <c r="C385" i="1"/>
  <c r="C386" i="1"/>
  <c r="C387" i="1"/>
  <c r="C388" i="1"/>
  <c r="C389" i="1"/>
  <c r="C390" i="1"/>
  <c r="C391" i="1"/>
  <c r="C392" i="1"/>
  <c r="C393" i="1"/>
  <c r="C394" i="1"/>
  <c r="C395" i="1"/>
  <c r="C396" i="1"/>
  <c r="C397" i="1"/>
  <c r="C398" i="1"/>
  <c r="C399" i="1"/>
  <c r="C400" i="1"/>
  <c r="C401" i="1"/>
  <c r="C402" i="1"/>
  <c r="C403" i="1"/>
  <c r="C404" i="1"/>
  <c r="C405" i="1"/>
  <c r="C406" i="1"/>
  <c r="C407" i="1"/>
  <c r="C408" i="1"/>
  <c r="C409" i="1"/>
  <c r="C410" i="1"/>
  <c r="C411" i="1"/>
  <c r="C412" i="1"/>
  <c r="C413" i="1"/>
  <c r="C414" i="1"/>
  <c r="C415" i="1"/>
  <c r="C416" i="1"/>
  <c r="C417" i="1"/>
  <c r="C418" i="1"/>
  <c r="C419" i="1"/>
  <c r="C420" i="1"/>
  <c r="C421" i="1"/>
  <c r="C422" i="1"/>
  <c r="C423" i="1"/>
  <c r="C424" i="1"/>
  <c r="C425" i="1"/>
  <c r="C426" i="1"/>
  <c r="C427" i="1"/>
  <c r="C428" i="1"/>
  <c r="C429" i="1"/>
  <c r="C430" i="1"/>
  <c r="C431" i="1"/>
  <c r="C432" i="1"/>
  <c r="C433" i="1"/>
  <c r="C434" i="1"/>
  <c r="C435" i="1"/>
  <c r="C436" i="1"/>
  <c r="C437" i="1"/>
  <c r="C438" i="1"/>
  <c r="C439" i="1"/>
  <c r="C440" i="1"/>
  <c r="C441" i="1"/>
  <c r="C442" i="1"/>
  <c r="C443" i="1"/>
  <c r="C444" i="1"/>
  <c r="C445" i="1"/>
  <c r="C446" i="1"/>
  <c r="C447" i="1"/>
  <c r="C448" i="1"/>
  <c r="C449" i="1"/>
  <c r="C450" i="1"/>
  <c r="C451" i="1"/>
  <c r="C452" i="1"/>
  <c r="C453" i="1"/>
  <c r="C454" i="1"/>
  <c r="C455" i="1"/>
  <c r="C456" i="1"/>
  <c r="C457" i="1"/>
  <c r="C458" i="1"/>
  <c r="C459" i="1"/>
  <c r="C460" i="1"/>
  <c r="C461" i="1"/>
  <c r="C462" i="1"/>
  <c r="C463" i="1"/>
  <c r="C464" i="1"/>
  <c r="C465" i="1"/>
  <c r="C466" i="1"/>
  <c r="C467" i="1"/>
  <c r="C468" i="1"/>
  <c r="C469" i="1"/>
  <c r="C470" i="1"/>
  <c r="C471" i="1"/>
  <c r="C472" i="1"/>
  <c r="C473" i="1"/>
  <c r="C474" i="1"/>
  <c r="C475" i="1"/>
  <c r="C476" i="1"/>
  <c r="C477" i="1"/>
  <c r="C478" i="1"/>
  <c r="C479" i="1"/>
  <c r="C480" i="1"/>
  <c r="C481" i="1"/>
  <c r="C482" i="1"/>
  <c r="C483" i="1"/>
  <c r="C484" i="1"/>
  <c r="C485" i="1"/>
  <c r="C486" i="1"/>
  <c r="C487" i="1"/>
  <c r="C488" i="1"/>
  <c r="C489" i="1"/>
  <c r="C490" i="1"/>
  <c r="C491" i="1"/>
  <c r="C492" i="1"/>
  <c r="C493" i="1"/>
  <c r="C494" i="1"/>
  <c r="C495" i="1"/>
  <c r="C496" i="1"/>
  <c r="C497" i="1"/>
  <c r="C498" i="1"/>
  <c r="C499" i="1"/>
  <c r="C500" i="1"/>
  <c r="C501" i="1"/>
  <c r="C502" i="1"/>
  <c r="C503" i="1"/>
  <c r="C504" i="1"/>
  <c r="C505" i="1"/>
  <c r="C506" i="1"/>
  <c r="C507" i="1"/>
  <c r="C508" i="1"/>
  <c r="C509" i="1"/>
  <c r="C510" i="1"/>
  <c r="C511" i="1"/>
  <c r="C512" i="1"/>
  <c r="C513" i="1"/>
  <c r="C514" i="1"/>
  <c r="C515" i="1"/>
  <c r="C516" i="1"/>
  <c r="C517" i="1"/>
  <c r="C518" i="1"/>
  <c r="C519" i="1"/>
  <c r="C520" i="1"/>
  <c r="C521" i="1"/>
  <c r="C522" i="1"/>
  <c r="C523" i="1"/>
  <c r="C524" i="1"/>
  <c r="C525" i="1"/>
  <c r="C526" i="1"/>
  <c r="C527" i="1"/>
  <c r="C528" i="1"/>
  <c r="C529" i="1"/>
  <c r="C530" i="1"/>
  <c r="C531" i="1"/>
  <c r="C532" i="1"/>
  <c r="C533" i="1"/>
  <c r="C534" i="1"/>
  <c r="C535" i="1"/>
  <c r="C536" i="1"/>
  <c r="C537" i="1"/>
  <c r="C538" i="1"/>
  <c r="C539" i="1"/>
  <c r="C540" i="1"/>
  <c r="C541" i="1"/>
  <c r="C542" i="1"/>
  <c r="C543" i="1"/>
  <c r="C544" i="1"/>
  <c r="C545" i="1"/>
  <c r="C546" i="1"/>
  <c r="C547" i="1"/>
  <c r="C548" i="1"/>
  <c r="C549" i="1"/>
  <c r="C550" i="1"/>
  <c r="C551" i="1"/>
  <c r="C552" i="1"/>
  <c r="C553" i="1"/>
  <c r="C554" i="1"/>
  <c r="C555" i="1"/>
  <c r="C556" i="1"/>
  <c r="C557" i="1"/>
  <c r="C558" i="1"/>
  <c r="C559" i="1"/>
  <c r="C560" i="1"/>
  <c r="C561" i="1"/>
  <c r="C562" i="1"/>
  <c r="C563" i="1"/>
  <c r="C564" i="1"/>
  <c r="C565" i="1"/>
  <c r="C566" i="1"/>
  <c r="C567" i="1"/>
  <c r="C568" i="1"/>
  <c r="C569" i="1"/>
  <c r="C570" i="1"/>
  <c r="C571" i="1"/>
  <c r="C572" i="1"/>
  <c r="C573" i="1"/>
  <c r="C574" i="1"/>
  <c r="C575" i="1"/>
  <c r="C576" i="1"/>
  <c r="C577" i="1"/>
  <c r="C578" i="1"/>
  <c r="C579" i="1"/>
  <c r="C580" i="1"/>
  <c r="C581" i="1"/>
  <c r="C582" i="1"/>
  <c r="C583" i="1"/>
  <c r="C584" i="1"/>
  <c r="C585" i="1"/>
  <c r="C586" i="1"/>
  <c r="C587" i="1"/>
  <c r="C588" i="1"/>
  <c r="C589" i="1"/>
  <c r="C590" i="1"/>
  <c r="C591" i="1"/>
  <c r="C592" i="1"/>
  <c r="C593" i="1"/>
  <c r="C594" i="1"/>
  <c r="C595" i="1"/>
  <c r="C596" i="1"/>
  <c r="C597" i="1"/>
  <c r="C598" i="1"/>
  <c r="C599" i="1"/>
  <c r="C600" i="1"/>
  <c r="C601" i="1"/>
  <c r="C602" i="1"/>
  <c r="C603" i="1"/>
  <c r="C604" i="1"/>
  <c r="C605" i="1"/>
  <c r="C606" i="1"/>
  <c r="C607" i="1"/>
  <c r="C608" i="1"/>
  <c r="C609" i="1"/>
  <c r="C610" i="1"/>
  <c r="C611" i="1"/>
  <c r="C612" i="1"/>
  <c r="C613" i="1"/>
  <c r="C614" i="1"/>
  <c r="C615" i="1"/>
  <c r="C616" i="1"/>
  <c r="C617" i="1"/>
  <c r="C618" i="1"/>
  <c r="C619" i="1"/>
  <c r="C620" i="1"/>
  <c r="C621" i="1"/>
  <c r="C622" i="1"/>
  <c r="C623" i="1"/>
  <c r="C624" i="1"/>
  <c r="C625" i="1"/>
  <c r="C626" i="1"/>
  <c r="C627" i="1"/>
  <c r="C628" i="1"/>
  <c r="C629" i="1"/>
  <c r="C630" i="1"/>
  <c r="C631" i="1"/>
  <c r="C632" i="1"/>
  <c r="C633" i="1"/>
  <c r="C634" i="1"/>
  <c r="C635" i="1"/>
  <c r="C636" i="1"/>
  <c r="C637" i="1"/>
  <c r="C638" i="1"/>
  <c r="C639" i="1"/>
  <c r="C640" i="1"/>
  <c r="C641" i="1"/>
  <c r="C642" i="1"/>
  <c r="C643" i="1"/>
  <c r="C644" i="1"/>
  <c r="C645" i="1"/>
  <c r="C646" i="1"/>
  <c r="C647" i="1"/>
  <c r="C648" i="1"/>
  <c r="C649" i="1"/>
  <c r="C650" i="1"/>
  <c r="C651" i="1"/>
  <c r="C652" i="1"/>
  <c r="C653" i="1"/>
  <c r="C654" i="1"/>
  <c r="C655" i="1"/>
  <c r="C656" i="1"/>
  <c r="C657" i="1"/>
  <c r="C658" i="1"/>
  <c r="C659" i="1"/>
  <c r="C660" i="1"/>
  <c r="C661" i="1"/>
  <c r="C662" i="1"/>
  <c r="C663" i="1"/>
  <c r="C664" i="1"/>
  <c r="C665" i="1"/>
  <c r="C666" i="1"/>
  <c r="C667" i="1"/>
  <c r="C668" i="1"/>
  <c r="C669" i="1"/>
  <c r="C670" i="1"/>
  <c r="C671" i="1"/>
  <c r="C672" i="1"/>
  <c r="C673" i="1"/>
  <c r="C674" i="1"/>
  <c r="C675" i="1"/>
  <c r="C676" i="1"/>
  <c r="C677" i="1"/>
  <c r="C678" i="1"/>
  <c r="C679" i="1"/>
  <c r="C680" i="1"/>
  <c r="C681" i="1"/>
  <c r="C682" i="1"/>
  <c r="C683" i="1"/>
  <c r="C684" i="1"/>
  <c r="C685" i="1"/>
  <c r="C686" i="1"/>
  <c r="C687" i="1"/>
  <c r="C688" i="1"/>
  <c r="C689" i="1"/>
  <c r="C690" i="1"/>
  <c r="C691" i="1"/>
  <c r="C692" i="1"/>
  <c r="C693" i="1"/>
  <c r="C694" i="1"/>
  <c r="C695" i="1"/>
  <c r="C696" i="1"/>
  <c r="C697" i="1"/>
  <c r="C698" i="1"/>
  <c r="C699" i="1"/>
  <c r="C700" i="1"/>
  <c r="C701" i="1"/>
  <c r="C702" i="1"/>
  <c r="C703" i="1"/>
  <c r="C704" i="1"/>
  <c r="C705" i="1"/>
  <c r="C706" i="1"/>
  <c r="C707" i="1"/>
  <c r="C708" i="1"/>
  <c r="C709" i="1"/>
  <c r="C710" i="1"/>
  <c r="C711" i="1"/>
  <c r="C712" i="1"/>
  <c r="C713" i="1"/>
  <c r="C714" i="1"/>
  <c r="C715" i="1"/>
  <c r="C716" i="1"/>
  <c r="C717" i="1"/>
  <c r="C718" i="1"/>
  <c r="C719" i="1"/>
  <c r="C720" i="1"/>
  <c r="C721" i="1"/>
  <c r="C722" i="1"/>
  <c r="C723" i="1"/>
  <c r="C724" i="1"/>
  <c r="C725" i="1"/>
  <c r="C726" i="1"/>
  <c r="C727" i="1"/>
  <c r="C728" i="1"/>
  <c r="C729" i="1"/>
  <c r="C730" i="1"/>
  <c r="C731" i="1"/>
  <c r="C732" i="1"/>
  <c r="C733" i="1"/>
  <c r="C734" i="1"/>
  <c r="C735" i="1"/>
  <c r="C736" i="1"/>
  <c r="C737" i="1"/>
  <c r="C738" i="1"/>
  <c r="C739" i="1"/>
  <c r="C740" i="1"/>
  <c r="C741" i="1"/>
  <c r="C742" i="1"/>
  <c r="C743" i="1"/>
  <c r="C744" i="1"/>
  <c r="C745" i="1"/>
  <c r="C746" i="1"/>
  <c r="C747" i="1"/>
  <c r="C748" i="1"/>
  <c r="C749" i="1"/>
  <c r="C750" i="1"/>
  <c r="C751" i="1"/>
  <c r="C752" i="1"/>
  <c r="C753" i="1"/>
  <c r="C754" i="1"/>
  <c r="C755" i="1"/>
  <c r="C756" i="1"/>
  <c r="C757" i="1"/>
  <c r="C758" i="1"/>
  <c r="C759" i="1"/>
  <c r="C760" i="1"/>
  <c r="C761" i="1"/>
  <c r="C762" i="1"/>
  <c r="C763" i="1"/>
  <c r="C764" i="1"/>
  <c r="C765" i="1"/>
  <c r="C766" i="1"/>
  <c r="C767" i="1"/>
  <c r="C768" i="1"/>
  <c r="C769" i="1"/>
  <c r="C770" i="1"/>
  <c r="C771" i="1"/>
  <c r="C772" i="1"/>
  <c r="C773" i="1"/>
  <c r="C774" i="1"/>
  <c r="C775" i="1"/>
  <c r="C776" i="1"/>
  <c r="C777" i="1"/>
  <c r="C778" i="1"/>
  <c r="C779" i="1"/>
  <c r="C780" i="1"/>
  <c r="C781" i="1"/>
  <c r="C782" i="1"/>
  <c r="C783" i="1"/>
  <c r="C784" i="1"/>
  <c r="C785" i="1"/>
  <c r="C786" i="1"/>
  <c r="C787" i="1"/>
  <c r="C788" i="1"/>
  <c r="C789" i="1"/>
  <c r="C790" i="1"/>
  <c r="C791" i="1"/>
  <c r="C792" i="1"/>
  <c r="C793" i="1"/>
  <c r="C794" i="1"/>
  <c r="C795" i="1"/>
  <c r="C796" i="1"/>
  <c r="C797" i="1"/>
  <c r="C798" i="1"/>
  <c r="C799" i="1"/>
  <c r="C800" i="1"/>
  <c r="C801" i="1"/>
  <c r="C802" i="1"/>
  <c r="C803" i="1"/>
  <c r="C804" i="1"/>
  <c r="C805" i="1"/>
  <c r="C806" i="1"/>
  <c r="C807" i="1"/>
  <c r="C808" i="1"/>
  <c r="C809" i="1"/>
  <c r="C810" i="1"/>
  <c r="C811" i="1"/>
  <c r="C812" i="1"/>
  <c r="C813" i="1"/>
  <c r="C814" i="1"/>
  <c r="C815" i="1"/>
  <c r="C816" i="1"/>
  <c r="C817" i="1"/>
  <c r="C818" i="1"/>
  <c r="C819" i="1"/>
  <c r="C820" i="1"/>
  <c r="C821" i="1"/>
  <c r="C822" i="1"/>
  <c r="C823" i="1"/>
  <c r="C824" i="1"/>
  <c r="C825" i="1"/>
  <c r="C826" i="1"/>
  <c r="C827" i="1"/>
  <c r="C828" i="1"/>
  <c r="C829" i="1"/>
  <c r="C830" i="1"/>
  <c r="C831" i="1"/>
  <c r="C832" i="1"/>
  <c r="C833" i="1"/>
  <c r="C834" i="1"/>
  <c r="C835" i="1"/>
  <c r="C836" i="1"/>
  <c r="C837" i="1"/>
  <c r="C838" i="1"/>
  <c r="C839" i="1"/>
  <c r="C840" i="1"/>
  <c r="C841" i="1"/>
  <c r="C842" i="1"/>
  <c r="C843" i="1"/>
  <c r="C844" i="1"/>
  <c r="C845" i="1"/>
  <c r="C846" i="1"/>
  <c r="C847" i="1"/>
  <c r="C848" i="1"/>
  <c r="C849" i="1"/>
  <c r="C850" i="1"/>
  <c r="C851" i="1"/>
  <c r="C852" i="1"/>
  <c r="C853" i="1"/>
  <c r="C854" i="1"/>
  <c r="C855" i="1"/>
  <c r="C856" i="1"/>
  <c r="C857" i="1"/>
  <c r="C858" i="1"/>
  <c r="C859" i="1"/>
  <c r="C860" i="1"/>
  <c r="C861" i="1"/>
  <c r="C862" i="1"/>
  <c r="C863" i="1"/>
  <c r="C864" i="1"/>
  <c r="C865" i="1"/>
  <c r="C866" i="1"/>
  <c r="C867" i="1"/>
  <c r="C868" i="1"/>
  <c r="C869" i="1"/>
  <c r="C870" i="1"/>
  <c r="C871" i="1"/>
  <c r="C872" i="1"/>
  <c r="C873" i="1"/>
  <c r="C874" i="1"/>
  <c r="C875" i="1"/>
  <c r="C876" i="1"/>
  <c r="C877" i="1"/>
  <c r="C878" i="1"/>
  <c r="C879" i="1"/>
  <c r="C880" i="1"/>
  <c r="C881" i="1"/>
  <c r="C882" i="1"/>
  <c r="C883" i="1"/>
  <c r="C884" i="1"/>
  <c r="C885" i="1"/>
  <c r="C886" i="1"/>
  <c r="C887" i="1"/>
  <c r="C888" i="1"/>
  <c r="C889" i="1"/>
  <c r="C890" i="1"/>
  <c r="C891" i="1"/>
  <c r="C892" i="1"/>
  <c r="C893" i="1"/>
  <c r="C894" i="1"/>
  <c r="C895" i="1"/>
  <c r="C896" i="1"/>
  <c r="C897" i="1"/>
  <c r="C898" i="1"/>
  <c r="C899" i="1"/>
  <c r="C900" i="1"/>
  <c r="C901" i="1"/>
  <c r="C902" i="1"/>
  <c r="C903" i="1"/>
  <c r="C904" i="1"/>
  <c r="C905" i="1"/>
  <c r="C906" i="1"/>
  <c r="C907" i="1"/>
  <c r="C908" i="1"/>
  <c r="C909" i="1"/>
  <c r="C910" i="1"/>
  <c r="C911" i="1"/>
  <c r="C912" i="1"/>
  <c r="C913" i="1"/>
  <c r="C914" i="1"/>
  <c r="C915" i="1"/>
  <c r="C916" i="1"/>
  <c r="C917" i="1"/>
  <c r="C918" i="1"/>
  <c r="C919" i="1"/>
  <c r="C920" i="1"/>
  <c r="C921" i="1"/>
  <c r="C922" i="1"/>
  <c r="C923" i="1"/>
  <c r="C924" i="1"/>
  <c r="C925" i="1"/>
  <c r="C926" i="1"/>
  <c r="C927" i="1"/>
  <c r="C928" i="1"/>
  <c r="C929" i="1"/>
  <c r="C930" i="1"/>
  <c r="C931" i="1"/>
  <c r="C932" i="1"/>
  <c r="C933" i="1"/>
  <c r="C934" i="1"/>
  <c r="C935" i="1"/>
  <c r="C936" i="1"/>
  <c r="C937" i="1"/>
  <c r="C938" i="1"/>
  <c r="C939" i="1"/>
  <c r="C940" i="1"/>
  <c r="C941" i="1"/>
  <c r="C942" i="1"/>
  <c r="C943" i="1"/>
  <c r="C944" i="1"/>
  <c r="C945" i="1"/>
  <c r="C946" i="1"/>
  <c r="C947" i="1"/>
  <c r="C948" i="1"/>
  <c r="C949" i="1"/>
  <c r="C950" i="1"/>
  <c r="C951" i="1"/>
  <c r="C952" i="1"/>
  <c r="C953" i="1"/>
  <c r="C954" i="1"/>
  <c r="C955" i="1"/>
  <c r="C956" i="1"/>
  <c r="C957" i="1"/>
  <c r="C958" i="1"/>
  <c r="C959" i="1"/>
  <c r="C960" i="1"/>
  <c r="C961" i="1"/>
  <c r="C962" i="1"/>
  <c r="C963" i="1"/>
  <c r="C964" i="1"/>
  <c r="C965" i="1"/>
  <c r="C966" i="1"/>
  <c r="C967" i="1"/>
  <c r="C968" i="1"/>
  <c r="C969" i="1"/>
  <c r="C970" i="1"/>
  <c r="C971" i="1"/>
  <c r="C972" i="1"/>
  <c r="C973" i="1"/>
  <c r="C974" i="1"/>
  <c r="C975" i="1"/>
  <c r="C976" i="1"/>
  <c r="C977" i="1"/>
  <c r="C978" i="1"/>
  <c r="C979" i="1"/>
  <c r="C980" i="1"/>
  <c r="C981" i="1"/>
  <c r="C982" i="1"/>
  <c r="C983" i="1"/>
  <c r="C984" i="1"/>
  <c r="C985" i="1"/>
  <c r="C986" i="1"/>
  <c r="C987" i="1"/>
  <c r="C988" i="1"/>
  <c r="C989" i="1"/>
  <c r="C990" i="1"/>
  <c r="C991" i="1"/>
  <c r="C992" i="1"/>
  <c r="C993" i="1"/>
  <c r="C994" i="1"/>
  <c r="C995" i="1"/>
  <c r="C996" i="1"/>
  <c r="C997" i="1"/>
  <c r="C998" i="1"/>
  <c r="C999" i="1"/>
  <c r="C1000" i="1"/>
  <c r="C1001" i="1"/>
  <c r="C1002" i="1"/>
  <c r="C1003" i="1"/>
  <c r="C1004" i="1"/>
  <c r="C1005" i="1"/>
  <c r="C1006" i="1"/>
  <c r="C1007" i="1"/>
  <c r="C1008" i="1"/>
  <c r="C1009" i="1"/>
  <c r="C1010" i="1"/>
  <c r="C1011" i="1"/>
  <c r="C1012" i="1"/>
  <c r="C1013" i="1"/>
  <c r="C1014" i="1"/>
  <c r="C1015" i="1"/>
  <c r="C1016" i="1"/>
  <c r="C1017" i="1"/>
  <c r="C1018" i="1"/>
  <c r="C1019" i="1"/>
  <c r="C1020" i="1"/>
  <c r="C1021" i="1"/>
  <c r="C1022" i="1"/>
  <c r="C1023" i="1"/>
  <c r="C1024" i="1"/>
  <c r="C1025" i="1"/>
  <c r="C1026" i="1"/>
  <c r="C1027" i="1"/>
  <c r="C1028" i="1"/>
  <c r="C1029" i="1"/>
  <c r="C1030" i="1"/>
  <c r="C1031" i="1"/>
  <c r="C1032" i="1"/>
  <c r="C1033" i="1"/>
  <c r="C1034" i="1"/>
  <c r="C1035" i="1"/>
  <c r="C1036" i="1"/>
  <c r="C1037" i="1"/>
  <c r="C1038" i="1"/>
  <c r="C1039" i="1"/>
  <c r="C1040" i="1"/>
  <c r="C1041" i="1"/>
  <c r="C1042" i="1"/>
  <c r="C1043" i="1"/>
  <c r="C1044" i="1"/>
  <c r="C1045" i="1"/>
  <c r="C1046" i="1"/>
  <c r="C1047" i="1"/>
  <c r="C1048" i="1"/>
  <c r="C1049" i="1"/>
  <c r="C1050" i="1"/>
  <c r="C1051" i="1"/>
  <c r="C1052" i="1"/>
  <c r="C1053" i="1"/>
  <c r="C1054" i="1"/>
  <c r="C1055" i="1"/>
  <c r="C1056" i="1"/>
  <c r="C1057" i="1"/>
  <c r="C1058" i="1"/>
  <c r="C1059" i="1"/>
  <c r="C1060" i="1"/>
  <c r="C1061" i="1"/>
  <c r="C1062" i="1"/>
  <c r="C1063" i="1"/>
  <c r="C1064" i="1"/>
  <c r="C1065" i="1"/>
  <c r="C1066" i="1"/>
  <c r="C1067" i="1"/>
  <c r="C1068" i="1"/>
  <c r="C1069" i="1"/>
  <c r="C1070" i="1"/>
  <c r="C1071" i="1"/>
  <c r="C1072" i="1"/>
  <c r="C1073" i="1"/>
  <c r="C1074" i="1"/>
  <c r="C1075" i="1"/>
  <c r="C1076" i="1"/>
  <c r="C1077" i="1"/>
  <c r="C1078" i="1"/>
  <c r="C1079" i="1"/>
  <c r="C1080" i="1"/>
  <c r="C1081" i="1"/>
  <c r="C1082" i="1"/>
  <c r="C1083" i="1"/>
  <c r="C1084" i="1"/>
  <c r="C1085" i="1"/>
  <c r="C1086" i="1"/>
  <c r="C1087" i="1"/>
  <c r="C1088" i="1"/>
  <c r="C1089" i="1"/>
  <c r="C1090" i="1"/>
  <c r="C1091" i="1"/>
  <c r="C1092" i="1"/>
  <c r="C1093" i="1"/>
  <c r="C1094" i="1"/>
  <c r="C1095" i="1"/>
  <c r="C1096" i="1"/>
  <c r="C1097" i="1"/>
  <c r="C1098" i="1"/>
  <c r="C1099" i="1"/>
  <c r="C1100" i="1"/>
  <c r="C1101" i="1"/>
  <c r="C1102" i="1"/>
  <c r="C1103" i="1"/>
  <c r="C1104" i="1"/>
  <c r="C1105" i="1"/>
  <c r="C1106" i="1"/>
  <c r="C1107" i="1"/>
  <c r="C1108" i="1"/>
  <c r="C1109" i="1"/>
  <c r="C1110" i="1"/>
  <c r="C1111" i="1"/>
  <c r="C1112" i="1"/>
  <c r="C1113" i="1"/>
  <c r="C1114" i="1"/>
  <c r="C1115" i="1"/>
  <c r="C1116" i="1"/>
  <c r="C1117" i="1"/>
  <c r="C1118" i="1"/>
  <c r="C1119" i="1"/>
  <c r="C1120" i="1"/>
  <c r="C1121" i="1"/>
  <c r="C1122" i="1"/>
  <c r="C1123" i="1"/>
  <c r="C1124" i="1"/>
  <c r="C1125" i="1"/>
  <c r="C1126" i="1"/>
  <c r="C1127" i="1"/>
  <c r="C1128" i="1"/>
  <c r="C1129" i="1"/>
  <c r="C1130" i="1"/>
  <c r="C1131" i="1"/>
  <c r="C1132" i="1"/>
  <c r="C1133" i="1"/>
  <c r="C1134" i="1"/>
  <c r="C1135" i="1"/>
  <c r="C1136" i="1"/>
  <c r="C1137" i="1"/>
  <c r="C1138" i="1"/>
  <c r="C1139" i="1"/>
  <c r="C1140" i="1"/>
  <c r="C1141" i="1"/>
  <c r="C1142" i="1"/>
  <c r="C1143" i="1"/>
  <c r="C1144" i="1"/>
  <c r="C1145" i="1"/>
  <c r="C1146" i="1"/>
  <c r="C1147" i="1"/>
  <c r="C1148" i="1"/>
  <c r="C1149" i="1"/>
  <c r="C1150" i="1"/>
  <c r="C1151" i="1"/>
  <c r="C1152" i="1"/>
  <c r="C1153" i="1"/>
  <c r="C1154" i="1"/>
  <c r="C1155" i="1"/>
  <c r="C1156" i="1"/>
  <c r="C1157" i="1"/>
  <c r="C1158" i="1"/>
  <c r="C1159" i="1"/>
  <c r="C1160" i="1"/>
  <c r="C1161" i="1"/>
  <c r="C1162" i="1"/>
  <c r="C1163" i="1"/>
  <c r="C1164" i="1"/>
  <c r="C1165" i="1"/>
  <c r="C1166" i="1"/>
  <c r="C1167" i="1"/>
  <c r="C1168" i="1"/>
  <c r="C1169" i="1"/>
  <c r="C1170" i="1"/>
  <c r="C1171" i="1"/>
  <c r="C1172" i="1"/>
  <c r="C1173" i="1"/>
  <c r="C1174" i="1"/>
  <c r="C1175" i="1"/>
  <c r="C1176" i="1"/>
  <c r="C1177" i="1"/>
  <c r="C1178" i="1"/>
  <c r="C1179" i="1"/>
  <c r="C1180" i="1"/>
  <c r="C1181" i="1"/>
  <c r="C1182" i="1"/>
  <c r="C1183" i="1"/>
  <c r="C1184" i="1"/>
  <c r="C1185" i="1"/>
  <c r="C1186" i="1"/>
  <c r="C1187" i="1"/>
  <c r="C1188" i="1"/>
  <c r="C1189" i="1"/>
  <c r="C1190" i="1"/>
  <c r="C1191" i="1"/>
  <c r="C1192" i="1"/>
  <c r="C1193" i="1"/>
  <c r="C1194" i="1"/>
  <c r="C1195" i="1"/>
  <c r="C1196" i="1"/>
  <c r="C1197" i="1"/>
  <c r="C1198" i="1"/>
  <c r="C1199" i="1"/>
  <c r="C1200" i="1"/>
  <c r="C1201" i="1"/>
  <c r="C1202" i="1"/>
  <c r="C1203" i="1"/>
  <c r="C1204" i="1"/>
  <c r="C1205" i="1"/>
  <c r="C1206" i="1"/>
  <c r="C1207" i="1"/>
  <c r="C1208" i="1"/>
  <c r="C1209" i="1"/>
  <c r="C1210" i="1"/>
  <c r="C1211" i="1"/>
  <c r="C1212" i="1"/>
  <c r="C1213" i="1"/>
  <c r="C1214" i="1"/>
  <c r="C1215" i="1"/>
  <c r="C1216" i="1"/>
  <c r="C1217" i="1"/>
  <c r="C1218" i="1"/>
  <c r="C1219" i="1"/>
  <c r="C1220" i="1"/>
  <c r="C1221" i="1"/>
  <c r="C1222" i="1"/>
  <c r="C1223" i="1"/>
  <c r="C1224" i="1"/>
  <c r="C1225" i="1"/>
  <c r="C1226" i="1"/>
  <c r="C1227" i="1"/>
  <c r="C1228" i="1"/>
  <c r="C1229" i="1"/>
  <c r="C1230" i="1"/>
  <c r="C1231" i="1"/>
  <c r="C1232" i="1"/>
  <c r="C1233" i="1"/>
  <c r="C1234" i="1"/>
  <c r="C1235" i="1"/>
  <c r="C1236" i="1"/>
  <c r="C1237" i="1"/>
  <c r="C1238" i="1"/>
  <c r="C1239" i="1"/>
  <c r="C1240" i="1"/>
  <c r="C1241" i="1"/>
  <c r="C1242" i="1"/>
  <c r="C1243" i="1"/>
  <c r="C1244" i="1"/>
  <c r="C1245" i="1"/>
  <c r="C1246" i="1"/>
  <c r="C1247" i="1"/>
  <c r="C1248" i="1"/>
  <c r="C1249" i="1"/>
  <c r="C1250" i="1"/>
  <c r="C1251" i="1"/>
  <c r="C1252" i="1"/>
  <c r="C1253" i="1"/>
  <c r="C1254" i="1"/>
  <c r="C1255" i="1"/>
  <c r="C1256" i="1"/>
  <c r="C1257" i="1"/>
  <c r="C1258" i="1"/>
  <c r="C1259" i="1"/>
  <c r="C1260" i="1"/>
  <c r="C1261" i="1"/>
  <c r="C1262" i="1"/>
  <c r="C1263" i="1"/>
  <c r="C1264" i="1"/>
  <c r="C1265" i="1"/>
  <c r="C1266" i="1"/>
  <c r="C1267" i="1"/>
  <c r="C1268" i="1"/>
  <c r="C1269" i="1"/>
  <c r="C1270" i="1"/>
  <c r="C1271" i="1"/>
  <c r="C1272" i="1"/>
  <c r="C1273" i="1"/>
  <c r="C1274" i="1"/>
  <c r="C1275" i="1"/>
  <c r="C1276" i="1"/>
  <c r="C1277" i="1"/>
  <c r="C1278" i="1"/>
  <c r="C1279" i="1"/>
  <c r="C1280" i="1"/>
  <c r="C1281" i="1"/>
  <c r="C1282" i="1"/>
  <c r="C1283" i="1"/>
  <c r="C1284" i="1"/>
  <c r="C1285" i="1"/>
  <c r="C1286" i="1"/>
  <c r="C1287" i="1"/>
  <c r="C1288" i="1"/>
  <c r="C1289" i="1"/>
  <c r="C1290" i="1"/>
  <c r="C1291" i="1"/>
  <c r="C1292" i="1"/>
  <c r="C1293" i="1"/>
  <c r="C1294" i="1"/>
  <c r="C1295" i="1"/>
  <c r="C1296" i="1"/>
  <c r="C1297" i="1"/>
  <c r="C1298" i="1"/>
  <c r="C1299" i="1"/>
  <c r="C1300" i="1"/>
  <c r="C1301" i="1"/>
  <c r="C1302" i="1"/>
  <c r="C1303" i="1"/>
  <c r="C1304" i="1"/>
  <c r="C1305" i="1"/>
  <c r="C1306" i="1"/>
  <c r="C1307" i="1"/>
  <c r="C1308" i="1"/>
  <c r="C1309" i="1"/>
  <c r="C1310" i="1"/>
  <c r="C1311" i="1"/>
  <c r="C1312" i="1"/>
  <c r="C1313" i="1"/>
  <c r="C1314" i="1"/>
  <c r="C1315" i="1"/>
  <c r="C1316" i="1"/>
  <c r="C1317" i="1"/>
  <c r="C1318" i="1"/>
  <c r="C1319" i="1"/>
  <c r="C1320" i="1"/>
  <c r="C1321" i="1"/>
  <c r="C1322" i="1"/>
  <c r="C1323" i="1"/>
  <c r="C1324" i="1"/>
  <c r="C1325" i="1"/>
  <c r="C1326" i="1"/>
  <c r="C1327" i="1"/>
  <c r="C1328" i="1"/>
  <c r="C1329" i="1"/>
  <c r="C1330" i="1"/>
  <c r="C1331" i="1"/>
  <c r="C1332" i="1"/>
  <c r="C1333" i="1"/>
  <c r="C1334" i="1"/>
  <c r="C1335" i="1"/>
  <c r="C1336" i="1"/>
  <c r="C1337" i="1"/>
  <c r="C1338" i="1"/>
  <c r="C1339" i="1"/>
  <c r="C1340" i="1"/>
  <c r="C1341" i="1"/>
  <c r="C1342" i="1"/>
  <c r="C1343" i="1"/>
  <c r="C1344" i="1"/>
  <c r="C1345" i="1"/>
  <c r="C1346" i="1"/>
  <c r="C1347" i="1"/>
  <c r="C1348" i="1"/>
  <c r="C1349" i="1"/>
  <c r="C1350" i="1"/>
  <c r="C1351" i="1"/>
  <c r="C1352" i="1"/>
  <c r="C1353" i="1"/>
  <c r="C1354" i="1"/>
  <c r="C1355" i="1"/>
  <c r="C1356" i="1"/>
  <c r="C1357" i="1"/>
  <c r="C1358" i="1"/>
  <c r="C1359" i="1"/>
  <c r="C1360" i="1"/>
  <c r="C1361" i="1"/>
  <c r="C1362" i="1"/>
  <c r="C1363" i="1"/>
  <c r="C1364" i="1"/>
  <c r="C1365" i="1"/>
  <c r="C1366" i="1"/>
  <c r="C1367" i="1"/>
  <c r="C1368" i="1"/>
  <c r="C1369" i="1"/>
  <c r="C1370" i="1"/>
  <c r="C1371" i="1"/>
  <c r="C1372" i="1"/>
  <c r="C1373" i="1"/>
  <c r="C1374" i="1"/>
  <c r="C1375" i="1"/>
  <c r="C1376" i="1"/>
  <c r="C1377" i="1"/>
  <c r="C1378" i="1"/>
  <c r="C1379" i="1"/>
  <c r="C1380" i="1"/>
  <c r="C1381" i="1"/>
  <c r="C1382" i="1"/>
  <c r="C1383" i="1"/>
  <c r="C1384" i="1"/>
  <c r="C1385" i="1"/>
  <c r="C1386" i="1"/>
  <c r="C1387" i="1"/>
  <c r="C1388" i="1"/>
  <c r="C1389" i="1"/>
  <c r="C1390" i="1"/>
  <c r="C1391" i="1"/>
  <c r="C1392" i="1"/>
  <c r="C1393" i="1"/>
  <c r="C1394" i="1"/>
  <c r="C1395" i="1"/>
  <c r="C1396" i="1"/>
  <c r="C1397" i="1"/>
  <c r="C1398" i="1"/>
  <c r="C1399" i="1"/>
  <c r="C1400" i="1"/>
  <c r="C1401" i="1"/>
  <c r="C1402" i="1"/>
  <c r="C1403" i="1"/>
  <c r="C1404" i="1"/>
  <c r="C1405" i="1"/>
  <c r="C1406" i="1"/>
  <c r="C1407" i="1"/>
  <c r="C1408" i="1"/>
  <c r="C1409" i="1"/>
  <c r="C1410" i="1"/>
  <c r="C1411" i="1"/>
  <c r="C1412" i="1"/>
  <c r="C1413" i="1"/>
  <c r="C1414" i="1"/>
  <c r="C1415" i="1"/>
  <c r="C1416" i="1"/>
  <c r="C1417" i="1"/>
  <c r="C1418" i="1"/>
  <c r="C1419" i="1"/>
  <c r="C1420" i="1"/>
  <c r="C1421" i="1"/>
  <c r="C1422" i="1"/>
  <c r="C1423" i="1"/>
  <c r="C1424" i="1"/>
  <c r="C1425" i="1"/>
  <c r="C1426" i="1"/>
  <c r="C1427" i="1"/>
  <c r="C1428" i="1"/>
  <c r="C1429" i="1"/>
  <c r="C1430" i="1"/>
  <c r="C1431" i="1"/>
  <c r="C1432" i="1"/>
  <c r="C1433" i="1"/>
  <c r="C1434" i="1"/>
  <c r="C1435" i="1"/>
  <c r="C1436" i="1"/>
  <c r="C1437" i="1"/>
  <c r="C1438" i="1"/>
  <c r="C1439" i="1"/>
  <c r="C1440" i="1"/>
  <c r="C1441" i="1"/>
  <c r="C1442" i="1"/>
  <c r="C1443" i="1"/>
  <c r="C1444" i="1"/>
  <c r="C1445" i="1"/>
  <c r="C1446" i="1"/>
  <c r="C1447" i="1"/>
  <c r="C1448" i="1"/>
  <c r="C1449" i="1"/>
  <c r="C1450" i="1"/>
  <c r="C1451" i="1"/>
  <c r="C1452" i="1"/>
  <c r="C1453" i="1"/>
  <c r="C1454" i="1"/>
  <c r="C1455" i="1"/>
  <c r="C1456" i="1"/>
  <c r="C1457" i="1"/>
  <c r="C1458" i="1"/>
  <c r="C1459" i="1"/>
  <c r="C1460" i="1"/>
  <c r="C1461" i="1"/>
  <c r="C1462" i="1"/>
  <c r="C1463" i="1"/>
  <c r="C1464" i="1"/>
  <c r="C1465" i="1"/>
  <c r="C1466" i="1"/>
  <c r="C1467" i="1"/>
  <c r="C1468" i="1"/>
  <c r="C1469" i="1"/>
  <c r="C1470" i="1"/>
  <c r="C1471" i="1"/>
  <c r="C1472" i="1"/>
  <c r="C1473" i="1"/>
  <c r="C1474" i="1"/>
  <c r="C1475" i="1"/>
  <c r="C1476" i="1"/>
  <c r="C1477" i="1"/>
  <c r="C1478" i="1"/>
  <c r="C1479" i="1"/>
  <c r="C1480" i="1"/>
  <c r="C1481" i="1"/>
  <c r="C1482" i="1"/>
  <c r="C1483" i="1"/>
  <c r="C1484" i="1"/>
  <c r="C1485" i="1"/>
  <c r="C1486" i="1"/>
  <c r="C1487" i="1"/>
  <c r="C1488" i="1"/>
  <c r="C1489" i="1"/>
  <c r="C1490" i="1"/>
  <c r="C1491" i="1"/>
  <c r="C1492" i="1"/>
  <c r="C1493" i="1"/>
  <c r="C1494" i="1"/>
  <c r="C1495" i="1"/>
  <c r="C1496" i="1"/>
  <c r="C1497" i="1"/>
  <c r="C1498" i="1"/>
  <c r="C1499" i="1"/>
  <c r="C1500" i="1"/>
  <c r="C1501" i="1"/>
  <c r="C1502" i="1"/>
  <c r="C1503" i="1"/>
  <c r="C1504" i="1"/>
  <c r="C1505" i="1"/>
  <c r="C1506" i="1"/>
  <c r="C1507" i="1"/>
  <c r="C1508" i="1"/>
  <c r="C1509" i="1"/>
  <c r="C1510" i="1"/>
  <c r="C1511" i="1"/>
  <c r="C1512" i="1"/>
  <c r="C1513" i="1"/>
  <c r="C1514" i="1"/>
  <c r="C1515" i="1"/>
  <c r="C1516" i="1"/>
  <c r="C1517" i="1"/>
  <c r="C1518" i="1"/>
  <c r="C1519" i="1"/>
  <c r="C1520" i="1"/>
  <c r="C1521" i="1"/>
  <c r="C1522" i="1"/>
  <c r="C1523" i="1"/>
  <c r="C1524" i="1"/>
  <c r="C1525" i="1"/>
  <c r="C1526" i="1"/>
  <c r="C1527" i="1"/>
  <c r="C1528" i="1"/>
  <c r="C1529" i="1"/>
  <c r="C1530" i="1"/>
  <c r="C1531" i="1"/>
  <c r="C1532" i="1"/>
  <c r="C1533" i="1"/>
  <c r="C1534" i="1"/>
  <c r="C1535" i="1"/>
  <c r="C1536" i="1"/>
  <c r="C1537" i="1"/>
  <c r="C1538" i="1"/>
  <c r="C1539" i="1"/>
  <c r="C1540" i="1"/>
  <c r="C1541" i="1"/>
  <c r="C1542" i="1"/>
  <c r="C1543" i="1"/>
  <c r="C1544" i="1"/>
  <c r="C1545" i="1"/>
  <c r="C1546" i="1"/>
  <c r="C1547" i="1"/>
  <c r="C1548" i="1"/>
  <c r="C1549" i="1"/>
  <c r="C1550" i="1"/>
  <c r="C1551" i="1"/>
  <c r="C1552" i="1"/>
  <c r="C1553" i="1"/>
  <c r="C1554" i="1"/>
  <c r="C1555" i="1"/>
  <c r="C1556" i="1"/>
  <c r="C1557" i="1"/>
  <c r="C1558" i="1"/>
  <c r="C1559" i="1"/>
  <c r="C1560" i="1"/>
  <c r="C1561" i="1"/>
  <c r="C1562" i="1"/>
  <c r="C1563" i="1"/>
  <c r="C1564" i="1"/>
  <c r="C1565" i="1"/>
  <c r="C1566" i="1"/>
  <c r="C1567" i="1"/>
  <c r="C1568" i="1"/>
  <c r="C1569" i="1"/>
  <c r="C1570" i="1"/>
  <c r="C1571" i="1"/>
  <c r="C1572" i="1"/>
  <c r="C1573" i="1"/>
  <c r="C1574" i="1"/>
  <c r="C1575" i="1"/>
  <c r="C1576" i="1"/>
  <c r="C1577" i="1"/>
  <c r="C1578" i="1"/>
  <c r="C1579" i="1"/>
  <c r="C1580" i="1"/>
  <c r="C1581" i="1"/>
  <c r="C1582" i="1"/>
  <c r="C1583" i="1"/>
  <c r="C1584" i="1"/>
  <c r="C1585" i="1"/>
  <c r="C1586" i="1"/>
  <c r="C1587" i="1"/>
  <c r="C1588" i="1"/>
  <c r="C1589" i="1"/>
  <c r="C1590" i="1"/>
  <c r="C1591" i="1"/>
  <c r="C1592" i="1"/>
  <c r="C1593" i="1"/>
  <c r="C1594" i="1"/>
  <c r="C1595" i="1"/>
  <c r="C1596" i="1"/>
  <c r="C1597" i="1"/>
  <c r="C1598" i="1"/>
  <c r="C1599" i="1"/>
  <c r="C1600" i="1"/>
  <c r="C1601" i="1"/>
  <c r="C1602" i="1"/>
  <c r="C1603" i="1"/>
  <c r="C1604" i="1"/>
  <c r="C1605" i="1"/>
  <c r="C1606" i="1"/>
  <c r="C1607" i="1"/>
  <c r="C1608" i="1"/>
  <c r="C1609" i="1"/>
  <c r="C1610" i="1"/>
  <c r="C1611" i="1"/>
  <c r="C1612" i="1"/>
  <c r="C1613" i="1"/>
  <c r="C1614" i="1"/>
  <c r="C1615" i="1"/>
  <c r="C1616" i="1"/>
  <c r="C1617" i="1"/>
  <c r="C1618" i="1"/>
  <c r="C1619" i="1"/>
  <c r="C1620" i="1"/>
  <c r="C1621" i="1"/>
  <c r="C1622" i="1"/>
  <c r="C1623" i="1"/>
  <c r="C1624" i="1"/>
  <c r="C1625" i="1"/>
  <c r="C1626" i="1"/>
  <c r="C1627" i="1"/>
  <c r="C1628" i="1"/>
  <c r="C1629" i="1"/>
  <c r="C1630" i="1"/>
  <c r="C1631" i="1"/>
  <c r="C1632" i="1"/>
  <c r="C1633" i="1"/>
  <c r="C1634" i="1"/>
  <c r="C1635" i="1"/>
  <c r="C1636" i="1"/>
  <c r="C1637" i="1"/>
  <c r="C1638" i="1"/>
  <c r="C1639" i="1"/>
  <c r="C1640" i="1"/>
  <c r="C1641" i="1"/>
  <c r="C1642" i="1"/>
  <c r="C1643" i="1"/>
  <c r="C1644" i="1"/>
  <c r="C1645" i="1"/>
  <c r="C1646" i="1"/>
  <c r="C1647" i="1"/>
  <c r="C1648" i="1"/>
  <c r="C1649" i="1"/>
  <c r="C1650" i="1"/>
  <c r="C1651" i="1"/>
  <c r="C1652" i="1"/>
  <c r="C1653" i="1"/>
  <c r="C1654" i="1"/>
  <c r="C1655" i="1"/>
  <c r="C1656" i="1"/>
  <c r="C1657" i="1"/>
  <c r="C1658" i="1"/>
  <c r="C1659" i="1"/>
  <c r="C1660" i="1"/>
  <c r="C1661" i="1"/>
  <c r="C1662" i="1"/>
  <c r="C1663" i="1"/>
  <c r="C1664" i="1"/>
  <c r="C1665" i="1"/>
  <c r="C1666" i="1"/>
  <c r="C1667" i="1"/>
  <c r="C1668" i="1"/>
  <c r="C1669" i="1"/>
  <c r="C1670" i="1"/>
  <c r="C1671" i="1"/>
  <c r="C1672" i="1"/>
  <c r="C1673" i="1"/>
  <c r="C1674" i="1"/>
  <c r="C1675" i="1"/>
  <c r="C1676" i="1"/>
  <c r="C1677" i="1"/>
  <c r="C1678" i="1"/>
  <c r="C1679" i="1"/>
  <c r="C1680" i="1"/>
  <c r="C1681" i="1"/>
  <c r="C1682" i="1"/>
  <c r="C1683" i="1"/>
  <c r="C1684" i="1"/>
  <c r="C1685" i="1"/>
  <c r="C1686" i="1"/>
  <c r="C1687" i="1"/>
  <c r="C1688" i="1"/>
  <c r="C1689" i="1"/>
  <c r="C1690" i="1"/>
  <c r="C1691" i="1"/>
  <c r="C1692" i="1"/>
  <c r="C1693" i="1"/>
  <c r="C1694" i="1"/>
  <c r="C1695" i="1"/>
  <c r="C1696" i="1"/>
  <c r="C1697" i="1"/>
  <c r="C1698" i="1"/>
  <c r="C1699" i="1"/>
  <c r="C1700" i="1"/>
  <c r="C1701" i="1"/>
  <c r="C1702" i="1"/>
  <c r="C1703" i="1"/>
  <c r="C1704" i="1"/>
  <c r="C1705" i="1"/>
  <c r="C1706" i="1"/>
  <c r="C1707" i="1"/>
  <c r="C1708" i="1"/>
  <c r="C1709" i="1"/>
  <c r="C1710" i="1"/>
  <c r="C1711" i="1"/>
  <c r="C1712" i="1"/>
  <c r="C1713" i="1"/>
  <c r="C1714" i="1"/>
  <c r="C1715" i="1"/>
  <c r="C1716" i="1"/>
  <c r="C1717" i="1"/>
  <c r="C1718" i="1"/>
  <c r="C1719" i="1"/>
  <c r="C1720" i="1"/>
  <c r="C1721" i="1"/>
  <c r="C1722" i="1"/>
  <c r="C1723" i="1"/>
  <c r="C1724" i="1"/>
  <c r="C1725" i="1"/>
  <c r="C1726" i="1"/>
  <c r="C1727" i="1"/>
  <c r="C1728" i="1"/>
  <c r="C1729" i="1"/>
  <c r="C1730" i="1"/>
  <c r="C1731" i="1"/>
  <c r="C1732" i="1"/>
  <c r="C1733" i="1"/>
  <c r="C1734" i="1"/>
  <c r="C1735" i="1"/>
  <c r="C1736" i="1"/>
  <c r="C1737" i="1"/>
  <c r="C1738" i="1"/>
  <c r="C1739" i="1"/>
  <c r="C1740" i="1"/>
  <c r="C1741" i="1"/>
  <c r="C1742" i="1"/>
  <c r="C1743" i="1"/>
  <c r="C1744" i="1"/>
  <c r="C1745" i="1"/>
  <c r="C1746" i="1"/>
  <c r="C1747" i="1"/>
  <c r="C1748" i="1"/>
  <c r="C1749" i="1"/>
  <c r="C1750" i="1"/>
  <c r="C1751" i="1"/>
  <c r="C1752" i="1"/>
  <c r="C1753" i="1"/>
  <c r="C1754" i="1"/>
  <c r="C1755" i="1"/>
  <c r="C1756" i="1"/>
  <c r="C1757" i="1"/>
  <c r="C1758" i="1"/>
  <c r="C1759" i="1"/>
  <c r="C1760" i="1"/>
  <c r="C1761" i="1"/>
  <c r="C1762" i="1"/>
  <c r="C1763" i="1"/>
  <c r="C1764" i="1"/>
  <c r="C1765" i="1"/>
  <c r="C1766" i="1"/>
  <c r="C1767" i="1"/>
  <c r="C1768" i="1"/>
  <c r="C1769" i="1"/>
  <c r="C1770" i="1"/>
  <c r="C1771" i="1"/>
  <c r="C1772" i="1"/>
  <c r="C1773" i="1"/>
  <c r="C1774" i="1"/>
  <c r="C1775" i="1"/>
  <c r="C1776" i="1"/>
  <c r="C1777" i="1"/>
  <c r="C1778" i="1"/>
  <c r="C1779" i="1"/>
  <c r="C1780" i="1"/>
  <c r="C1781" i="1"/>
  <c r="C1782" i="1"/>
  <c r="C1783" i="1"/>
  <c r="C1784" i="1"/>
  <c r="C1785" i="1"/>
  <c r="C1786" i="1"/>
  <c r="C1787" i="1"/>
  <c r="C1788" i="1"/>
  <c r="C1789" i="1"/>
  <c r="C1790" i="1"/>
  <c r="C1791" i="1"/>
  <c r="C1792" i="1"/>
  <c r="C1793" i="1"/>
  <c r="C1794" i="1"/>
  <c r="C1795" i="1"/>
  <c r="C1796" i="1"/>
  <c r="C1797" i="1"/>
  <c r="C1798" i="1"/>
  <c r="C1799" i="1"/>
  <c r="C1800" i="1"/>
  <c r="C1801" i="1"/>
  <c r="C1802" i="1"/>
  <c r="C1803" i="1"/>
  <c r="C1804" i="1"/>
  <c r="C1805" i="1"/>
  <c r="C1806" i="1"/>
  <c r="C1807" i="1"/>
  <c r="C1808" i="1"/>
  <c r="C1809" i="1"/>
  <c r="C1810" i="1"/>
  <c r="C1811" i="1"/>
  <c r="C1812" i="1"/>
  <c r="C1813" i="1"/>
  <c r="C1814" i="1"/>
  <c r="C1815" i="1"/>
  <c r="C1816" i="1"/>
  <c r="C1817" i="1"/>
  <c r="C1818" i="1"/>
  <c r="C1819" i="1"/>
  <c r="C1820" i="1"/>
  <c r="C1821" i="1"/>
  <c r="C1822" i="1"/>
  <c r="C1823" i="1"/>
  <c r="C1824" i="1"/>
  <c r="C1825" i="1"/>
  <c r="C1826" i="1"/>
  <c r="C1827" i="1"/>
  <c r="C1828" i="1"/>
  <c r="C1829" i="1"/>
  <c r="C1830" i="1"/>
  <c r="C1831" i="1"/>
  <c r="C1832" i="1"/>
  <c r="C1833" i="1"/>
  <c r="C1834" i="1"/>
  <c r="C1835" i="1"/>
  <c r="C1836" i="1"/>
  <c r="C1837" i="1"/>
  <c r="C1838" i="1"/>
  <c r="C1839" i="1"/>
  <c r="C1840" i="1"/>
  <c r="C1841" i="1"/>
  <c r="C1842" i="1"/>
  <c r="C1843" i="1"/>
  <c r="C1844" i="1"/>
  <c r="C1845" i="1"/>
  <c r="C1846" i="1"/>
  <c r="C1847" i="1"/>
  <c r="C1848" i="1"/>
  <c r="C1849" i="1"/>
  <c r="C1850" i="1"/>
  <c r="C1851" i="1"/>
  <c r="C1852" i="1"/>
  <c r="C1853" i="1"/>
  <c r="C1854" i="1"/>
  <c r="C1855" i="1"/>
  <c r="C1856" i="1"/>
  <c r="C1857" i="1"/>
  <c r="C1858" i="1"/>
  <c r="C1859" i="1"/>
  <c r="C1860" i="1"/>
  <c r="C1861" i="1"/>
  <c r="C1862" i="1"/>
  <c r="C1863" i="1"/>
  <c r="C1864" i="1"/>
  <c r="C1865" i="1"/>
  <c r="C1866" i="1"/>
  <c r="C1867" i="1"/>
  <c r="C1868" i="1"/>
  <c r="C1869" i="1"/>
  <c r="C1870" i="1"/>
  <c r="C1871" i="1"/>
  <c r="C1872" i="1"/>
  <c r="C1873" i="1"/>
  <c r="C1874" i="1"/>
  <c r="C1875" i="1"/>
  <c r="C1876" i="1"/>
  <c r="C1877" i="1"/>
  <c r="C1878" i="1"/>
  <c r="C1879" i="1"/>
  <c r="C1880" i="1"/>
  <c r="C1881" i="1"/>
  <c r="C1882" i="1"/>
  <c r="C1883" i="1"/>
  <c r="C1884" i="1"/>
  <c r="C1885" i="1"/>
  <c r="C1886" i="1"/>
  <c r="C1887" i="1"/>
  <c r="C1888" i="1"/>
  <c r="C1889" i="1"/>
  <c r="C1890" i="1"/>
  <c r="C1891" i="1"/>
  <c r="C1892" i="1"/>
  <c r="C1893" i="1"/>
  <c r="C1894" i="1"/>
  <c r="C1895" i="1"/>
  <c r="C1896" i="1"/>
  <c r="C1897" i="1"/>
  <c r="C1898" i="1"/>
  <c r="C1899" i="1"/>
  <c r="C1900" i="1"/>
  <c r="C1901" i="1"/>
  <c r="C1902" i="1"/>
  <c r="C1903" i="1"/>
  <c r="C1904" i="1"/>
  <c r="C1905" i="1"/>
  <c r="C1906" i="1"/>
  <c r="C1907" i="1"/>
  <c r="C1908" i="1"/>
  <c r="C1909" i="1"/>
  <c r="C1910" i="1"/>
  <c r="C1911" i="1"/>
  <c r="C1912" i="1"/>
  <c r="C1913" i="1"/>
  <c r="C1914" i="1"/>
  <c r="C1915" i="1"/>
  <c r="C1916" i="1"/>
  <c r="C1917" i="1"/>
  <c r="C1918" i="1"/>
  <c r="C1919" i="1"/>
  <c r="C1920" i="1"/>
  <c r="C1921" i="1"/>
  <c r="C1922" i="1"/>
  <c r="C1923" i="1"/>
  <c r="C1924" i="1"/>
  <c r="C1925" i="1"/>
  <c r="C1926" i="1"/>
  <c r="C1927" i="1"/>
  <c r="C1928" i="1"/>
  <c r="C1929" i="1"/>
  <c r="C1930" i="1"/>
  <c r="C1931" i="1"/>
  <c r="C1932" i="1"/>
  <c r="C1933" i="1"/>
  <c r="C1934" i="1"/>
  <c r="C1935" i="1"/>
  <c r="C1936" i="1"/>
  <c r="C1937" i="1"/>
  <c r="C1938" i="1"/>
  <c r="C1939" i="1"/>
  <c r="C1940" i="1"/>
  <c r="C1941" i="1"/>
  <c r="C1942" i="1"/>
  <c r="C1943" i="1"/>
  <c r="C1944" i="1"/>
  <c r="C1945" i="1"/>
  <c r="C1946" i="1"/>
  <c r="C1947" i="1"/>
  <c r="C1948" i="1"/>
  <c r="C1949" i="1"/>
  <c r="C1950" i="1"/>
  <c r="C1951" i="1"/>
  <c r="C1952" i="1"/>
  <c r="C1953" i="1"/>
  <c r="C1954" i="1"/>
  <c r="C1955" i="1"/>
  <c r="C1956" i="1"/>
  <c r="C1957" i="1"/>
  <c r="C1958" i="1"/>
  <c r="C1959" i="1"/>
  <c r="C1960" i="1"/>
  <c r="C1961" i="1"/>
  <c r="C1962" i="1"/>
  <c r="C1963" i="1"/>
  <c r="C1964" i="1"/>
  <c r="C1965" i="1"/>
  <c r="C1966" i="1"/>
  <c r="C1967" i="1"/>
  <c r="C1968" i="1"/>
  <c r="C1969" i="1"/>
  <c r="C1970" i="1"/>
  <c r="C1971" i="1"/>
  <c r="C1972" i="1"/>
  <c r="C1973" i="1"/>
  <c r="C1974" i="1"/>
  <c r="C1975" i="1"/>
  <c r="C1976" i="1"/>
  <c r="C1977" i="1"/>
  <c r="C1978" i="1"/>
  <c r="C1979" i="1"/>
  <c r="C1980" i="1"/>
  <c r="C1981" i="1"/>
  <c r="C1982" i="1"/>
  <c r="C1983" i="1"/>
  <c r="C1984" i="1"/>
  <c r="C1985" i="1"/>
  <c r="C1986" i="1"/>
  <c r="C1987" i="1"/>
  <c r="C1988" i="1"/>
  <c r="C1989" i="1"/>
  <c r="C1990" i="1"/>
  <c r="C1991" i="1"/>
  <c r="C1992" i="1"/>
  <c r="C1993" i="1"/>
  <c r="C1994" i="1"/>
  <c r="C1995" i="1"/>
  <c r="C1996" i="1"/>
  <c r="C1997" i="1"/>
  <c r="C1998" i="1"/>
  <c r="C1999" i="1"/>
  <c r="C2000" i="1"/>
  <c r="C2001" i="1"/>
  <c r="C2002" i="1"/>
  <c r="C2003" i="1"/>
  <c r="C2004" i="1"/>
  <c r="C2005" i="1"/>
  <c r="C2006" i="1"/>
  <c r="C2007" i="1"/>
  <c r="C2008" i="1"/>
  <c r="C2009" i="1"/>
  <c r="C2010" i="1"/>
  <c r="C2011" i="1"/>
  <c r="C2012" i="1"/>
  <c r="C2013" i="1"/>
  <c r="C2014" i="1"/>
  <c r="C2015" i="1"/>
  <c r="C2016" i="1"/>
  <c r="C2017" i="1"/>
  <c r="C2018" i="1"/>
  <c r="C2019" i="1"/>
  <c r="C2020" i="1"/>
  <c r="C2021" i="1"/>
  <c r="C2022" i="1"/>
  <c r="C2023" i="1"/>
  <c r="C2024" i="1"/>
  <c r="C2025" i="1"/>
  <c r="C2026" i="1"/>
  <c r="C2027" i="1"/>
  <c r="C2028" i="1"/>
  <c r="C2029" i="1"/>
  <c r="C2030" i="1"/>
  <c r="C2031" i="1"/>
  <c r="C2032" i="1"/>
  <c r="C2033" i="1"/>
  <c r="C2034" i="1"/>
  <c r="C2035" i="1"/>
  <c r="C2036" i="1"/>
  <c r="C2037" i="1"/>
  <c r="C2038" i="1"/>
  <c r="C2039" i="1"/>
  <c r="C2040" i="1"/>
  <c r="C2041" i="1"/>
  <c r="C2042" i="1"/>
  <c r="C2043" i="1"/>
  <c r="C2044" i="1"/>
  <c r="C2045" i="1"/>
  <c r="C2046" i="1"/>
  <c r="C2047" i="1"/>
  <c r="C2048" i="1"/>
  <c r="C2049" i="1"/>
  <c r="C2050" i="1"/>
  <c r="C2051" i="1"/>
  <c r="C2052" i="1"/>
  <c r="C2053" i="1"/>
  <c r="C2054" i="1"/>
  <c r="C2055" i="1"/>
  <c r="C2056" i="1"/>
  <c r="C2057" i="1"/>
  <c r="C2058" i="1"/>
  <c r="C2059" i="1"/>
  <c r="C2060" i="1"/>
  <c r="C2061" i="1"/>
  <c r="C2062" i="1"/>
  <c r="C2063" i="1"/>
  <c r="C2064" i="1"/>
  <c r="C2065" i="1"/>
  <c r="C2066" i="1"/>
  <c r="C2067" i="1"/>
  <c r="C2068" i="1"/>
  <c r="C2069" i="1"/>
  <c r="C2070" i="1"/>
  <c r="C2071" i="1"/>
  <c r="C2072" i="1"/>
  <c r="C2073" i="1"/>
  <c r="C2074" i="1"/>
  <c r="C2075" i="1"/>
  <c r="C2076" i="1"/>
  <c r="C2077" i="1"/>
  <c r="C2078" i="1"/>
  <c r="C2079" i="1"/>
  <c r="C2080" i="1"/>
  <c r="C2081" i="1"/>
  <c r="C2082" i="1"/>
  <c r="C2083" i="1"/>
  <c r="C2084" i="1"/>
  <c r="C2085" i="1"/>
  <c r="C2086" i="1"/>
  <c r="C2087" i="1"/>
  <c r="C2088" i="1"/>
  <c r="C2089" i="1"/>
  <c r="C2090" i="1"/>
  <c r="C2091" i="1"/>
  <c r="C2092" i="1"/>
  <c r="C2093" i="1"/>
  <c r="C2094" i="1"/>
  <c r="C2095" i="1"/>
  <c r="C2096" i="1"/>
  <c r="C2097" i="1"/>
  <c r="C2098" i="1"/>
  <c r="C2099" i="1"/>
  <c r="A2" i="1"/>
  <c r="A3" i="1"/>
  <c r="A4" i="1"/>
  <c r="A5" i="1"/>
  <c r="A6" i="1"/>
  <c r="A7" i="1"/>
  <c r="A8" i="1"/>
  <c r="A9" i="1"/>
  <c r="A10" i="1"/>
  <c r="A11" i="1"/>
  <c r="A12" i="1"/>
  <c r="A13" i="1"/>
  <c r="A14" i="1"/>
  <c r="A15" i="1"/>
  <c r="A16" i="1"/>
  <c r="A17" i="1"/>
  <c r="A18" i="1"/>
  <c r="A19" i="1"/>
  <c r="A20" i="1"/>
  <c r="A21" i="1"/>
  <c r="A22" i="1"/>
  <c r="A23" i="1"/>
  <c r="A24" i="1"/>
  <c r="A25" i="1"/>
  <c r="A26" i="1"/>
  <c r="A27" i="1"/>
  <c r="A28" i="1"/>
  <c r="A29" i="1"/>
  <c r="A30" i="1"/>
  <c r="A31" i="1"/>
  <c r="A32" i="1"/>
  <c r="A33" i="1"/>
  <c r="A34" i="1"/>
  <c r="A35" i="1"/>
  <c r="A36" i="1"/>
  <c r="A37" i="1"/>
  <c r="A38" i="1"/>
  <c r="A39" i="1"/>
  <c r="A40" i="1"/>
  <c r="A41" i="1"/>
  <c r="A42" i="1"/>
  <c r="A43" i="1"/>
  <c r="A44" i="1"/>
  <c r="A45" i="1"/>
  <c r="A46" i="1"/>
  <c r="A47" i="1"/>
  <c r="A48" i="1"/>
  <c r="A49" i="1"/>
  <c r="A50" i="1"/>
  <c r="A51" i="1"/>
  <c r="A52" i="1"/>
  <c r="A53" i="1"/>
  <c r="A54" i="1"/>
  <c r="A55" i="1"/>
  <c r="A56" i="1"/>
  <c r="A57" i="1"/>
  <c r="A58" i="1"/>
  <c r="A59" i="1"/>
  <c r="A60" i="1"/>
  <c r="A61" i="1"/>
  <c r="A62" i="1"/>
  <c r="A63" i="1"/>
  <c r="A64" i="1"/>
  <c r="A65" i="1"/>
  <c r="A66" i="1"/>
  <c r="A67" i="1"/>
  <c r="A68" i="1"/>
  <c r="A69" i="1"/>
  <c r="A70" i="1"/>
  <c r="A71" i="1"/>
  <c r="A72" i="1"/>
  <c r="A73" i="1"/>
  <c r="A74" i="1"/>
  <c r="A75" i="1"/>
  <c r="A76" i="1"/>
  <c r="A77" i="1"/>
  <c r="A78" i="1"/>
  <c r="A79" i="1"/>
  <c r="A80" i="1"/>
  <c r="A81" i="1"/>
  <c r="A82" i="1"/>
  <c r="A83" i="1"/>
  <c r="A84" i="1"/>
  <c r="A85" i="1"/>
  <c r="A86" i="1"/>
  <c r="A87" i="1"/>
  <c r="A88" i="1"/>
  <c r="A89" i="1"/>
  <c r="A90" i="1"/>
  <c r="A91" i="1"/>
  <c r="A92" i="1"/>
  <c r="A93" i="1"/>
  <c r="A94" i="1"/>
  <c r="A95" i="1"/>
  <c r="A96" i="1"/>
  <c r="A97" i="1"/>
  <c r="A98" i="1"/>
  <c r="A99" i="1"/>
  <c r="A100" i="1"/>
  <c r="A101" i="1"/>
  <c r="A102" i="1"/>
  <c r="A103" i="1"/>
  <c r="A104" i="1"/>
  <c r="A105" i="1"/>
  <c r="A106" i="1"/>
  <c r="A107" i="1"/>
  <c r="A108" i="1"/>
  <c r="A109" i="1"/>
  <c r="A110" i="1"/>
  <c r="A111" i="1"/>
  <c r="A112" i="1"/>
  <c r="A113" i="1"/>
  <c r="A114" i="1"/>
  <c r="A115" i="1"/>
  <c r="A116" i="1"/>
  <c r="A117" i="1"/>
  <c r="A118" i="1"/>
  <c r="A119" i="1"/>
  <c r="A120" i="1"/>
  <c r="A121" i="1"/>
  <c r="A122" i="1"/>
  <c r="A123" i="1"/>
  <c r="A124" i="1"/>
  <c r="A125" i="1"/>
  <c r="A126" i="1"/>
  <c r="A127" i="1"/>
  <c r="A128" i="1"/>
  <c r="A129" i="1"/>
  <c r="A130" i="1"/>
  <c r="A131" i="1"/>
  <c r="A132" i="1"/>
  <c r="A133" i="1"/>
  <c r="A134" i="1"/>
  <c r="A135" i="1"/>
  <c r="A136" i="1"/>
  <c r="A137" i="1"/>
  <c r="A138" i="1"/>
  <c r="A139" i="1"/>
  <c r="A140" i="1"/>
  <c r="A141" i="1"/>
  <c r="A142" i="1"/>
  <c r="A143" i="1"/>
  <c r="A144" i="1"/>
  <c r="A145" i="1"/>
  <c r="A146" i="1"/>
  <c r="A147" i="1"/>
  <c r="A148" i="1"/>
  <c r="A149" i="1"/>
  <c r="A150" i="1"/>
  <c r="A151" i="1"/>
  <c r="A152" i="1"/>
  <c r="A153" i="1"/>
  <c r="A154" i="1"/>
  <c r="A155" i="1"/>
  <c r="A156" i="1"/>
  <c r="A157" i="1"/>
  <c r="A158" i="1"/>
  <c r="A159" i="1"/>
  <c r="A160" i="1"/>
  <c r="A161" i="1"/>
  <c r="A162" i="1"/>
  <c r="A163" i="1"/>
  <c r="A164" i="1"/>
  <c r="A165" i="1"/>
  <c r="A166" i="1"/>
  <c r="A167" i="1"/>
  <c r="A168" i="1"/>
  <c r="A169" i="1"/>
  <c r="A170" i="1"/>
  <c r="A171" i="1"/>
  <c r="A172" i="1"/>
  <c r="A173" i="1"/>
  <c r="A174" i="1"/>
  <c r="A175" i="1"/>
  <c r="A176" i="1"/>
  <c r="A177" i="1"/>
  <c r="A178" i="1"/>
  <c r="A179" i="1"/>
  <c r="A180" i="1"/>
  <c r="A181" i="1"/>
  <c r="A182" i="1"/>
  <c r="A183" i="1"/>
  <c r="A184" i="1"/>
  <c r="A185" i="1"/>
  <c r="A186" i="1"/>
  <c r="A187" i="1"/>
  <c r="A188" i="1"/>
  <c r="A189" i="1"/>
  <c r="A190" i="1"/>
  <c r="A191" i="1"/>
  <c r="A192" i="1"/>
  <c r="A193" i="1"/>
  <c r="A194" i="1"/>
  <c r="A195" i="1"/>
  <c r="A196" i="1"/>
  <c r="A197" i="1"/>
  <c r="A198" i="1"/>
  <c r="A199" i="1"/>
  <c r="A200" i="1"/>
  <c r="A201" i="1"/>
  <c r="A202" i="1"/>
  <c r="A203" i="1"/>
  <c r="A204" i="1"/>
  <c r="A205" i="1"/>
  <c r="A206" i="1"/>
  <c r="A207" i="1"/>
  <c r="A208" i="1"/>
  <c r="A209" i="1"/>
  <c r="A210" i="1"/>
  <c r="A211" i="1"/>
  <c r="A212" i="1"/>
  <c r="A213" i="1"/>
  <c r="A214" i="1"/>
  <c r="A215" i="1"/>
  <c r="A216" i="1"/>
  <c r="A217" i="1"/>
  <c r="A218" i="1"/>
  <c r="A219" i="1"/>
  <c r="A220" i="1"/>
  <c r="A221" i="1"/>
  <c r="A222" i="1"/>
  <c r="A223" i="1"/>
  <c r="A224" i="1"/>
  <c r="A225" i="1"/>
  <c r="A226" i="1"/>
  <c r="A227" i="1"/>
  <c r="A228" i="1"/>
  <c r="A229" i="1"/>
  <c r="A230" i="1"/>
  <c r="A231" i="1"/>
  <c r="A232" i="1"/>
  <c r="A233" i="1"/>
  <c r="A234" i="1"/>
  <c r="A235" i="1"/>
  <c r="A236" i="1"/>
  <c r="A237" i="1"/>
  <c r="A238" i="1"/>
  <c r="A239" i="1"/>
  <c r="A240" i="1"/>
  <c r="A241" i="1"/>
  <c r="A242" i="1"/>
  <c r="A243" i="1"/>
  <c r="A244" i="1"/>
  <c r="A245" i="1"/>
  <c r="A246" i="1"/>
  <c r="A247" i="1"/>
  <c r="A248" i="1"/>
  <c r="A249" i="1"/>
  <c r="A250" i="1"/>
  <c r="A251" i="1"/>
  <c r="A252" i="1"/>
  <c r="A253" i="1"/>
  <c r="A254" i="1"/>
  <c r="A255" i="1"/>
  <c r="A256" i="1"/>
  <c r="A257" i="1"/>
  <c r="A258" i="1"/>
  <c r="A259" i="1"/>
  <c r="A260" i="1"/>
  <c r="A261" i="1"/>
  <c r="A262" i="1"/>
  <c r="A263" i="1"/>
  <c r="A264" i="1"/>
  <c r="A265" i="1"/>
  <c r="A266" i="1"/>
  <c r="A267" i="1"/>
  <c r="A268" i="1"/>
  <c r="A269" i="1"/>
  <c r="A270" i="1"/>
  <c r="A271" i="1"/>
  <c r="A272" i="1"/>
  <c r="A273" i="1"/>
  <c r="A274" i="1"/>
  <c r="A275" i="1"/>
  <c r="A276" i="1"/>
  <c r="A277" i="1"/>
  <c r="A278" i="1"/>
  <c r="A279" i="1"/>
  <c r="A280" i="1"/>
  <c r="A281" i="1"/>
  <c r="A282" i="1"/>
  <c r="A283" i="1"/>
  <c r="A284" i="1"/>
  <c r="A285" i="1"/>
  <c r="A286" i="1"/>
  <c r="A287" i="1"/>
  <c r="A288" i="1"/>
  <c r="A289" i="1"/>
  <c r="A290" i="1"/>
  <c r="A291" i="1"/>
  <c r="A292" i="1"/>
  <c r="A293" i="1"/>
  <c r="A294" i="1"/>
  <c r="A295" i="1"/>
  <c r="A296" i="1"/>
  <c r="A297" i="1"/>
  <c r="A298" i="1"/>
  <c r="A299" i="1"/>
  <c r="A300" i="1"/>
  <c r="A301" i="1"/>
  <c r="A302" i="1"/>
  <c r="A303" i="1"/>
  <c r="A304" i="1"/>
  <c r="A305" i="1"/>
  <c r="A306" i="1"/>
  <c r="A307" i="1"/>
  <c r="A308" i="1"/>
  <c r="A309" i="1"/>
  <c r="A310" i="1"/>
  <c r="A311" i="1"/>
  <c r="A312" i="1"/>
  <c r="A313" i="1"/>
  <c r="A314" i="1"/>
  <c r="A315" i="1"/>
  <c r="A316" i="1"/>
  <c r="A317" i="1"/>
  <c r="A318" i="1"/>
  <c r="A319" i="1"/>
  <c r="A320" i="1"/>
  <c r="A321" i="1"/>
  <c r="A322" i="1"/>
  <c r="A323" i="1"/>
  <c r="A324" i="1"/>
  <c r="A325" i="1"/>
  <c r="A326" i="1"/>
  <c r="A327" i="1"/>
  <c r="A328" i="1"/>
  <c r="A329" i="1"/>
  <c r="A330" i="1"/>
  <c r="A331" i="1"/>
  <c r="A332" i="1"/>
  <c r="A333" i="1"/>
  <c r="A334" i="1"/>
  <c r="A335" i="1"/>
  <c r="A336" i="1"/>
  <c r="A337" i="1"/>
  <c r="A338" i="1"/>
  <c r="A339" i="1"/>
  <c r="A340" i="1"/>
  <c r="A341" i="1"/>
  <c r="A342" i="1"/>
  <c r="A343" i="1"/>
  <c r="A344" i="1"/>
  <c r="A345" i="1"/>
  <c r="A346" i="1"/>
  <c r="A347" i="1"/>
  <c r="A348" i="1"/>
  <c r="A349" i="1"/>
  <c r="A350" i="1"/>
  <c r="A351" i="1"/>
  <c r="A352" i="1"/>
  <c r="A353" i="1"/>
  <c r="A354" i="1"/>
  <c r="A355" i="1"/>
  <c r="A356" i="1"/>
  <c r="A357" i="1"/>
  <c r="A358" i="1"/>
  <c r="A359" i="1"/>
  <c r="A360" i="1"/>
  <c r="A361" i="1"/>
  <c r="A362" i="1"/>
  <c r="A363" i="1"/>
  <c r="A364" i="1"/>
  <c r="A365" i="1"/>
  <c r="A366" i="1"/>
  <c r="A367" i="1"/>
  <c r="A368" i="1"/>
  <c r="A369" i="1"/>
  <c r="A370" i="1"/>
  <c r="A371" i="1"/>
  <c r="A372" i="1"/>
  <c r="A373" i="1"/>
  <c r="A374" i="1"/>
  <c r="A375" i="1"/>
  <c r="A376" i="1"/>
  <c r="A377" i="1"/>
  <c r="A378" i="1"/>
  <c r="A379" i="1"/>
  <c r="A380" i="1"/>
  <c r="A381" i="1"/>
  <c r="A382" i="1"/>
  <c r="A383" i="1"/>
  <c r="A384" i="1"/>
  <c r="A385" i="1"/>
  <c r="A386" i="1"/>
  <c r="A387" i="1"/>
  <c r="A388" i="1"/>
  <c r="A389" i="1"/>
  <c r="A390" i="1"/>
  <c r="A391" i="1"/>
  <c r="A392" i="1"/>
  <c r="A393" i="1"/>
  <c r="A394" i="1"/>
  <c r="A395" i="1"/>
  <c r="A396" i="1"/>
  <c r="A397" i="1"/>
  <c r="A398" i="1"/>
  <c r="A399" i="1"/>
  <c r="A400" i="1"/>
  <c r="A401" i="1"/>
  <c r="A402" i="1"/>
  <c r="A403" i="1"/>
  <c r="A404" i="1"/>
  <c r="A405" i="1"/>
  <c r="A406" i="1"/>
  <c r="A407" i="1"/>
  <c r="A408" i="1"/>
  <c r="A409" i="1"/>
  <c r="A410" i="1"/>
  <c r="A411" i="1"/>
  <c r="A412" i="1"/>
  <c r="A413" i="1"/>
  <c r="A414" i="1"/>
  <c r="A415" i="1"/>
  <c r="A416" i="1"/>
  <c r="A417" i="1"/>
  <c r="A418" i="1"/>
  <c r="A419" i="1"/>
  <c r="A420" i="1"/>
  <c r="A421" i="1"/>
  <c r="A422" i="1"/>
  <c r="A423" i="1"/>
  <c r="A424" i="1"/>
  <c r="A425" i="1"/>
  <c r="A426" i="1"/>
  <c r="A427" i="1"/>
  <c r="A428" i="1"/>
  <c r="A429" i="1"/>
  <c r="A430" i="1"/>
  <c r="A431" i="1"/>
  <c r="A432" i="1"/>
  <c r="A433" i="1"/>
  <c r="A434" i="1"/>
  <c r="A435" i="1"/>
  <c r="A436" i="1"/>
  <c r="A437" i="1"/>
  <c r="A438" i="1"/>
  <c r="A439" i="1"/>
  <c r="A440" i="1"/>
  <c r="A441" i="1"/>
  <c r="A442" i="1"/>
  <c r="A443" i="1"/>
  <c r="A444" i="1"/>
  <c r="A445" i="1"/>
  <c r="A446" i="1"/>
  <c r="A447" i="1"/>
  <c r="A448" i="1"/>
  <c r="A449" i="1"/>
  <c r="A450" i="1"/>
  <c r="A451" i="1"/>
  <c r="A452" i="1"/>
  <c r="A453" i="1"/>
  <c r="A454" i="1"/>
  <c r="A455" i="1"/>
  <c r="A456" i="1"/>
  <c r="A457" i="1"/>
  <c r="A458" i="1"/>
  <c r="A459" i="1"/>
  <c r="A460" i="1"/>
  <c r="A461" i="1"/>
  <c r="A462" i="1"/>
  <c r="A463" i="1"/>
  <c r="A464" i="1"/>
  <c r="A465" i="1"/>
  <c r="A466" i="1"/>
  <c r="A467" i="1"/>
  <c r="A468" i="1"/>
  <c r="A469" i="1"/>
  <c r="A470" i="1"/>
  <c r="A471" i="1"/>
  <c r="A472" i="1"/>
  <c r="A473" i="1"/>
  <c r="A474" i="1"/>
  <c r="A475" i="1"/>
  <c r="A476" i="1"/>
  <c r="A477" i="1"/>
  <c r="A478" i="1"/>
  <c r="A479" i="1"/>
  <c r="A480" i="1"/>
  <c r="A481" i="1"/>
  <c r="A482" i="1"/>
  <c r="A483" i="1"/>
  <c r="A484" i="1"/>
  <c r="A485" i="1"/>
  <c r="A486" i="1"/>
  <c r="A487" i="1"/>
  <c r="A488" i="1"/>
  <c r="A489" i="1"/>
  <c r="A490" i="1"/>
  <c r="A491" i="1"/>
  <c r="A492" i="1"/>
  <c r="A493" i="1"/>
  <c r="A494" i="1"/>
  <c r="A495" i="1"/>
  <c r="A496" i="1"/>
  <c r="A497" i="1"/>
  <c r="A498" i="1"/>
  <c r="A499" i="1"/>
  <c r="A500" i="1"/>
  <c r="A501" i="1"/>
  <c r="A502" i="1"/>
  <c r="A503" i="1"/>
  <c r="A504" i="1"/>
  <c r="A505" i="1"/>
  <c r="A506" i="1"/>
  <c r="A507" i="1"/>
  <c r="A508" i="1"/>
  <c r="A509" i="1"/>
  <c r="A510" i="1"/>
  <c r="A511" i="1"/>
  <c r="A512" i="1"/>
  <c r="A513" i="1"/>
  <c r="A514" i="1"/>
  <c r="A515" i="1"/>
  <c r="A516" i="1"/>
  <c r="A517" i="1"/>
  <c r="A518" i="1"/>
  <c r="A519" i="1"/>
  <c r="A520" i="1"/>
  <c r="A521" i="1"/>
  <c r="A522" i="1"/>
  <c r="A523" i="1"/>
  <c r="A524" i="1"/>
  <c r="A525" i="1"/>
  <c r="A526" i="1"/>
  <c r="A527" i="1"/>
  <c r="A528" i="1"/>
  <c r="A529" i="1"/>
  <c r="A530" i="1"/>
  <c r="A531" i="1"/>
  <c r="A532" i="1"/>
  <c r="A533" i="1"/>
  <c r="A534" i="1"/>
  <c r="A535" i="1"/>
  <c r="A536" i="1"/>
  <c r="A537" i="1"/>
  <c r="A538" i="1"/>
  <c r="A539" i="1"/>
  <c r="A540" i="1"/>
  <c r="A541" i="1"/>
  <c r="A542" i="1"/>
  <c r="A543" i="1"/>
  <c r="A544" i="1"/>
  <c r="A545" i="1"/>
  <c r="A546" i="1"/>
  <c r="A547" i="1"/>
  <c r="A548" i="1"/>
  <c r="A549" i="1"/>
  <c r="A550" i="1"/>
  <c r="A551" i="1"/>
  <c r="A552" i="1"/>
  <c r="A553" i="1"/>
  <c r="A554" i="1"/>
  <c r="A555" i="1"/>
  <c r="A556" i="1"/>
  <c r="A557" i="1"/>
  <c r="A558" i="1"/>
  <c r="A559" i="1"/>
  <c r="A560" i="1"/>
  <c r="A561" i="1"/>
  <c r="A562" i="1"/>
  <c r="A563" i="1"/>
  <c r="A564" i="1"/>
  <c r="A565" i="1"/>
  <c r="A566" i="1"/>
  <c r="A567" i="1"/>
  <c r="A568" i="1"/>
  <c r="A569" i="1"/>
  <c r="A570" i="1"/>
  <c r="A571" i="1"/>
  <c r="A572" i="1"/>
  <c r="A573" i="1"/>
  <c r="A574" i="1"/>
  <c r="A575" i="1"/>
  <c r="A576" i="1"/>
  <c r="A577" i="1"/>
  <c r="A578" i="1"/>
  <c r="A579" i="1"/>
  <c r="A580" i="1"/>
  <c r="A581" i="1"/>
  <c r="A582" i="1"/>
  <c r="A583" i="1"/>
  <c r="A584" i="1"/>
  <c r="A585" i="1"/>
  <c r="A586" i="1"/>
  <c r="A587" i="1"/>
  <c r="A588" i="1"/>
  <c r="A589" i="1"/>
  <c r="A590" i="1"/>
  <c r="A591" i="1"/>
  <c r="A592" i="1"/>
  <c r="A593" i="1"/>
  <c r="A594" i="1"/>
  <c r="A595" i="1"/>
  <c r="A596" i="1"/>
  <c r="A597" i="1"/>
  <c r="A598" i="1"/>
  <c r="A599" i="1"/>
  <c r="A600" i="1"/>
  <c r="A601" i="1"/>
  <c r="A602" i="1"/>
  <c r="A603" i="1"/>
  <c r="A604" i="1"/>
  <c r="A605" i="1"/>
  <c r="A606" i="1"/>
  <c r="A607" i="1"/>
  <c r="A608" i="1"/>
  <c r="A609" i="1"/>
  <c r="A610" i="1"/>
  <c r="A611" i="1"/>
  <c r="A612" i="1"/>
  <c r="A613" i="1"/>
  <c r="A614" i="1"/>
  <c r="A615" i="1"/>
  <c r="A616" i="1"/>
  <c r="A617" i="1"/>
  <c r="A618" i="1"/>
  <c r="A619" i="1"/>
  <c r="A620" i="1"/>
  <c r="A621" i="1"/>
  <c r="A622" i="1"/>
  <c r="A623" i="1"/>
  <c r="A624" i="1"/>
  <c r="A625" i="1"/>
  <c r="A626" i="1"/>
  <c r="A627" i="1"/>
  <c r="A628" i="1"/>
  <c r="A629" i="1"/>
  <c r="A630" i="1"/>
  <c r="A631" i="1"/>
  <c r="A632" i="1"/>
  <c r="A633" i="1"/>
  <c r="A634" i="1"/>
  <c r="A635" i="1"/>
  <c r="A636" i="1"/>
  <c r="A637" i="1"/>
  <c r="A638" i="1"/>
  <c r="A639" i="1"/>
  <c r="A640" i="1"/>
  <c r="A641" i="1"/>
  <c r="A642" i="1"/>
  <c r="A643" i="1"/>
  <c r="A644" i="1"/>
  <c r="A645" i="1"/>
  <c r="A646" i="1"/>
  <c r="A647" i="1"/>
  <c r="A648" i="1"/>
  <c r="A649" i="1"/>
  <c r="A650" i="1"/>
  <c r="A651" i="1"/>
  <c r="A652" i="1"/>
  <c r="A653" i="1"/>
  <c r="A654" i="1"/>
  <c r="A655" i="1"/>
  <c r="A656" i="1"/>
  <c r="A657" i="1"/>
  <c r="A658" i="1"/>
  <c r="A659" i="1"/>
  <c r="A660" i="1"/>
  <c r="A661" i="1"/>
  <c r="A662" i="1"/>
  <c r="A663" i="1"/>
  <c r="A664" i="1"/>
  <c r="A665" i="1"/>
  <c r="A666" i="1"/>
  <c r="A667" i="1"/>
  <c r="A668" i="1"/>
  <c r="A669" i="1"/>
  <c r="A670" i="1"/>
  <c r="A671" i="1"/>
  <c r="A672" i="1"/>
  <c r="A673" i="1"/>
  <c r="A674" i="1"/>
  <c r="A675" i="1"/>
  <c r="A676" i="1"/>
  <c r="A677" i="1"/>
  <c r="A678" i="1"/>
  <c r="A679" i="1"/>
  <c r="A680" i="1"/>
  <c r="A681" i="1"/>
  <c r="A682" i="1"/>
  <c r="A683" i="1"/>
  <c r="A684" i="1"/>
  <c r="A685" i="1"/>
  <c r="A686" i="1"/>
  <c r="A687" i="1"/>
  <c r="A688" i="1"/>
  <c r="A689" i="1"/>
  <c r="A690" i="1"/>
  <c r="A691" i="1"/>
  <c r="A692" i="1"/>
  <c r="A693" i="1"/>
  <c r="A694" i="1"/>
  <c r="A695" i="1"/>
  <c r="A696" i="1"/>
  <c r="A697" i="1"/>
  <c r="A698" i="1"/>
  <c r="A699" i="1"/>
  <c r="A700" i="1"/>
  <c r="A701" i="1"/>
  <c r="A702" i="1"/>
  <c r="A703" i="1"/>
  <c r="A704" i="1"/>
  <c r="A705" i="1"/>
  <c r="A706" i="1"/>
  <c r="A707" i="1"/>
  <c r="A708" i="1"/>
  <c r="A709" i="1"/>
  <c r="A710" i="1"/>
  <c r="A711" i="1"/>
  <c r="A712" i="1"/>
  <c r="A713" i="1"/>
  <c r="A714" i="1"/>
  <c r="A715" i="1"/>
  <c r="A716" i="1"/>
  <c r="A717" i="1"/>
  <c r="A718" i="1"/>
  <c r="A719" i="1"/>
  <c r="A720" i="1"/>
  <c r="A721" i="1"/>
  <c r="A722" i="1"/>
  <c r="A723" i="1"/>
  <c r="A724" i="1"/>
  <c r="A725" i="1"/>
  <c r="A726" i="1"/>
  <c r="A727" i="1"/>
  <c r="A728" i="1"/>
  <c r="A729" i="1"/>
  <c r="A730" i="1"/>
  <c r="A731" i="1"/>
  <c r="A732" i="1"/>
  <c r="A733" i="1"/>
  <c r="A734" i="1"/>
  <c r="A735" i="1"/>
  <c r="A736" i="1"/>
  <c r="A737" i="1"/>
  <c r="A738" i="1"/>
  <c r="A739" i="1"/>
  <c r="A740" i="1"/>
  <c r="A741" i="1"/>
  <c r="A742" i="1"/>
  <c r="A743" i="1"/>
  <c r="A744" i="1"/>
  <c r="A745" i="1"/>
  <c r="A746" i="1"/>
  <c r="A747" i="1"/>
  <c r="A748" i="1"/>
  <c r="A749" i="1"/>
  <c r="A750" i="1"/>
  <c r="A751" i="1"/>
  <c r="A752" i="1"/>
  <c r="A753" i="1"/>
  <c r="A754" i="1"/>
  <c r="A755" i="1"/>
  <c r="A756" i="1"/>
  <c r="A757" i="1"/>
  <c r="A758" i="1"/>
  <c r="A759" i="1"/>
  <c r="A760" i="1"/>
  <c r="A761" i="1"/>
  <c r="A762" i="1"/>
  <c r="A763" i="1"/>
  <c r="A764" i="1"/>
  <c r="A765" i="1"/>
  <c r="A766" i="1"/>
  <c r="A767" i="1"/>
  <c r="A768" i="1"/>
  <c r="A769" i="1"/>
  <c r="A770" i="1"/>
  <c r="A771" i="1"/>
  <c r="A772" i="1"/>
  <c r="A773" i="1"/>
  <c r="A774" i="1"/>
  <c r="A775" i="1"/>
  <c r="A776" i="1"/>
  <c r="A777" i="1"/>
  <c r="A778" i="1"/>
  <c r="A779" i="1"/>
  <c r="A780" i="1"/>
  <c r="A781" i="1"/>
  <c r="A782" i="1"/>
  <c r="A783" i="1"/>
  <c r="A784" i="1"/>
  <c r="A785" i="1"/>
  <c r="A786" i="1"/>
  <c r="A787" i="1"/>
  <c r="A788" i="1"/>
  <c r="A789" i="1"/>
  <c r="A790" i="1"/>
  <c r="A791" i="1"/>
  <c r="A792" i="1"/>
  <c r="A793" i="1"/>
  <c r="A794" i="1"/>
  <c r="A795" i="1"/>
  <c r="A796" i="1"/>
  <c r="A797" i="1"/>
  <c r="A798" i="1"/>
  <c r="A799" i="1"/>
  <c r="A800" i="1"/>
  <c r="A801" i="1"/>
  <c r="A802" i="1"/>
  <c r="A803" i="1"/>
  <c r="A804" i="1"/>
  <c r="A805" i="1"/>
  <c r="A806" i="1"/>
  <c r="A807" i="1"/>
  <c r="A808" i="1"/>
  <c r="A809" i="1"/>
  <c r="A810" i="1"/>
  <c r="A811" i="1"/>
  <c r="A812" i="1"/>
  <c r="A813" i="1"/>
  <c r="A814" i="1"/>
  <c r="A815" i="1"/>
  <c r="A816" i="1"/>
  <c r="A817" i="1"/>
  <c r="A818" i="1"/>
  <c r="A819" i="1"/>
  <c r="A820" i="1"/>
  <c r="A821" i="1"/>
  <c r="A822" i="1"/>
  <c r="A823" i="1"/>
  <c r="A824" i="1"/>
  <c r="A825" i="1"/>
  <c r="A826" i="1"/>
  <c r="A827" i="1"/>
  <c r="A828" i="1"/>
  <c r="A829" i="1"/>
  <c r="A830" i="1"/>
  <c r="A831" i="1"/>
  <c r="A832" i="1"/>
  <c r="A833" i="1"/>
  <c r="A834" i="1"/>
  <c r="A835" i="1"/>
  <c r="A836" i="1"/>
  <c r="A837" i="1"/>
  <c r="A838" i="1"/>
  <c r="A839" i="1"/>
  <c r="A840" i="1"/>
  <c r="A841" i="1"/>
  <c r="A842" i="1"/>
  <c r="A843" i="1"/>
  <c r="A844" i="1"/>
  <c r="A845" i="1"/>
  <c r="A846" i="1"/>
  <c r="A847" i="1"/>
  <c r="A848" i="1"/>
  <c r="A849" i="1"/>
  <c r="A850" i="1"/>
  <c r="A851" i="1"/>
  <c r="A852" i="1"/>
  <c r="A853" i="1"/>
  <c r="A854" i="1"/>
  <c r="A855" i="1"/>
  <c r="A856" i="1"/>
  <c r="A857" i="1"/>
  <c r="A858" i="1"/>
  <c r="A859" i="1"/>
  <c r="A860" i="1"/>
  <c r="A861" i="1"/>
  <c r="A862" i="1"/>
  <c r="A863" i="1"/>
  <c r="A864" i="1"/>
  <c r="A865" i="1"/>
  <c r="A866" i="1"/>
  <c r="A867" i="1"/>
  <c r="A868" i="1"/>
  <c r="A869" i="1"/>
  <c r="A870" i="1"/>
  <c r="A871" i="1"/>
  <c r="A872" i="1"/>
  <c r="A873" i="1"/>
  <c r="A874" i="1"/>
  <c r="A875" i="1"/>
  <c r="A876" i="1"/>
  <c r="A877" i="1"/>
  <c r="A878" i="1"/>
  <c r="A879" i="1"/>
  <c r="A880" i="1"/>
  <c r="A881" i="1"/>
  <c r="A882" i="1"/>
  <c r="A883" i="1"/>
  <c r="A884" i="1"/>
  <c r="A885" i="1"/>
  <c r="A886" i="1"/>
  <c r="A887" i="1"/>
  <c r="A888" i="1"/>
  <c r="A889" i="1"/>
  <c r="A890" i="1"/>
  <c r="A891" i="1"/>
  <c r="A892" i="1"/>
  <c r="A893" i="1"/>
  <c r="A894" i="1"/>
  <c r="A895" i="1"/>
  <c r="A896" i="1"/>
  <c r="A897" i="1"/>
  <c r="A898" i="1"/>
  <c r="A899" i="1"/>
  <c r="A900" i="1"/>
  <c r="A901" i="1"/>
  <c r="A902" i="1"/>
  <c r="A903" i="1"/>
  <c r="A904" i="1"/>
  <c r="A905" i="1"/>
  <c r="A906" i="1"/>
  <c r="A907" i="1"/>
  <c r="A908" i="1"/>
  <c r="A909" i="1"/>
  <c r="A910" i="1"/>
  <c r="A911" i="1"/>
  <c r="A912" i="1"/>
  <c r="A913" i="1"/>
  <c r="A914" i="1"/>
  <c r="A915" i="1"/>
  <c r="A916" i="1"/>
  <c r="A917" i="1"/>
  <c r="A918" i="1"/>
  <c r="A919" i="1"/>
  <c r="A920" i="1"/>
  <c r="A921" i="1"/>
  <c r="A922" i="1"/>
  <c r="A923" i="1"/>
  <c r="A924" i="1"/>
  <c r="A925" i="1"/>
  <c r="A926" i="1"/>
  <c r="A927" i="1"/>
  <c r="A928" i="1"/>
  <c r="A929" i="1"/>
  <c r="A930" i="1"/>
  <c r="A931" i="1"/>
  <c r="A932" i="1"/>
  <c r="A933" i="1"/>
  <c r="A934" i="1"/>
  <c r="A935" i="1"/>
  <c r="A936" i="1"/>
  <c r="A937" i="1"/>
  <c r="A938" i="1"/>
  <c r="A939" i="1"/>
  <c r="A940" i="1"/>
  <c r="A941" i="1"/>
  <c r="A942" i="1"/>
  <c r="A943" i="1"/>
  <c r="A944" i="1"/>
  <c r="A945" i="1"/>
  <c r="A946" i="1"/>
  <c r="A947" i="1"/>
  <c r="A948" i="1"/>
  <c r="A949" i="1"/>
  <c r="A950" i="1"/>
  <c r="A951" i="1"/>
  <c r="A952" i="1"/>
  <c r="A953" i="1"/>
  <c r="A954" i="1"/>
  <c r="A955" i="1"/>
  <c r="A956" i="1"/>
  <c r="A957" i="1"/>
  <c r="A958" i="1"/>
  <c r="A959" i="1"/>
  <c r="A960" i="1"/>
  <c r="A961" i="1"/>
  <c r="A962" i="1"/>
  <c r="A963" i="1"/>
  <c r="A964" i="1"/>
  <c r="A965" i="1"/>
  <c r="A966" i="1"/>
  <c r="A967" i="1"/>
  <c r="A968" i="1"/>
  <c r="A969" i="1"/>
  <c r="A970" i="1"/>
  <c r="A971" i="1"/>
  <c r="A972" i="1"/>
  <c r="A973" i="1"/>
  <c r="A974" i="1"/>
  <c r="A975" i="1"/>
  <c r="A976" i="1"/>
  <c r="A977" i="1"/>
  <c r="A978" i="1"/>
  <c r="A979" i="1"/>
  <c r="A980" i="1"/>
  <c r="A981" i="1"/>
  <c r="A982" i="1"/>
  <c r="A983" i="1"/>
  <c r="A984" i="1"/>
  <c r="A985" i="1"/>
  <c r="A986" i="1"/>
  <c r="A987" i="1"/>
  <c r="A988" i="1"/>
  <c r="A989" i="1"/>
  <c r="A990" i="1"/>
  <c r="A991" i="1"/>
  <c r="A992" i="1"/>
  <c r="A993" i="1"/>
  <c r="A994" i="1"/>
  <c r="A995" i="1"/>
  <c r="A996" i="1"/>
  <c r="A997" i="1"/>
  <c r="A998" i="1"/>
  <c r="A999" i="1"/>
  <c r="A1000" i="1"/>
  <c r="A1001" i="1"/>
  <c r="A1002" i="1"/>
  <c r="A1003" i="1"/>
  <c r="A1004" i="1"/>
  <c r="A1005" i="1"/>
  <c r="A1006" i="1"/>
  <c r="A1007" i="1"/>
  <c r="A1008" i="1"/>
  <c r="A1009" i="1"/>
  <c r="A1010" i="1"/>
  <c r="A1011" i="1"/>
  <c r="A1012" i="1"/>
  <c r="A1013" i="1"/>
  <c r="A1014" i="1"/>
  <c r="A1015" i="1"/>
  <c r="A1016" i="1"/>
  <c r="A1017" i="1"/>
  <c r="A1018" i="1"/>
  <c r="A1019" i="1"/>
  <c r="A1020" i="1"/>
  <c r="A1021" i="1"/>
  <c r="A1022" i="1"/>
  <c r="A1023" i="1"/>
  <c r="A1024" i="1"/>
  <c r="A1025" i="1"/>
  <c r="A1026" i="1"/>
  <c r="A1027" i="1"/>
  <c r="A1028" i="1"/>
  <c r="A1029" i="1"/>
  <c r="A1030" i="1"/>
  <c r="A1031" i="1"/>
  <c r="A1032" i="1"/>
  <c r="A1033" i="1"/>
  <c r="A1034" i="1"/>
  <c r="A1035" i="1"/>
  <c r="A1036" i="1"/>
  <c r="A1037" i="1"/>
  <c r="A1038" i="1"/>
  <c r="A1039" i="1"/>
  <c r="A1040" i="1"/>
  <c r="A1041" i="1"/>
  <c r="A1042" i="1"/>
  <c r="A1043" i="1"/>
  <c r="A1044" i="1"/>
  <c r="A1045" i="1"/>
  <c r="A1046" i="1"/>
  <c r="A1047" i="1"/>
  <c r="A1048" i="1"/>
  <c r="A1049" i="1"/>
  <c r="A1050" i="1"/>
  <c r="A1051" i="1"/>
  <c r="A1052" i="1"/>
  <c r="A1053" i="1"/>
  <c r="A1054" i="1"/>
  <c r="A1055" i="1"/>
  <c r="A1056" i="1"/>
  <c r="A1057" i="1"/>
  <c r="A1058" i="1"/>
  <c r="A1059" i="1"/>
  <c r="A1060" i="1"/>
  <c r="A1061" i="1"/>
  <c r="A1062" i="1"/>
  <c r="A1063" i="1"/>
  <c r="A1064" i="1"/>
  <c r="A1065" i="1"/>
  <c r="A1066" i="1"/>
  <c r="A1067" i="1"/>
  <c r="A1068" i="1"/>
  <c r="A1069" i="1"/>
  <c r="A1070" i="1"/>
  <c r="A1071" i="1"/>
  <c r="A1072" i="1"/>
  <c r="A1073" i="1"/>
  <c r="A1074" i="1"/>
  <c r="A1075" i="1"/>
  <c r="A1076" i="1"/>
  <c r="A1077" i="1"/>
  <c r="A1078" i="1"/>
  <c r="A1079" i="1"/>
  <c r="A1080" i="1"/>
  <c r="A1081" i="1"/>
  <c r="A1082" i="1"/>
  <c r="A1083" i="1"/>
  <c r="A1084" i="1"/>
  <c r="A1085" i="1"/>
  <c r="A1086" i="1"/>
  <c r="A1087" i="1"/>
  <c r="A1088" i="1"/>
  <c r="A1089" i="1"/>
  <c r="A1090" i="1"/>
  <c r="A1091" i="1"/>
  <c r="A1092" i="1"/>
  <c r="A1093" i="1"/>
  <c r="A1094" i="1"/>
  <c r="A1095" i="1"/>
  <c r="A1096" i="1"/>
  <c r="A1097" i="1"/>
  <c r="A1098" i="1"/>
  <c r="A1099" i="1"/>
  <c r="A1100" i="1"/>
  <c r="A1101" i="1"/>
  <c r="A1102" i="1"/>
  <c r="A1103" i="1"/>
  <c r="A1104" i="1"/>
  <c r="A1105" i="1"/>
  <c r="A1106" i="1"/>
  <c r="A1107" i="1"/>
  <c r="A1108" i="1"/>
  <c r="A1109" i="1"/>
  <c r="A1110" i="1"/>
  <c r="A1111" i="1"/>
  <c r="A1112" i="1"/>
  <c r="A1113" i="1"/>
  <c r="A1114" i="1"/>
  <c r="A1115" i="1"/>
  <c r="A1116" i="1"/>
  <c r="A1117" i="1"/>
  <c r="A1118" i="1"/>
  <c r="A1119" i="1"/>
  <c r="A1120" i="1"/>
  <c r="A1121" i="1"/>
  <c r="A1122" i="1"/>
  <c r="A1123" i="1"/>
  <c r="A1124" i="1"/>
  <c r="A1125" i="1"/>
  <c r="A1126" i="1"/>
  <c r="A1127" i="1"/>
  <c r="A1128" i="1"/>
  <c r="A1129" i="1"/>
  <c r="A1130" i="1"/>
  <c r="A1131" i="1"/>
  <c r="A1132" i="1"/>
  <c r="A1133" i="1"/>
  <c r="A1134" i="1"/>
  <c r="A1135" i="1"/>
  <c r="A1136" i="1"/>
  <c r="A1137" i="1"/>
  <c r="A1138" i="1"/>
  <c r="A1139" i="1"/>
  <c r="A1140" i="1"/>
  <c r="A1141" i="1"/>
  <c r="A1142" i="1"/>
  <c r="A1143" i="1"/>
  <c r="A1144" i="1"/>
  <c r="A1145" i="1"/>
  <c r="A1146" i="1"/>
  <c r="A1147" i="1"/>
  <c r="A1148" i="1"/>
  <c r="A1149" i="1"/>
  <c r="A1150" i="1"/>
  <c r="A1151" i="1"/>
  <c r="A1152" i="1"/>
  <c r="A1153" i="1"/>
  <c r="A1154" i="1"/>
  <c r="A1155" i="1"/>
  <c r="A1156" i="1"/>
  <c r="A1157" i="1"/>
  <c r="A1158" i="1"/>
  <c r="A1159" i="1"/>
  <c r="A1160" i="1"/>
  <c r="A1161" i="1"/>
  <c r="A1162" i="1"/>
  <c r="A1163" i="1"/>
  <c r="A1164" i="1"/>
  <c r="A1165" i="1"/>
  <c r="A1166" i="1"/>
  <c r="A1167" i="1"/>
  <c r="A1168" i="1"/>
  <c r="A1169" i="1"/>
  <c r="A1170" i="1"/>
  <c r="A1171" i="1"/>
  <c r="A1172" i="1"/>
  <c r="A1173" i="1"/>
  <c r="A1174" i="1"/>
  <c r="A1175" i="1"/>
  <c r="A1176" i="1"/>
  <c r="A1177" i="1"/>
  <c r="A1178" i="1"/>
  <c r="A1179" i="1"/>
  <c r="A1180" i="1"/>
  <c r="A1181" i="1"/>
  <c r="A1182" i="1"/>
  <c r="A1183" i="1"/>
  <c r="A1184" i="1"/>
  <c r="A1185" i="1"/>
  <c r="A1186" i="1"/>
  <c r="A1187" i="1"/>
  <c r="A1188" i="1"/>
  <c r="A1189" i="1"/>
  <c r="A1190" i="1"/>
  <c r="A1191" i="1"/>
  <c r="A1192" i="1"/>
  <c r="A1193" i="1"/>
  <c r="A1194" i="1"/>
  <c r="A1195" i="1"/>
  <c r="A1196" i="1"/>
  <c r="A1197" i="1"/>
  <c r="A1198" i="1"/>
  <c r="A1199" i="1"/>
  <c r="A1200" i="1"/>
  <c r="A1201" i="1"/>
  <c r="A1202" i="1"/>
  <c r="A1203" i="1"/>
  <c r="A1204" i="1"/>
  <c r="A1205" i="1"/>
  <c r="A1206" i="1"/>
  <c r="A1207" i="1"/>
  <c r="A1208" i="1"/>
  <c r="A1209" i="1"/>
  <c r="A1210" i="1"/>
  <c r="A1211" i="1"/>
  <c r="A1212" i="1"/>
  <c r="A1213" i="1"/>
  <c r="A1214" i="1"/>
  <c r="A1215" i="1"/>
  <c r="A1216" i="1"/>
  <c r="A1217" i="1"/>
  <c r="A1218" i="1"/>
  <c r="A1219" i="1"/>
  <c r="A1220" i="1"/>
  <c r="A1221" i="1"/>
  <c r="A1222" i="1"/>
  <c r="A1223" i="1"/>
  <c r="A1224" i="1"/>
  <c r="A1225" i="1"/>
  <c r="A1226" i="1"/>
  <c r="A1227" i="1"/>
  <c r="A1228" i="1"/>
  <c r="A1229" i="1"/>
  <c r="A1230" i="1"/>
  <c r="A1231" i="1"/>
  <c r="A1232" i="1"/>
  <c r="A1233" i="1"/>
  <c r="A1234" i="1"/>
  <c r="A1235" i="1"/>
  <c r="A1236" i="1"/>
  <c r="A1237" i="1"/>
  <c r="A1238" i="1"/>
  <c r="A1239" i="1"/>
  <c r="A1240" i="1"/>
  <c r="A1241" i="1"/>
  <c r="A1242" i="1"/>
  <c r="A1243" i="1"/>
  <c r="A1244" i="1"/>
  <c r="A1245" i="1"/>
  <c r="A1246" i="1"/>
  <c r="A1247" i="1"/>
  <c r="A1248" i="1"/>
  <c r="A1249" i="1"/>
  <c r="A1250" i="1"/>
  <c r="A1251" i="1"/>
  <c r="A1252" i="1"/>
  <c r="A1253" i="1"/>
  <c r="A1254" i="1"/>
  <c r="A1255" i="1"/>
  <c r="A1256" i="1"/>
  <c r="A1257" i="1"/>
  <c r="A1258" i="1"/>
  <c r="A1259" i="1"/>
  <c r="A1260" i="1"/>
  <c r="A1261" i="1"/>
  <c r="A1262" i="1"/>
  <c r="A1263" i="1"/>
  <c r="A1264" i="1"/>
  <c r="A1265" i="1"/>
  <c r="A1266" i="1"/>
  <c r="A1267" i="1"/>
  <c r="A1268" i="1"/>
  <c r="A1269" i="1"/>
  <c r="A1270" i="1"/>
  <c r="A1271" i="1"/>
  <c r="A1272" i="1"/>
  <c r="A1273" i="1"/>
  <c r="A1274" i="1"/>
  <c r="A1275" i="1"/>
  <c r="A1276" i="1"/>
  <c r="A1277" i="1"/>
  <c r="A1278" i="1"/>
  <c r="A1279" i="1"/>
  <c r="A1280" i="1"/>
  <c r="A1281" i="1"/>
  <c r="A1282" i="1"/>
  <c r="A1283" i="1"/>
  <c r="A1284" i="1"/>
  <c r="A1285" i="1"/>
  <c r="A1286" i="1"/>
  <c r="A1287" i="1"/>
  <c r="A1288" i="1"/>
  <c r="A1289" i="1"/>
  <c r="A1290" i="1"/>
  <c r="A1291" i="1"/>
  <c r="A1292" i="1"/>
  <c r="A1293" i="1"/>
  <c r="A1294" i="1"/>
  <c r="A1295" i="1"/>
  <c r="A1296" i="1"/>
  <c r="A1297" i="1"/>
  <c r="A1298" i="1"/>
  <c r="A1299" i="1"/>
  <c r="A1300" i="1"/>
  <c r="A1301" i="1"/>
  <c r="A1302" i="1"/>
  <c r="A1303" i="1"/>
  <c r="A1304" i="1"/>
  <c r="A1305" i="1"/>
  <c r="A1306" i="1"/>
  <c r="A1307" i="1"/>
  <c r="A1308" i="1"/>
  <c r="A1309" i="1"/>
  <c r="A1310" i="1"/>
  <c r="A1311" i="1"/>
  <c r="A1312" i="1"/>
  <c r="A1313" i="1"/>
  <c r="A1314" i="1"/>
  <c r="A1315" i="1"/>
  <c r="A1316" i="1"/>
  <c r="A1317" i="1"/>
  <c r="A1318" i="1"/>
  <c r="A1319" i="1"/>
  <c r="A1320" i="1"/>
  <c r="A1321" i="1"/>
  <c r="A1322" i="1"/>
  <c r="A1323" i="1"/>
  <c r="A1324" i="1"/>
  <c r="A1325" i="1"/>
  <c r="A1326" i="1"/>
  <c r="A1327" i="1"/>
  <c r="A1328" i="1"/>
  <c r="A1329" i="1"/>
  <c r="A1330" i="1"/>
  <c r="A1331" i="1"/>
  <c r="A1332" i="1"/>
  <c r="A1333" i="1"/>
  <c r="A1334" i="1"/>
  <c r="A1335" i="1"/>
  <c r="A1336" i="1"/>
  <c r="A1337" i="1"/>
  <c r="A1338" i="1"/>
  <c r="A1339" i="1"/>
  <c r="A1340" i="1"/>
  <c r="A1341" i="1"/>
  <c r="A1342" i="1"/>
  <c r="A1343" i="1"/>
  <c r="A1344" i="1"/>
  <c r="A1345" i="1"/>
  <c r="A1346" i="1"/>
  <c r="A1347" i="1"/>
  <c r="A1348" i="1"/>
  <c r="A1349" i="1"/>
  <c r="A1350" i="1"/>
  <c r="A1351" i="1"/>
  <c r="A1352" i="1"/>
  <c r="A1353" i="1"/>
  <c r="A1354" i="1"/>
  <c r="A1355" i="1"/>
  <c r="A1356" i="1"/>
  <c r="A1357" i="1"/>
  <c r="A1358" i="1"/>
  <c r="A1359" i="1"/>
  <c r="A1360" i="1"/>
  <c r="A1361" i="1"/>
  <c r="A1362" i="1"/>
  <c r="A1363" i="1"/>
  <c r="A1364" i="1"/>
  <c r="A1365" i="1"/>
  <c r="A1366" i="1"/>
  <c r="A1367" i="1"/>
  <c r="A1368" i="1"/>
  <c r="A1369" i="1"/>
  <c r="A1370" i="1"/>
  <c r="A1371" i="1"/>
  <c r="A1372" i="1"/>
  <c r="A1373" i="1"/>
  <c r="A1374" i="1"/>
  <c r="A1375" i="1"/>
  <c r="A1376" i="1"/>
  <c r="A1377" i="1"/>
  <c r="A1378" i="1"/>
  <c r="A1379" i="1"/>
  <c r="A1380" i="1"/>
  <c r="A1381" i="1"/>
  <c r="A1382" i="1"/>
  <c r="A1383" i="1"/>
  <c r="A1384" i="1"/>
  <c r="A1385" i="1"/>
  <c r="A1386" i="1"/>
  <c r="A1387" i="1"/>
  <c r="A1388" i="1"/>
  <c r="A1389" i="1"/>
  <c r="A1390" i="1"/>
  <c r="A1391" i="1"/>
  <c r="A1392" i="1"/>
  <c r="A1393" i="1"/>
  <c r="A1394" i="1"/>
  <c r="A1395" i="1"/>
  <c r="A1396" i="1"/>
  <c r="A1397" i="1"/>
  <c r="A1398" i="1"/>
  <c r="A1399" i="1"/>
  <c r="A1400" i="1"/>
  <c r="A1401" i="1"/>
  <c r="A1402" i="1"/>
  <c r="A1403" i="1"/>
  <c r="A1404" i="1"/>
  <c r="A1405" i="1"/>
  <c r="A1406" i="1"/>
  <c r="A1407" i="1"/>
  <c r="A1408" i="1"/>
  <c r="A1409" i="1"/>
  <c r="A1410" i="1"/>
  <c r="A1411" i="1"/>
  <c r="A1412" i="1"/>
  <c r="A1413" i="1"/>
  <c r="A1414" i="1"/>
  <c r="A1415" i="1"/>
  <c r="A1416" i="1"/>
  <c r="A1417" i="1"/>
  <c r="A1418" i="1"/>
  <c r="A1419" i="1"/>
  <c r="A1420" i="1"/>
  <c r="A1421" i="1"/>
  <c r="A1422" i="1"/>
  <c r="A1423" i="1"/>
  <c r="A1424" i="1"/>
  <c r="A1425" i="1"/>
  <c r="A1426" i="1"/>
  <c r="A1427" i="1"/>
  <c r="A1428" i="1"/>
  <c r="A1429" i="1"/>
  <c r="A1430" i="1"/>
  <c r="A1431" i="1"/>
  <c r="A1432" i="1"/>
  <c r="A1433" i="1"/>
  <c r="A1434" i="1"/>
  <c r="A1435" i="1"/>
  <c r="A1436" i="1"/>
  <c r="A1437" i="1"/>
  <c r="A1438" i="1"/>
  <c r="A1439" i="1"/>
  <c r="A1440" i="1"/>
  <c r="A1441" i="1"/>
  <c r="A1442" i="1"/>
  <c r="A1443" i="1"/>
  <c r="A1444" i="1"/>
  <c r="A1445" i="1"/>
  <c r="A1446" i="1"/>
  <c r="A1447" i="1"/>
  <c r="A1448" i="1"/>
  <c r="A1449" i="1"/>
  <c r="A1450" i="1"/>
  <c r="A1451" i="1"/>
  <c r="A1452" i="1"/>
  <c r="A1453" i="1"/>
  <c r="A1454" i="1"/>
  <c r="A1455" i="1"/>
  <c r="A1456" i="1"/>
  <c r="A1457" i="1"/>
  <c r="A1458" i="1"/>
  <c r="A1459" i="1"/>
  <c r="A1460" i="1"/>
  <c r="A1461" i="1"/>
  <c r="A1462" i="1"/>
  <c r="A1463" i="1"/>
  <c r="A1464" i="1"/>
  <c r="A1465" i="1"/>
  <c r="A1466" i="1"/>
  <c r="A1467" i="1"/>
  <c r="A1468" i="1"/>
  <c r="A1469" i="1"/>
  <c r="A1470" i="1"/>
  <c r="A1471" i="1"/>
  <c r="A1472" i="1"/>
  <c r="A1473" i="1"/>
  <c r="A1474" i="1"/>
  <c r="A1475" i="1"/>
  <c r="A1476" i="1"/>
  <c r="A1477" i="1"/>
  <c r="A1478" i="1"/>
  <c r="A1479" i="1"/>
  <c r="A1480" i="1"/>
  <c r="A1481" i="1"/>
  <c r="A1482" i="1"/>
  <c r="A1483" i="1"/>
  <c r="A1484" i="1"/>
  <c r="A1485" i="1"/>
  <c r="A1486" i="1"/>
  <c r="A1487" i="1"/>
  <c r="A1488" i="1"/>
  <c r="A1489" i="1"/>
  <c r="A1490" i="1"/>
  <c r="A1491" i="1"/>
  <c r="A1492" i="1"/>
  <c r="A1493" i="1"/>
  <c r="A1494" i="1"/>
  <c r="A1495" i="1"/>
  <c r="A1496" i="1"/>
  <c r="A1497" i="1"/>
  <c r="A1498" i="1"/>
  <c r="A1499" i="1"/>
  <c r="A1500" i="1"/>
  <c r="A1501" i="1"/>
  <c r="A1502" i="1"/>
  <c r="A1503" i="1"/>
  <c r="A1504" i="1"/>
  <c r="A1505" i="1"/>
  <c r="A1506" i="1"/>
  <c r="A1507" i="1"/>
  <c r="A1508" i="1"/>
  <c r="A1509" i="1"/>
  <c r="A1510" i="1"/>
  <c r="A1511" i="1"/>
  <c r="A1512" i="1"/>
  <c r="A1513" i="1"/>
  <c r="A1514" i="1"/>
  <c r="A1515" i="1"/>
  <c r="A1516" i="1"/>
  <c r="A1517" i="1"/>
  <c r="A1518" i="1"/>
  <c r="A1519" i="1"/>
  <c r="A1520" i="1"/>
  <c r="A1521" i="1"/>
  <c r="A1522" i="1"/>
  <c r="A1523" i="1"/>
  <c r="A1524" i="1"/>
  <c r="A1525" i="1"/>
  <c r="A1526" i="1"/>
  <c r="A1527" i="1"/>
  <c r="A1528" i="1"/>
  <c r="A1529" i="1"/>
  <c r="A1530" i="1"/>
  <c r="A1531" i="1"/>
  <c r="A1532" i="1"/>
  <c r="A1533" i="1"/>
  <c r="A1534" i="1"/>
  <c r="A1535" i="1"/>
  <c r="A1536" i="1"/>
  <c r="A1537" i="1"/>
  <c r="A1538" i="1"/>
  <c r="A1539" i="1"/>
  <c r="A1540" i="1"/>
  <c r="A1541" i="1"/>
  <c r="A1542" i="1"/>
  <c r="A1543" i="1"/>
  <c r="A1544" i="1"/>
  <c r="A1545" i="1"/>
  <c r="A1546" i="1"/>
  <c r="A1547" i="1"/>
  <c r="A1548" i="1"/>
  <c r="A1549" i="1"/>
  <c r="A1550" i="1"/>
  <c r="A1551" i="1"/>
  <c r="A1552" i="1"/>
  <c r="A1553" i="1"/>
  <c r="A1554" i="1"/>
  <c r="A1555" i="1"/>
  <c r="A1556" i="1"/>
  <c r="A1557" i="1"/>
  <c r="A1558" i="1"/>
  <c r="A1559" i="1"/>
  <c r="A1560" i="1"/>
  <c r="A1561" i="1"/>
  <c r="A1562" i="1"/>
  <c r="A1563" i="1"/>
  <c r="A1564" i="1"/>
  <c r="A1565" i="1"/>
  <c r="A1566" i="1"/>
  <c r="A1567" i="1"/>
  <c r="A1568" i="1"/>
  <c r="A1569" i="1"/>
  <c r="A1570" i="1"/>
  <c r="A1571" i="1"/>
  <c r="A1572" i="1"/>
  <c r="A1573" i="1"/>
  <c r="A1574" i="1"/>
  <c r="A1575" i="1"/>
  <c r="A1576" i="1"/>
  <c r="A1577" i="1"/>
  <c r="A1578" i="1"/>
  <c r="A1579" i="1"/>
  <c r="A1580" i="1"/>
  <c r="A1581" i="1"/>
  <c r="A1582" i="1"/>
  <c r="A1583" i="1"/>
  <c r="A1584" i="1"/>
  <c r="A1585" i="1"/>
  <c r="A1586" i="1"/>
  <c r="A1587" i="1"/>
  <c r="A1588" i="1"/>
  <c r="A1589" i="1"/>
  <c r="A1590" i="1"/>
  <c r="A1591" i="1"/>
  <c r="A1592" i="1"/>
  <c r="A1593" i="1"/>
  <c r="A1594" i="1"/>
  <c r="A1595" i="1"/>
  <c r="A1596" i="1"/>
  <c r="A1597" i="1"/>
  <c r="A1598" i="1"/>
  <c r="A1599" i="1"/>
  <c r="A1600" i="1"/>
  <c r="A1601" i="1"/>
  <c r="A1602" i="1"/>
  <c r="A1603" i="1"/>
  <c r="A1604" i="1"/>
  <c r="A1605" i="1"/>
  <c r="A1606" i="1"/>
  <c r="A1607" i="1"/>
  <c r="A1608" i="1"/>
  <c r="A1609" i="1"/>
  <c r="A1610" i="1"/>
  <c r="A1611" i="1"/>
  <c r="A1612" i="1"/>
  <c r="A1613" i="1"/>
  <c r="A1614" i="1"/>
  <c r="A1615" i="1"/>
  <c r="A1616" i="1"/>
  <c r="A1617" i="1"/>
  <c r="A1618" i="1"/>
  <c r="A1619" i="1"/>
  <c r="A1620" i="1"/>
  <c r="A1621" i="1"/>
  <c r="A1622" i="1"/>
  <c r="A1623" i="1"/>
  <c r="A1624" i="1"/>
  <c r="A1625" i="1"/>
  <c r="A1626" i="1"/>
  <c r="A1627" i="1"/>
  <c r="A1628" i="1"/>
  <c r="A1629" i="1"/>
  <c r="A1630" i="1"/>
  <c r="A1631" i="1"/>
  <c r="A1632" i="1"/>
  <c r="A1633" i="1"/>
  <c r="A1634" i="1"/>
  <c r="A1635" i="1"/>
  <c r="A1636" i="1"/>
  <c r="A1637" i="1"/>
  <c r="A1638" i="1"/>
  <c r="A1639" i="1"/>
  <c r="A1640" i="1"/>
  <c r="A1641" i="1"/>
  <c r="A1642" i="1"/>
  <c r="A1643" i="1"/>
  <c r="A1644" i="1"/>
  <c r="A1645" i="1"/>
  <c r="A1646" i="1"/>
  <c r="A1647" i="1"/>
  <c r="A1648" i="1"/>
  <c r="A1649" i="1"/>
  <c r="A1650" i="1"/>
  <c r="A1651" i="1"/>
  <c r="A1652" i="1"/>
  <c r="A1653" i="1"/>
  <c r="A1654" i="1"/>
  <c r="A1655" i="1"/>
  <c r="A1656" i="1"/>
  <c r="A1657" i="1"/>
  <c r="A1658" i="1"/>
  <c r="A1659" i="1"/>
  <c r="A1660" i="1"/>
  <c r="A1661" i="1"/>
  <c r="A1662" i="1"/>
  <c r="A1663" i="1"/>
  <c r="A1664" i="1"/>
  <c r="A1665" i="1"/>
  <c r="A1666" i="1"/>
  <c r="A1667" i="1"/>
  <c r="A1668" i="1"/>
  <c r="A1669" i="1"/>
  <c r="A1670" i="1"/>
  <c r="A1671" i="1"/>
  <c r="A1672" i="1"/>
  <c r="A1673" i="1"/>
  <c r="A1674" i="1"/>
  <c r="A1675" i="1"/>
  <c r="A1676" i="1"/>
  <c r="A1677" i="1"/>
  <c r="A1678" i="1"/>
  <c r="A1679" i="1"/>
  <c r="A1680" i="1"/>
  <c r="A1681" i="1"/>
  <c r="A1682" i="1"/>
  <c r="A1683" i="1"/>
  <c r="A1684" i="1"/>
  <c r="A1685" i="1"/>
  <c r="A1686" i="1"/>
  <c r="A1687" i="1"/>
  <c r="A1688" i="1"/>
  <c r="A1689" i="1"/>
  <c r="A1690" i="1"/>
  <c r="A1691" i="1"/>
  <c r="A1692" i="1"/>
  <c r="A1693" i="1"/>
  <c r="A1694" i="1"/>
  <c r="A1695" i="1"/>
  <c r="A1696" i="1"/>
  <c r="A1697" i="1"/>
  <c r="A1698" i="1"/>
  <c r="A1699" i="1"/>
  <c r="A1700" i="1"/>
  <c r="A1701" i="1"/>
  <c r="A1702" i="1"/>
  <c r="A1703" i="1"/>
  <c r="A1704" i="1"/>
  <c r="A1705" i="1"/>
  <c r="A1706" i="1"/>
  <c r="A1707" i="1"/>
  <c r="A1708" i="1"/>
  <c r="A1709" i="1"/>
  <c r="A1710" i="1"/>
  <c r="A1711" i="1"/>
  <c r="A1712" i="1"/>
  <c r="A1713" i="1"/>
  <c r="A1714" i="1"/>
  <c r="A1715" i="1"/>
  <c r="A1716" i="1"/>
  <c r="A1717" i="1"/>
  <c r="A1718" i="1"/>
  <c r="A1719" i="1"/>
  <c r="A1720" i="1"/>
  <c r="A1721" i="1"/>
  <c r="A1722" i="1"/>
  <c r="A1723" i="1"/>
  <c r="A1724" i="1"/>
  <c r="A1725" i="1"/>
  <c r="A1726" i="1"/>
  <c r="A1727" i="1"/>
  <c r="A1728" i="1"/>
  <c r="A1729" i="1"/>
  <c r="A1730" i="1"/>
  <c r="A1731" i="1"/>
  <c r="A1732" i="1"/>
  <c r="A1733" i="1"/>
  <c r="A1734" i="1"/>
  <c r="A1735" i="1"/>
  <c r="A1736" i="1"/>
  <c r="A1737" i="1"/>
  <c r="A1738" i="1"/>
  <c r="A1739" i="1"/>
  <c r="A1740" i="1"/>
  <c r="A1741" i="1"/>
  <c r="A1742" i="1"/>
  <c r="A1743" i="1"/>
  <c r="A1744" i="1"/>
  <c r="A1745" i="1"/>
  <c r="A1746" i="1"/>
  <c r="A1747" i="1"/>
  <c r="A1748" i="1"/>
  <c r="A1749" i="1"/>
  <c r="A1750" i="1"/>
  <c r="A1751" i="1"/>
  <c r="A1752" i="1"/>
  <c r="A1753" i="1"/>
  <c r="A1754" i="1"/>
  <c r="A1755" i="1"/>
  <c r="A1756" i="1"/>
  <c r="A1757" i="1"/>
  <c r="A1758" i="1"/>
  <c r="A1759" i="1"/>
  <c r="A1760" i="1"/>
  <c r="A1761" i="1"/>
  <c r="A1762" i="1"/>
  <c r="A1763" i="1"/>
  <c r="A1764" i="1"/>
  <c r="A1765" i="1"/>
  <c r="A1766" i="1"/>
  <c r="A1767" i="1"/>
  <c r="A1768" i="1"/>
  <c r="A1769" i="1"/>
  <c r="A1770" i="1"/>
  <c r="A1771" i="1"/>
  <c r="A1772" i="1"/>
  <c r="A1773" i="1"/>
  <c r="A1774" i="1"/>
  <c r="A1775" i="1"/>
  <c r="A1776" i="1"/>
  <c r="A1777" i="1"/>
  <c r="A1778" i="1"/>
  <c r="A1779" i="1"/>
  <c r="A1780" i="1"/>
  <c r="A1781" i="1"/>
  <c r="A1782" i="1"/>
  <c r="A1783" i="1"/>
  <c r="A1784" i="1"/>
  <c r="A1785" i="1"/>
  <c r="A1786" i="1"/>
  <c r="A1787" i="1"/>
  <c r="A1788" i="1"/>
  <c r="A1789" i="1"/>
  <c r="A1790" i="1"/>
  <c r="A1791" i="1"/>
  <c r="A1792" i="1"/>
  <c r="A1793" i="1"/>
  <c r="A1794" i="1"/>
  <c r="A1795" i="1"/>
  <c r="A1796" i="1"/>
  <c r="A1797" i="1"/>
  <c r="A1798" i="1"/>
  <c r="A1799" i="1"/>
  <c r="A1800" i="1"/>
  <c r="A1801" i="1"/>
  <c r="A1802" i="1"/>
  <c r="A1803" i="1"/>
  <c r="A1804" i="1"/>
  <c r="A1805" i="1"/>
  <c r="A1806" i="1"/>
  <c r="A1807" i="1"/>
  <c r="A1808" i="1"/>
  <c r="A1809" i="1"/>
  <c r="A1810" i="1"/>
  <c r="A1811" i="1"/>
  <c r="A1812" i="1"/>
  <c r="A1813" i="1"/>
  <c r="A1814" i="1"/>
  <c r="A1815" i="1"/>
  <c r="A1816" i="1"/>
  <c r="A1817" i="1"/>
  <c r="A1818" i="1"/>
  <c r="A1819" i="1"/>
  <c r="A1820" i="1"/>
  <c r="A1821" i="1"/>
  <c r="A1822" i="1"/>
  <c r="A1823" i="1"/>
  <c r="A1824" i="1"/>
  <c r="A1825" i="1"/>
  <c r="A1826" i="1"/>
  <c r="A1827" i="1"/>
  <c r="A1828" i="1"/>
  <c r="A1829" i="1"/>
  <c r="A1830" i="1"/>
  <c r="A1831" i="1"/>
  <c r="A1832" i="1"/>
  <c r="A1833" i="1"/>
  <c r="A1834" i="1"/>
  <c r="A1835" i="1"/>
  <c r="A1836" i="1"/>
  <c r="A1837" i="1"/>
  <c r="A1838" i="1"/>
  <c r="A1839" i="1"/>
  <c r="A1840" i="1"/>
  <c r="A1841" i="1"/>
  <c r="A1842" i="1"/>
  <c r="A1843" i="1"/>
  <c r="A1844" i="1"/>
  <c r="A1845" i="1"/>
  <c r="A1846" i="1"/>
  <c r="A1847" i="1"/>
  <c r="A1848" i="1"/>
  <c r="A1849" i="1"/>
  <c r="A1850" i="1"/>
  <c r="A1851" i="1"/>
  <c r="A1852" i="1"/>
  <c r="A1853" i="1"/>
  <c r="A1854" i="1"/>
  <c r="A1855" i="1"/>
  <c r="A1856" i="1"/>
  <c r="A1857" i="1"/>
  <c r="A1858" i="1"/>
  <c r="A1859" i="1"/>
  <c r="A1860" i="1"/>
  <c r="A1861" i="1"/>
  <c r="A1862" i="1"/>
  <c r="A1863" i="1"/>
  <c r="A1864" i="1"/>
  <c r="A1865" i="1"/>
  <c r="A1866" i="1"/>
  <c r="A1867" i="1"/>
  <c r="A1868" i="1"/>
  <c r="A1869" i="1"/>
  <c r="A1870" i="1"/>
  <c r="A1871" i="1"/>
  <c r="A1872" i="1"/>
  <c r="A1873" i="1"/>
  <c r="A1874" i="1"/>
  <c r="A1875" i="1"/>
  <c r="A1876" i="1"/>
  <c r="A1877" i="1"/>
  <c r="A1878" i="1"/>
  <c r="A1879" i="1"/>
  <c r="A1880" i="1"/>
  <c r="A1881" i="1"/>
  <c r="A1882" i="1"/>
  <c r="A1883" i="1"/>
  <c r="A1884" i="1"/>
  <c r="A1885" i="1"/>
  <c r="A1886" i="1"/>
  <c r="A1887" i="1"/>
  <c r="A1888" i="1"/>
  <c r="A1889" i="1"/>
  <c r="A1890" i="1"/>
  <c r="A1891" i="1"/>
  <c r="A1892" i="1"/>
  <c r="A1893" i="1"/>
  <c r="A1894" i="1"/>
  <c r="A1895" i="1"/>
  <c r="A1896" i="1"/>
  <c r="A1897" i="1"/>
  <c r="A1898" i="1"/>
  <c r="A1899" i="1"/>
  <c r="A1900" i="1"/>
  <c r="A1901" i="1"/>
  <c r="A1902" i="1"/>
  <c r="A1903" i="1"/>
  <c r="A1904" i="1"/>
  <c r="A1905" i="1"/>
  <c r="A1906" i="1"/>
  <c r="A1907" i="1"/>
  <c r="A1908" i="1"/>
  <c r="A1909" i="1"/>
  <c r="A1910" i="1"/>
  <c r="A1911" i="1"/>
  <c r="A1912" i="1"/>
  <c r="A1913" i="1"/>
  <c r="A1914" i="1"/>
  <c r="A1915" i="1"/>
  <c r="A1916" i="1"/>
  <c r="A1917" i="1"/>
  <c r="A1918" i="1"/>
  <c r="A1919" i="1"/>
  <c r="A1920" i="1"/>
  <c r="A1921" i="1"/>
  <c r="A1922" i="1"/>
  <c r="A1923" i="1"/>
  <c r="A1924" i="1"/>
  <c r="A1925" i="1"/>
  <c r="A1926" i="1"/>
  <c r="A1927" i="1"/>
  <c r="A1928" i="1"/>
  <c r="A1929" i="1"/>
  <c r="A1930" i="1"/>
  <c r="A1931" i="1"/>
  <c r="A1932" i="1"/>
  <c r="A1933" i="1"/>
  <c r="A1934" i="1"/>
  <c r="A1935" i="1"/>
  <c r="A1936" i="1"/>
  <c r="A1937" i="1"/>
  <c r="A1938" i="1"/>
  <c r="A1939" i="1"/>
  <c r="A1940" i="1"/>
  <c r="A1941" i="1"/>
  <c r="A1942" i="1"/>
  <c r="A1943" i="1"/>
  <c r="A1944" i="1"/>
  <c r="A1945" i="1"/>
  <c r="A1946" i="1"/>
  <c r="A1947" i="1"/>
  <c r="A1948" i="1"/>
  <c r="A1949" i="1"/>
  <c r="A1950" i="1"/>
  <c r="A1951" i="1"/>
  <c r="A1952" i="1"/>
  <c r="A1953" i="1"/>
  <c r="A1954" i="1"/>
  <c r="A1955" i="1"/>
  <c r="A1956" i="1"/>
  <c r="A1957" i="1"/>
  <c r="A1958" i="1"/>
  <c r="A1959" i="1"/>
  <c r="A1960" i="1"/>
  <c r="A1961" i="1"/>
  <c r="A1962" i="1"/>
  <c r="A1963" i="1"/>
  <c r="A1964" i="1"/>
  <c r="A1965" i="1"/>
  <c r="A1966" i="1"/>
  <c r="A1967" i="1"/>
  <c r="A1968" i="1"/>
  <c r="A1969" i="1"/>
  <c r="A1970" i="1"/>
  <c r="A1971" i="1"/>
  <c r="A1972" i="1"/>
  <c r="A1973" i="1"/>
  <c r="A1974" i="1"/>
  <c r="A1975" i="1"/>
  <c r="A1976" i="1"/>
  <c r="A1977" i="1"/>
  <c r="A1978" i="1"/>
  <c r="A1979" i="1"/>
  <c r="A1980" i="1"/>
  <c r="A1981" i="1"/>
  <c r="A1982" i="1"/>
  <c r="A1983" i="1"/>
  <c r="A1984" i="1"/>
  <c r="A1985" i="1"/>
  <c r="A1986" i="1"/>
  <c r="A1987" i="1"/>
  <c r="A1988" i="1"/>
  <c r="A1989" i="1"/>
  <c r="A1990" i="1"/>
  <c r="A1991" i="1"/>
  <c r="A1992" i="1"/>
  <c r="A1993" i="1"/>
  <c r="A1994" i="1"/>
  <c r="A1995" i="1"/>
  <c r="A1996" i="1"/>
  <c r="A1997" i="1"/>
  <c r="A1998" i="1"/>
  <c r="A1999" i="1"/>
  <c r="A2000" i="1"/>
  <c r="A2001" i="1"/>
  <c r="A2002" i="1"/>
  <c r="A2003" i="1"/>
  <c r="A2004" i="1"/>
  <c r="A2005" i="1"/>
  <c r="A2006" i="1"/>
  <c r="A2007" i="1"/>
  <c r="A2008" i="1"/>
  <c r="A2009" i="1"/>
  <c r="A2010" i="1"/>
  <c r="A2011" i="1"/>
  <c r="A2012" i="1"/>
  <c r="A2013" i="1"/>
  <c r="A2014" i="1"/>
  <c r="A2015" i="1"/>
  <c r="A2016" i="1"/>
  <c r="A2017" i="1"/>
  <c r="A2018" i="1"/>
  <c r="A2019" i="1"/>
  <c r="A2020" i="1"/>
  <c r="A2021" i="1"/>
  <c r="A2022" i="1"/>
  <c r="A2023" i="1"/>
  <c r="A2024" i="1"/>
  <c r="A2025" i="1"/>
  <c r="A2026" i="1"/>
  <c r="A2027" i="1"/>
  <c r="A2028" i="1"/>
  <c r="A2029" i="1"/>
  <c r="A2030" i="1"/>
  <c r="A2031" i="1"/>
  <c r="A2032" i="1"/>
  <c r="A2033" i="1"/>
  <c r="A2034" i="1"/>
  <c r="A2035" i="1"/>
  <c r="A2036" i="1"/>
  <c r="A2037" i="1"/>
  <c r="A2038" i="1"/>
  <c r="A2039" i="1"/>
  <c r="A2040" i="1"/>
  <c r="A2041" i="1"/>
  <c r="A2042" i="1"/>
  <c r="A2043" i="1"/>
  <c r="A2044" i="1"/>
  <c r="A2045" i="1"/>
  <c r="A2046" i="1"/>
  <c r="A2047" i="1"/>
  <c r="A2048" i="1"/>
  <c r="A2049" i="1"/>
  <c r="A2050" i="1"/>
  <c r="A2051" i="1"/>
  <c r="A2052" i="1"/>
  <c r="A2053" i="1"/>
  <c r="A2054" i="1"/>
  <c r="A2055" i="1"/>
  <c r="A2056" i="1"/>
  <c r="A2057" i="1"/>
  <c r="A2058" i="1"/>
  <c r="A2059" i="1"/>
  <c r="A2060" i="1"/>
  <c r="A2061" i="1"/>
  <c r="A2062" i="1"/>
  <c r="A2063" i="1"/>
  <c r="A2064" i="1"/>
  <c r="A2065" i="1"/>
  <c r="A2066" i="1"/>
  <c r="A2067" i="1"/>
  <c r="A2068" i="1"/>
  <c r="A2069" i="1"/>
  <c r="A2070" i="1"/>
  <c r="A2071" i="1"/>
  <c r="A2072" i="1"/>
  <c r="A2073" i="1"/>
  <c r="A2074" i="1"/>
  <c r="A2075" i="1"/>
  <c r="A2076" i="1"/>
  <c r="A2077" i="1"/>
  <c r="A2078" i="1"/>
  <c r="A2079" i="1"/>
  <c r="A2080" i="1"/>
  <c r="A2081" i="1"/>
  <c r="A2082" i="1"/>
  <c r="A2083" i="1"/>
  <c r="A2084" i="1"/>
  <c r="A2085" i="1"/>
  <c r="A2086" i="1"/>
  <c r="A2087" i="1"/>
  <c r="A2088" i="1"/>
  <c r="A2089" i="1"/>
  <c r="A2090" i="1"/>
  <c r="A2091" i="1"/>
  <c r="A2092" i="1"/>
  <c r="A2093" i="1"/>
  <c r="A2094" i="1"/>
  <c r="A2095" i="1"/>
  <c r="A2096" i="1"/>
  <c r="A2097" i="1"/>
  <c r="A2098" i="1"/>
  <c r="A2099" i="1"/>
  <c r="N2" i="1"/>
  <c r="N3" i="1"/>
  <c r="N4" i="1"/>
  <c r="N5" i="1"/>
  <c r="N6" i="1"/>
  <c r="N7" i="1"/>
  <c r="N8" i="1"/>
  <c r="N9" i="1"/>
  <c r="N10" i="1"/>
  <c r="N11" i="1"/>
  <c r="N12" i="1"/>
  <c r="N13" i="1"/>
  <c r="N14" i="1"/>
  <c r="N15" i="1"/>
  <c r="N16" i="1"/>
  <c r="N17" i="1"/>
  <c r="N18" i="1"/>
  <c r="N19" i="1"/>
  <c r="N20" i="1"/>
  <c r="N21" i="1"/>
  <c r="N22" i="1"/>
  <c r="N23" i="1"/>
  <c r="N24" i="1"/>
  <c r="N25" i="1"/>
  <c r="N26" i="1"/>
  <c r="N27" i="1"/>
  <c r="N28" i="1"/>
  <c r="N29" i="1"/>
  <c r="N30" i="1"/>
  <c r="N31" i="1"/>
  <c r="N32" i="1"/>
  <c r="N33" i="1"/>
  <c r="N34" i="1"/>
  <c r="N35" i="1"/>
  <c r="N36" i="1"/>
  <c r="N37" i="1"/>
  <c r="N38" i="1"/>
  <c r="N39" i="1"/>
  <c r="N40" i="1"/>
  <c r="N41" i="1"/>
  <c r="N42" i="1"/>
  <c r="N43" i="1"/>
  <c r="N44" i="1"/>
  <c r="N45" i="1"/>
  <c r="N46" i="1"/>
  <c r="N47" i="1"/>
  <c r="N48" i="1"/>
  <c r="N49" i="1"/>
  <c r="N50" i="1"/>
  <c r="N51" i="1"/>
  <c r="N52" i="1"/>
  <c r="N53" i="1"/>
  <c r="N54" i="1"/>
  <c r="N55" i="1"/>
  <c r="N56" i="1"/>
  <c r="N57" i="1"/>
  <c r="N58" i="1"/>
  <c r="N59" i="1"/>
  <c r="N60" i="1"/>
  <c r="N61" i="1"/>
  <c r="N62" i="1"/>
  <c r="N63" i="1"/>
  <c r="N64" i="1"/>
  <c r="N65" i="1"/>
  <c r="N66" i="1"/>
  <c r="N67" i="1"/>
  <c r="N68" i="1"/>
  <c r="N69" i="1"/>
  <c r="N70" i="1"/>
  <c r="N71" i="1"/>
  <c r="N72" i="1"/>
  <c r="N73" i="1"/>
  <c r="N74" i="1"/>
  <c r="N75" i="1"/>
  <c r="N76" i="1"/>
  <c r="N77" i="1"/>
  <c r="N78" i="1"/>
  <c r="N79" i="1"/>
  <c r="N80" i="1"/>
  <c r="N81" i="1"/>
  <c r="N82" i="1"/>
  <c r="N83" i="1"/>
  <c r="N84" i="1"/>
  <c r="N85" i="1"/>
  <c r="N86" i="1"/>
  <c r="N87" i="1"/>
  <c r="N88" i="1"/>
  <c r="N89" i="1"/>
  <c r="N90" i="1"/>
  <c r="N91" i="1"/>
  <c r="N92" i="1"/>
  <c r="N93" i="1"/>
  <c r="N94" i="1"/>
  <c r="N95" i="1"/>
  <c r="N96" i="1"/>
  <c r="N97" i="1"/>
  <c r="N98" i="1"/>
  <c r="N99" i="1"/>
  <c r="N100" i="1"/>
  <c r="N101" i="1"/>
  <c r="N102" i="1"/>
  <c r="N103" i="1"/>
  <c r="N104" i="1"/>
  <c r="N105" i="1"/>
  <c r="N106" i="1"/>
  <c r="N107" i="1"/>
  <c r="N108" i="1"/>
  <c r="N109" i="1"/>
  <c r="N110" i="1"/>
  <c r="N111" i="1"/>
  <c r="N112" i="1"/>
  <c r="N113" i="1"/>
  <c r="N114" i="1"/>
  <c r="N115" i="1"/>
  <c r="N116" i="1"/>
  <c r="N117" i="1"/>
  <c r="N118" i="1"/>
  <c r="N119" i="1"/>
  <c r="N120" i="1"/>
  <c r="N121" i="1"/>
  <c r="N122" i="1"/>
  <c r="N123" i="1"/>
  <c r="N124" i="1"/>
  <c r="N125" i="1"/>
  <c r="N126" i="1"/>
  <c r="N127" i="1"/>
  <c r="N128" i="1"/>
  <c r="N129" i="1"/>
  <c r="N130" i="1"/>
  <c r="N131" i="1"/>
  <c r="N132" i="1"/>
  <c r="N133" i="1"/>
  <c r="N134" i="1"/>
  <c r="N135" i="1"/>
  <c r="N136" i="1"/>
  <c r="N137" i="1"/>
  <c r="N138" i="1"/>
  <c r="N139" i="1"/>
  <c r="N140" i="1"/>
  <c r="N141" i="1"/>
  <c r="N142" i="1"/>
  <c r="N143" i="1"/>
  <c r="N144" i="1"/>
  <c r="N145" i="1"/>
  <c r="N146" i="1"/>
  <c r="N147" i="1"/>
  <c r="N148" i="1"/>
  <c r="N149" i="1"/>
  <c r="N150" i="1"/>
  <c r="N151" i="1"/>
  <c r="N152" i="1"/>
  <c r="N153" i="1"/>
  <c r="N154" i="1"/>
  <c r="N155" i="1"/>
  <c r="N156" i="1"/>
  <c r="N157" i="1"/>
  <c r="N158" i="1"/>
  <c r="N159" i="1"/>
  <c r="N160" i="1"/>
  <c r="N161" i="1"/>
  <c r="N162" i="1"/>
  <c r="N163" i="1"/>
  <c r="N164" i="1"/>
  <c r="N165" i="1"/>
  <c r="N166" i="1"/>
  <c r="N167" i="1"/>
  <c r="N168" i="1"/>
  <c r="N169" i="1"/>
  <c r="N170" i="1"/>
  <c r="N171" i="1"/>
  <c r="N172" i="1"/>
  <c r="N173" i="1"/>
  <c r="N174" i="1"/>
  <c r="N175" i="1"/>
  <c r="N176" i="1"/>
  <c r="N177" i="1"/>
  <c r="N178" i="1"/>
  <c r="N179" i="1"/>
  <c r="N180" i="1"/>
  <c r="N181" i="1"/>
  <c r="N182" i="1"/>
  <c r="N183" i="1"/>
  <c r="N184" i="1"/>
  <c r="N185" i="1"/>
  <c r="N186" i="1"/>
  <c r="N187" i="1"/>
  <c r="N188" i="1"/>
  <c r="N189" i="1"/>
  <c r="N190" i="1"/>
  <c r="N191" i="1"/>
  <c r="N192" i="1"/>
  <c r="N193" i="1"/>
  <c r="N194" i="1"/>
  <c r="N195" i="1"/>
  <c r="N196" i="1"/>
  <c r="N197" i="1"/>
  <c r="N198" i="1"/>
  <c r="N199" i="1"/>
  <c r="N200" i="1"/>
  <c r="N201" i="1"/>
  <c r="N202" i="1"/>
  <c r="N203" i="1"/>
  <c r="N204" i="1"/>
  <c r="N205" i="1"/>
  <c r="N206" i="1"/>
  <c r="N207" i="1"/>
  <c r="N208" i="1"/>
  <c r="N209" i="1"/>
  <c r="N210" i="1"/>
  <c r="N211" i="1"/>
  <c r="N212" i="1"/>
  <c r="N213" i="1"/>
  <c r="N214" i="1"/>
  <c r="N215" i="1"/>
  <c r="N216" i="1"/>
  <c r="N217" i="1"/>
  <c r="N218" i="1"/>
  <c r="N219" i="1"/>
  <c r="N220" i="1"/>
  <c r="N221" i="1"/>
  <c r="N222" i="1"/>
  <c r="N223" i="1"/>
  <c r="N224" i="1"/>
  <c r="N225" i="1"/>
  <c r="N226" i="1"/>
  <c r="N227" i="1"/>
  <c r="N228" i="1"/>
  <c r="N229" i="1"/>
  <c r="N230" i="1"/>
  <c r="N231" i="1"/>
  <c r="N232" i="1"/>
  <c r="N233" i="1"/>
  <c r="N234" i="1"/>
  <c r="N235" i="1"/>
  <c r="N236" i="1"/>
  <c r="N237" i="1"/>
  <c r="N238" i="1"/>
  <c r="N239" i="1"/>
  <c r="N240" i="1"/>
  <c r="N241" i="1"/>
  <c r="N242" i="1"/>
  <c r="N243" i="1"/>
  <c r="N244" i="1"/>
  <c r="N245" i="1"/>
  <c r="N246" i="1"/>
  <c r="N247" i="1"/>
  <c r="N248" i="1"/>
  <c r="N249" i="1"/>
  <c r="N250" i="1"/>
  <c r="N251" i="1"/>
  <c r="N252" i="1"/>
  <c r="N253" i="1"/>
  <c r="N254" i="1"/>
  <c r="N255" i="1"/>
  <c r="N256" i="1"/>
  <c r="N257" i="1"/>
  <c r="N258" i="1"/>
  <c r="N259" i="1"/>
  <c r="N260" i="1"/>
  <c r="N261" i="1"/>
  <c r="N262" i="1"/>
  <c r="N263" i="1"/>
  <c r="N264" i="1"/>
  <c r="N265" i="1"/>
  <c r="N266" i="1"/>
  <c r="N267" i="1"/>
  <c r="N268" i="1"/>
  <c r="N269" i="1"/>
  <c r="N270" i="1"/>
  <c r="N271" i="1"/>
  <c r="N272" i="1"/>
  <c r="N273" i="1"/>
  <c r="N274" i="1"/>
  <c r="N275" i="1"/>
  <c r="N276" i="1"/>
  <c r="N277" i="1"/>
  <c r="N278" i="1"/>
  <c r="N279" i="1"/>
  <c r="N280" i="1"/>
  <c r="N281" i="1"/>
  <c r="N282" i="1"/>
  <c r="N283" i="1"/>
  <c r="N284" i="1"/>
  <c r="N285" i="1"/>
  <c r="N286" i="1"/>
  <c r="N287" i="1"/>
  <c r="N288" i="1"/>
  <c r="N289" i="1"/>
  <c r="N290" i="1"/>
  <c r="N291" i="1"/>
  <c r="N292" i="1"/>
  <c r="N293" i="1"/>
  <c r="N294" i="1"/>
  <c r="N295" i="1"/>
  <c r="N296" i="1"/>
  <c r="N297" i="1"/>
  <c r="N298" i="1"/>
  <c r="N299" i="1"/>
  <c r="N300" i="1"/>
  <c r="N301" i="1"/>
  <c r="N302" i="1"/>
  <c r="N303" i="1"/>
  <c r="N304" i="1"/>
  <c r="N305" i="1"/>
  <c r="N306" i="1"/>
  <c r="N307" i="1"/>
  <c r="N308" i="1"/>
  <c r="N309" i="1"/>
  <c r="N310" i="1"/>
  <c r="N311" i="1"/>
  <c r="N312" i="1"/>
  <c r="N313" i="1"/>
  <c r="N314" i="1"/>
  <c r="N315" i="1"/>
  <c r="N316" i="1"/>
  <c r="N317" i="1"/>
  <c r="N318" i="1"/>
  <c r="N319" i="1"/>
  <c r="N320" i="1"/>
  <c r="N321" i="1"/>
  <c r="N322" i="1"/>
  <c r="N323" i="1"/>
  <c r="N324" i="1"/>
  <c r="N325" i="1"/>
  <c r="N326" i="1"/>
  <c r="N327" i="1"/>
  <c r="N328" i="1"/>
  <c r="N329" i="1"/>
  <c r="N330" i="1"/>
  <c r="N331" i="1"/>
  <c r="N332" i="1"/>
  <c r="N333" i="1"/>
  <c r="N334" i="1"/>
  <c r="N335" i="1"/>
  <c r="N336" i="1"/>
  <c r="N337" i="1"/>
  <c r="N338" i="1"/>
  <c r="N339" i="1"/>
  <c r="N340" i="1"/>
  <c r="N341" i="1"/>
  <c r="N342" i="1"/>
  <c r="N343" i="1"/>
  <c r="N344" i="1"/>
  <c r="N345" i="1"/>
  <c r="N346" i="1"/>
  <c r="N347" i="1"/>
  <c r="N348" i="1"/>
  <c r="N349" i="1"/>
  <c r="N350" i="1"/>
  <c r="N351" i="1"/>
  <c r="N352" i="1"/>
  <c r="N353" i="1"/>
  <c r="N354" i="1"/>
  <c r="N355" i="1"/>
  <c r="N356" i="1"/>
  <c r="N357" i="1"/>
  <c r="N358" i="1"/>
  <c r="N359" i="1"/>
  <c r="N360" i="1"/>
  <c r="N361" i="1"/>
  <c r="N362" i="1"/>
  <c r="N363" i="1"/>
  <c r="N364" i="1"/>
  <c r="N365" i="1"/>
  <c r="N366" i="1"/>
  <c r="N367" i="1"/>
  <c r="N368" i="1"/>
  <c r="N369" i="1"/>
  <c r="N370" i="1"/>
  <c r="N371" i="1"/>
  <c r="N372" i="1"/>
  <c r="N373" i="1"/>
  <c r="N374" i="1"/>
  <c r="N375" i="1"/>
  <c r="N376" i="1"/>
  <c r="N377" i="1"/>
  <c r="N378" i="1"/>
  <c r="N379" i="1"/>
  <c r="N380" i="1"/>
  <c r="N381" i="1"/>
  <c r="N382" i="1"/>
  <c r="N383" i="1"/>
  <c r="N384" i="1"/>
  <c r="N385" i="1"/>
  <c r="N386" i="1"/>
  <c r="N387" i="1"/>
  <c r="N388" i="1"/>
  <c r="N389" i="1"/>
  <c r="N390" i="1"/>
  <c r="N391" i="1"/>
  <c r="N392" i="1"/>
  <c r="N393" i="1"/>
  <c r="N394" i="1"/>
  <c r="N395" i="1"/>
  <c r="N396" i="1"/>
  <c r="N397" i="1"/>
  <c r="N398" i="1"/>
  <c r="N399" i="1"/>
  <c r="N400" i="1"/>
  <c r="N401" i="1"/>
  <c r="N402" i="1"/>
  <c r="N403" i="1"/>
  <c r="N404" i="1"/>
  <c r="N405" i="1"/>
  <c r="N406" i="1"/>
  <c r="N407" i="1"/>
  <c r="N408" i="1"/>
  <c r="N409" i="1"/>
  <c r="N410" i="1"/>
  <c r="N411" i="1"/>
  <c r="N412" i="1"/>
  <c r="N413" i="1"/>
  <c r="N414" i="1"/>
  <c r="N415" i="1"/>
  <c r="N416" i="1"/>
  <c r="N417" i="1"/>
  <c r="N418" i="1"/>
  <c r="N419" i="1"/>
  <c r="N420" i="1"/>
  <c r="N421" i="1"/>
  <c r="N422" i="1"/>
  <c r="N423" i="1"/>
  <c r="N424" i="1"/>
  <c r="N425" i="1"/>
  <c r="N426" i="1"/>
  <c r="N427" i="1"/>
  <c r="N428" i="1"/>
  <c r="N429" i="1"/>
  <c r="N430" i="1"/>
  <c r="N431" i="1"/>
  <c r="N432" i="1"/>
  <c r="N433" i="1"/>
  <c r="N434" i="1"/>
  <c r="N435" i="1"/>
  <c r="N436" i="1"/>
  <c r="N437" i="1"/>
  <c r="N438" i="1"/>
  <c r="N439" i="1"/>
  <c r="N440" i="1"/>
  <c r="N441" i="1"/>
  <c r="N442" i="1"/>
  <c r="N443" i="1"/>
  <c r="N444" i="1"/>
  <c r="N445" i="1"/>
  <c r="N446" i="1"/>
  <c r="N447" i="1"/>
  <c r="N448" i="1"/>
  <c r="N449" i="1"/>
  <c r="N450" i="1"/>
  <c r="N451" i="1"/>
  <c r="N452" i="1"/>
  <c r="N453" i="1"/>
  <c r="N454" i="1"/>
  <c r="N455" i="1"/>
  <c r="N456" i="1"/>
  <c r="N457" i="1"/>
  <c r="N458" i="1"/>
  <c r="N459" i="1"/>
  <c r="N460" i="1"/>
  <c r="N461" i="1"/>
  <c r="N462" i="1"/>
  <c r="N463" i="1"/>
  <c r="N464" i="1"/>
  <c r="N465" i="1"/>
  <c r="N466" i="1"/>
  <c r="N467" i="1"/>
  <c r="N468" i="1"/>
  <c r="N469" i="1"/>
  <c r="N470" i="1"/>
  <c r="N471" i="1"/>
  <c r="N472" i="1"/>
  <c r="N473" i="1"/>
  <c r="N474" i="1"/>
  <c r="N475" i="1"/>
  <c r="N476" i="1"/>
  <c r="N477" i="1"/>
  <c r="N478" i="1"/>
  <c r="N479" i="1"/>
  <c r="N480" i="1"/>
  <c r="N481" i="1"/>
  <c r="N482" i="1"/>
  <c r="N483" i="1"/>
  <c r="N484" i="1"/>
  <c r="N485" i="1"/>
  <c r="N486" i="1"/>
  <c r="N487" i="1"/>
  <c r="N488" i="1"/>
  <c r="N489" i="1"/>
  <c r="N490" i="1"/>
  <c r="N491" i="1"/>
  <c r="N492" i="1"/>
  <c r="N493" i="1"/>
  <c r="N494" i="1"/>
  <c r="N495" i="1"/>
  <c r="N496" i="1"/>
  <c r="N497" i="1"/>
  <c r="N498" i="1"/>
  <c r="N499" i="1"/>
  <c r="N500" i="1"/>
  <c r="N501" i="1"/>
  <c r="N502" i="1"/>
  <c r="N503" i="1"/>
  <c r="N504" i="1"/>
  <c r="N505" i="1"/>
  <c r="N506" i="1"/>
  <c r="N507" i="1"/>
  <c r="N508" i="1"/>
  <c r="N509" i="1"/>
  <c r="N510" i="1"/>
  <c r="N511" i="1"/>
  <c r="N512" i="1"/>
  <c r="N513" i="1"/>
  <c r="N514" i="1"/>
  <c r="N515" i="1"/>
  <c r="N516" i="1"/>
  <c r="N517" i="1"/>
  <c r="N518" i="1"/>
  <c r="N519" i="1"/>
  <c r="N520" i="1"/>
  <c r="N521" i="1"/>
  <c r="N522" i="1"/>
  <c r="N523" i="1"/>
  <c r="N524" i="1"/>
  <c r="N525" i="1"/>
  <c r="N526" i="1"/>
  <c r="N527" i="1"/>
  <c r="N528" i="1"/>
  <c r="N529" i="1"/>
  <c r="N530" i="1"/>
  <c r="N531" i="1"/>
  <c r="N532" i="1"/>
  <c r="N533" i="1"/>
  <c r="N534" i="1"/>
  <c r="N535" i="1"/>
  <c r="N536" i="1"/>
  <c r="N537" i="1"/>
  <c r="N538" i="1"/>
  <c r="N539" i="1"/>
  <c r="N540" i="1"/>
  <c r="N541" i="1"/>
  <c r="N542" i="1"/>
  <c r="N543" i="1"/>
  <c r="N544" i="1"/>
  <c r="N545" i="1"/>
  <c r="N546" i="1"/>
  <c r="N547" i="1"/>
  <c r="N548" i="1"/>
  <c r="N549" i="1"/>
  <c r="N550" i="1"/>
  <c r="N551" i="1"/>
  <c r="N552" i="1"/>
  <c r="N553" i="1"/>
  <c r="N554" i="1"/>
  <c r="N555" i="1"/>
  <c r="N556" i="1"/>
  <c r="N557" i="1"/>
  <c r="N558" i="1"/>
  <c r="N559" i="1"/>
  <c r="N560" i="1"/>
  <c r="N561" i="1"/>
  <c r="N562" i="1"/>
  <c r="N563" i="1"/>
  <c r="N564" i="1"/>
  <c r="N565" i="1"/>
  <c r="N566" i="1"/>
  <c r="N567" i="1"/>
  <c r="N568" i="1"/>
  <c r="N569" i="1"/>
  <c r="N570" i="1"/>
  <c r="N571" i="1"/>
  <c r="N572" i="1"/>
  <c r="N573" i="1"/>
  <c r="N574" i="1"/>
  <c r="N575" i="1"/>
  <c r="N576" i="1"/>
  <c r="N577" i="1"/>
  <c r="N578" i="1"/>
  <c r="N579" i="1"/>
  <c r="N580" i="1"/>
  <c r="N581" i="1"/>
  <c r="N582" i="1"/>
  <c r="N583" i="1"/>
  <c r="N584" i="1"/>
  <c r="N585" i="1"/>
  <c r="N586" i="1"/>
  <c r="N587" i="1"/>
  <c r="N588" i="1"/>
  <c r="N589" i="1"/>
  <c r="N590" i="1"/>
  <c r="N591" i="1"/>
  <c r="N592" i="1"/>
  <c r="N593" i="1"/>
  <c r="N594" i="1"/>
  <c r="N595" i="1"/>
  <c r="N596" i="1"/>
  <c r="N597" i="1"/>
  <c r="N598" i="1"/>
  <c r="N599" i="1"/>
  <c r="N600" i="1"/>
  <c r="N601" i="1"/>
  <c r="N602" i="1"/>
  <c r="N603" i="1"/>
  <c r="N604" i="1"/>
  <c r="N605" i="1"/>
  <c r="N606" i="1"/>
  <c r="N607" i="1"/>
  <c r="N608" i="1"/>
  <c r="N609" i="1"/>
  <c r="N610" i="1"/>
  <c r="N611" i="1"/>
  <c r="N612" i="1"/>
  <c r="N613" i="1"/>
  <c r="N614" i="1"/>
  <c r="N615" i="1"/>
  <c r="N616" i="1"/>
  <c r="N617" i="1"/>
  <c r="N618" i="1"/>
  <c r="N619" i="1"/>
  <c r="N620" i="1"/>
  <c r="N621" i="1"/>
  <c r="N622" i="1"/>
  <c r="N623" i="1"/>
  <c r="N624" i="1"/>
  <c r="N625" i="1"/>
  <c r="N626" i="1"/>
  <c r="N627" i="1"/>
  <c r="N628" i="1"/>
  <c r="N629" i="1"/>
  <c r="N630" i="1"/>
  <c r="N631" i="1"/>
  <c r="N632" i="1"/>
  <c r="N633" i="1"/>
  <c r="N634" i="1"/>
  <c r="N635" i="1"/>
  <c r="N636" i="1"/>
  <c r="N637" i="1"/>
  <c r="N638" i="1"/>
  <c r="N639" i="1"/>
  <c r="N640" i="1"/>
  <c r="N641" i="1"/>
  <c r="N642" i="1"/>
  <c r="N643" i="1"/>
  <c r="N644" i="1"/>
  <c r="N645" i="1"/>
  <c r="N646" i="1"/>
  <c r="N647" i="1"/>
  <c r="N648" i="1"/>
  <c r="N649" i="1"/>
  <c r="N650" i="1"/>
  <c r="N651" i="1"/>
  <c r="N652" i="1"/>
  <c r="N653" i="1"/>
  <c r="N654" i="1"/>
  <c r="N655" i="1"/>
  <c r="N656" i="1"/>
  <c r="N657" i="1"/>
  <c r="N658" i="1"/>
  <c r="N659" i="1"/>
  <c r="N660" i="1"/>
  <c r="N661" i="1"/>
  <c r="N662" i="1"/>
  <c r="N663" i="1"/>
  <c r="N664" i="1"/>
  <c r="N665" i="1"/>
  <c r="N666" i="1"/>
  <c r="N667" i="1"/>
  <c r="N668" i="1"/>
  <c r="N669" i="1"/>
  <c r="N670" i="1"/>
  <c r="N671" i="1"/>
  <c r="N672" i="1"/>
  <c r="N673" i="1"/>
  <c r="N674" i="1"/>
  <c r="N675" i="1"/>
  <c r="N676" i="1"/>
  <c r="N677" i="1"/>
  <c r="N678" i="1"/>
  <c r="N679" i="1"/>
  <c r="N680" i="1"/>
  <c r="N681" i="1"/>
  <c r="N682" i="1"/>
  <c r="N683" i="1"/>
  <c r="N684" i="1"/>
  <c r="N685" i="1"/>
  <c r="N686" i="1"/>
  <c r="N687" i="1"/>
  <c r="N688" i="1"/>
  <c r="N689" i="1"/>
  <c r="N690" i="1"/>
  <c r="N691" i="1"/>
  <c r="N692" i="1"/>
  <c r="N693" i="1"/>
  <c r="N694" i="1"/>
  <c r="N695" i="1"/>
  <c r="N696" i="1"/>
  <c r="N697" i="1"/>
  <c r="N698" i="1"/>
  <c r="N699" i="1"/>
  <c r="N700" i="1"/>
  <c r="N701" i="1"/>
  <c r="N702" i="1"/>
  <c r="N703" i="1"/>
  <c r="N704" i="1"/>
  <c r="N705" i="1"/>
  <c r="N706" i="1"/>
  <c r="N707" i="1"/>
  <c r="N708" i="1"/>
  <c r="N709" i="1"/>
  <c r="N710" i="1"/>
  <c r="N711" i="1"/>
  <c r="N712" i="1"/>
  <c r="N713" i="1"/>
  <c r="N714" i="1"/>
  <c r="N715" i="1"/>
  <c r="N716" i="1"/>
  <c r="N717" i="1"/>
  <c r="N718" i="1"/>
  <c r="N719" i="1"/>
  <c r="N720" i="1"/>
  <c r="N721" i="1"/>
  <c r="N722" i="1"/>
  <c r="N723" i="1"/>
  <c r="N724" i="1"/>
  <c r="N725" i="1"/>
  <c r="N726" i="1"/>
  <c r="N727" i="1"/>
  <c r="N728" i="1"/>
  <c r="N729" i="1"/>
  <c r="N730" i="1"/>
  <c r="N731" i="1"/>
  <c r="N732" i="1"/>
  <c r="N733" i="1"/>
  <c r="N734" i="1"/>
  <c r="N735" i="1"/>
  <c r="N736" i="1"/>
  <c r="N737" i="1"/>
  <c r="N738" i="1"/>
  <c r="N739" i="1"/>
  <c r="N740" i="1"/>
  <c r="N741" i="1"/>
  <c r="N742" i="1"/>
  <c r="N743" i="1"/>
  <c r="N744" i="1"/>
  <c r="N745" i="1"/>
  <c r="N746" i="1"/>
  <c r="N747" i="1"/>
  <c r="N748" i="1"/>
  <c r="N749" i="1"/>
  <c r="N750" i="1"/>
  <c r="N751" i="1"/>
  <c r="N752" i="1"/>
  <c r="N753" i="1"/>
  <c r="N754" i="1"/>
  <c r="N755" i="1"/>
  <c r="N756" i="1"/>
  <c r="N757" i="1"/>
  <c r="N758" i="1"/>
  <c r="N759" i="1"/>
  <c r="N760" i="1"/>
  <c r="N761" i="1"/>
  <c r="N762" i="1"/>
  <c r="N763" i="1"/>
  <c r="N764" i="1"/>
  <c r="N765" i="1"/>
  <c r="N766" i="1"/>
  <c r="N767" i="1"/>
  <c r="N768" i="1"/>
  <c r="N769" i="1"/>
  <c r="N770" i="1"/>
  <c r="N771" i="1"/>
  <c r="N772" i="1"/>
  <c r="N773" i="1"/>
  <c r="N774" i="1"/>
  <c r="N775" i="1"/>
  <c r="N776" i="1"/>
  <c r="N777" i="1"/>
  <c r="N778" i="1"/>
  <c r="N779" i="1"/>
  <c r="N780" i="1"/>
  <c r="N781" i="1"/>
  <c r="N782" i="1"/>
  <c r="N783" i="1"/>
  <c r="N784" i="1"/>
  <c r="N785" i="1"/>
  <c r="N786" i="1"/>
  <c r="N787" i="1"/>
  <c r="N788" i="1"/>
  <c r="N789" i="1"/>
  <c r="N790" i="1"/>
  <c r="N791" i="1"/>
  <c r="N792" i="1"/>
  <c r="N793" i="1"/>
  <c r="N794" i="1"/>
  <c r="N795" i="1"/>
  <c r="N796" i="1"/>
  <c r="N797" i="1"/>
  <c r="N798" i="1"/>
  <c r="N799" i="1"/>
  <c r="N800" i="1"/>
  <c r="N801" i="1"/>
  <c r="N802" i="1"/>
  <c r="N803" i="1"/>
  <c r="N804" i="1"/>
  <c r="N805" i="1"/>
  <c r="N806" i="1"/>
  <c r="N807" i="1"/>
  <c r="N808" i="1"/>
  <c r="N809" i="1"/>
  <c r="N810" i="1"/>
  <c r="N811" i="1"/>
  <c r="N812" i="1"/>
  <c r="N813" i="1"/>
  <c r="N814" i="1"/>
  <c r="N815" i="1"/>
  <c r="N816" i="1"/>
  <c r="N817" i="1"/>
  <c r="N818" i="1"/>
  <c r="N819" i="1"/>
  <c r="N820" i="1"/>
  <c r="N821" i="1"/>
  <c r="N822" i="1"/>
  <c r="N823" i="1"/>
  <c r="N824" i="1"/>
  <c r="N825" i="1"/>
  <c r="N826" i="1"/>
  <c r="N827" i="1"/>
  <c r="N828" i="1"/>
  <c r="N829" i="1"/>
  <c r="N830" i="1"/>
  <c r="N831" i="1"/>
  <c r="N832" i="1"/>
  <c r="N833" i="1"/>
  <c r="N834" i="1"/>
  <c r="N835" i="1"/>
  <c r="N836" i="1"/>
  <c r="N837" i="1"/>
  <c r="N838" i="1"/>
  <c r="N839" i="1"/>
  <c r="N840" i="1"/>
  <c r="N841" i="1"/>
  <c r="N842" i="1"/>
  <c r="N843" i="1"/>
  <c r="N844" i="1"/>
  <c r="N845" i="1"/>
  <c r="N846" i="1"/>
  <c r="N847" i="1"/>
  <c r="N848" i="1"/>
  <c r="N849" i="1"/>
  <c r="N850" i="1"/>
  <c r="N851" i="1"/>
  <c r="N852" i="1"/>
  <c r="N853" i="1"/>
  <c r="N854" i="1"/>
  <c r="N855" i="1"/>
  <c r="N856" i="1"/>
  <c r="N857" i="1"/>
  <c r="N858" i="1"/>
  <c r="N859" i="1"/>
  <c r="N860" i="1"/>
  <c r="N861" i="1"/>
  <c r="N862" i="1"/>
  <c r="N863" i="1"/>
  <c r="N864" i="1"/>
  <c r="N865" i="1"/>
  <c r="N866" i="1"/>
  <c r="N867" i="1"/>
  <c r="N868" i="1"/>
  <c r="N869" i="1"/>
  <c r="N870" i="1"/>
  <c r="N871" i="1"/>
  <c r="N872" i="1"/>
  <c r="N873" i="1"/>
  <c r="N874" i="1"/>
  <c r="N875" i="1"/>
  <c r="N876" i="1"/>
  <c r="N877" i="1"/>
  <c r="N878" i="1"/>
  <c r="N879" i="1"/>
  <c r="N880" i="1"/>
  <c r="N881" i="1"/>
  <c r="N882" i="1"/>
  <c r="N883" i="1"/>
  <c r="N884" i="1"/>
  <c r="N885" i="1"/>
  <c r="N886" i="1"/>
  <c r="N887" i="1"/>
  <c r="N888" i="1"/>
  <c r="N889" i="1"/>
  <c r="N890" i="1"/>
  <c r="N891" i="1"/>
  <c r="N892" i="1"/>
  <c r="N893" i="1"/>
  <c r="N894" i="1"/>
  <c r="N895" i="1"/>
  <c r="N896" i="1"/>
  <c r="N897" i="1"/>
  <c r="N898" i="1"/>
  <c r="N899" i="1"/>
  <c r="N900" i="1"/>
  <c r="N901" i="1"/>
  <c r="N902" i="1"/>
  <c r="N903" i="1"/>
  <c r="N904" i="1"/>
  <c r="N905" i="1"/>
  <c r="N906" i="1"/>
  <c r="N907" i="1"/>
  <c r="N908" i="1"/>
  <c r="N909" i="1"/>
  <c r="N910" i="1"/>
  <c r="N911" i="1"/>
  <c r="N912" i="1"/>
  <c r="N913" i="1"/>
  <c r="N914" i="1"/>
  <c r="N915" i="1"/>
  <c r="N916" i="1"/>
  <c r="N917" i="1"/>
  <c r="N918" i="1"/>
  <c r="N919" i="1"/>
  <c r="N920" i="1"/>
  <c r="N921" i="1"/>
  <c r="N922" i="1"/>
  <c r="N923" i="1"/>
  <c r="N924" i="1"/>
  <c r="N925" i="1"/>
  <c r="N926" i="1"/>
  <c r="N927" i="1"/>
  <c r="N928" i="1"/>
  <c r="N929" i="1"/>
  <c r="N930" i="1"/>
  <c r="N931" i="1"/>
  <c r="N932" i="1"/>
  <c r="N933" i="1"/>
  <c r="N934" i="1"/>
  <c r="N935" i="1"/>
  <c r="N936" i="1"/>
  <c r="N937" i="1"/>
  <c r="N938" i="1"/>
  <c r="N939" i="1"/>
  <c r="N940" i="1"/>
  <c r="N941" i="1"/>
  <c r="N942" i="1"/>
  <c r="N943" i="1"/>
  <c r="N944" i="1"/>
  <c r="N945" i="1"/>
  <c r="N946" i="1"/>
  <c r="N947" i="1"/>
  <c r="N948" i="1"/>
  <c r="N949" i="1"/>
  <c r="N950" i="1"/>
  <c r="N951" i="1"/>
  <c r="N952" i="1"/>
  <c r="N953" i="1"/>
  <c r="N954" i="1"/>
  <c r="N955" i="1"/>
  <c r="N956" i="1"/>
  <c r="N957" i="1"/>
  <c r="N958" i="1"/>
  <c r="N959" i="1"/>
  <c r="N960" i="1"/>
  <c r="N961" i="1"/>
  <c r="N962" i="1"/>
  <c r="N963" i="1"/>
  <c r="N964" i="1"/>
  <c r="N965" i="1"/>
  <c r="N966" i="1"/>
  <c r="N967" i="1"/>
  <c r="N968" i="1"/>
  <c r="N969" i="1"/>
  <c r="N970" i="1"/>
  <c r="N971" i="1"/>
  <c r="N972" i="1"/>
  <c r="N973" i="1"/>
  <c r="N974" i="1"/>
  <c r="N975" i="1"/>
  <c r="N976" i="1"/>
  <c r="N977" i="1"/>
  <c r="N978" i="1"/>
  <c r="N979" i="1"/>
  <c r="N980" i="1"/>
  <c r="N981" i="1"/>
  <c r="N982" i="1"/>
  <c r="N983" i="1"/>
  <c r="N984" i="1"/>
  <c r="N985" i="1"/>
  <c r="N986" i="1"/>
  <c r="N987" i="1"/>
  <c r="N988" i="1"/>
  <c r="N989" i="1"/>
  <c r="N990" i="1"/>
  <c r="N991" i="1"/>
  <c r="N992" i="1"/>
  <c r="N993" i="1"/>
  <c r="N994" i="1"/>
  <c r="N995" i="1"/>
  <c r="N996" i="1"/>
  <c r="N997" i="1"/>
  <c r="N998" i="1"/>
  <c r="N999" i="1"/>
  <c r="N1000" i="1"/>
  <c r="N1001" i="1"/>
  <c r="N1002" i="1"/>
  <c r="N1003" i="1"/>
  <c r="N1004" i="1"/>
  <c r="N1005" i="1"/>
  <c r="N1006" i="1"/>
  <c r="N1007" i="1"/>
  <c r="N1008" i="1"/>
  <c r="N1009" i="1"/>
  <c r="N1010" i="1"/>
  <c r="N1011" i="1"/>
  <c r="N1012" i="1"/>
  <c r="N1013" i="1"/>
  <c r="N1014" i="1"/>
  <c r="N1015" i="1"/>
  <c r="N1016" i="1"/>
  <c r="N1017" i="1"/>
  <c r="N1018" i="1"/>
  <c r="N1019" i="1"/>
  <c r="N1020" i="1"/>
  <c r="N1021" i="1"/>
  <c r="N1022" i="1"/>
  <c r="N1023" i="1"/>
  <c r="N1024" i="1"/>
  <c r="N1025" i="1"/>
  <c r="N1026" i="1"/>
  <c r="N1027" i="1"/>
  <c r="N1028" i="1"/>
  <c r="N1029" i="1"/>
  <c r="N1030" i="1"/>
  <c r="N1031" i="1"/>
  <c r="N1032" i="1"/>
  <c r="N1033" i="1"/>
  <c r="N1034" i="1"/>
  <c r="N1035" i="1"/>
  <c r="N1036" i="1"/>
  <c r="N1037" i="1"/>
  <c r="N1038" i="1"/>
  <c r="N1039" i="1"/>
  <c r="N1040" i="1"/>
  <c r="N1041" i="1"/>
  <c r="N1042" i="1"/>
  <c r="N1043" i="1"/>
  <c r="N1044" i="1"/>
  <c r="N1045" i="1"/>
  <c r="N1046" i="1"/>
  <c r="N1047" i="1"/>
  <c r="N1048" i="1"/>
  <c r="N1049" i="1"/>
  <c r="N1050" i="1"/>
  <c r="N1051" i="1"/>
  <c r="N1052" i="1"/>
  <c r="N1053" i="1"/>
  <c r="N1054" i="1"/>
  <c r="N1055" i="1"/>
  <c r="N1056" i="1"/>
  <c r="N1057" i="1"/>
  <c r="N1058" i="1"/>
  <c r="N1059" i="1"/>
  <c r="N1060" i="1"/>
  <c r="N1061" i="1"/>
  <c r="N1062" i="1"/>
  <c r="N1063" i="1"/>
  <c r="N1064" i="1"/>
  <c r="N1065" i="1"/>
  <c r="N1066" i="1"/>
  <c r="N1067" i="1"/>
  <c r="N1068" i="1"/>
  <c r="N1069" i="1"/>
  <c r="N1070" i="1"/>
  <c r="N1071" i="1"/>
  <c r="N1072" i="1"/>
  <c r="N1073" i="1"/>
  <c r="N1074" i="1"/>
  <c r="N1075" i="1"/>
  <c r="N1076" i="1"/>
  <c r="N1077" i="1"/>
  <c r="N1078" i="1"/>
  <c r="N1079" i="1"/>
  <c r="N1080" i="1"/>
  <c r="N1081" i="1"/>
  <c r="N1082" i="1"/>
  <c r="N1083" i="1"/>
  <c r="N1084" i="1"/>
  <c r="N1085" i="1"/>
  <c r="N1086" i="1"/>
  <c r="N1087" i="1"/>
  <c r="N1088" i="1"/>
  <c r="N1089" i="1"/>
  <c r="N1090" i="1"/>
  <c r="N1091" i="1"/>
  <c r="N1092" i="1"/>
  <c r="N1093" i="1"/>
  <c r="N1094" i="1"/>
  <c r="N1095" i="1"/>
  <c r="N1096" i="1"/>
  <c r="N1097" i="1"/>
  <c r="N1098" i="1"/>
  <c r="N1099" i="1"/>
  <c r="N1100" i="1"/>
  <c r="N1101" i="1"/>
  <c r="N1102" i="1"/>
  <c r="N1103" i="1"/>
  <c r="N1104" i="1"/>
  <c r="N1105" i="1"/>
  <c r="N1106" i="1"/>
  <c r="N1107" i="1"/>
  <c r="N1108" i="1"/>
  <c r="N1109" i="1"/>
  <c r="N1110" i="1"/>
  <c r="N1111" i="1"/>
  <c r="N1112" i="1"/>
  <c r="N1113" i="1"/>
  <c r="N1114" i="1"/>
  <c r="N1115" i="1"/>
  <c r="N1116" i="1"/>
  <c r="N1117" i="1"/>
  <c r="N1118" i="1"/>
  <c r="N1119" i="1"/>
  <c r="N1120" i="1"/>
  <c r="N1121" i="1"/>
  <c r="N1122" i="1"/>
  <c r="N1123" i="1"/>
  <c r="N1124" i="1"/>
  <c r="N1125" i="1"/>
  <c r="N1126" i="1"/>
  <c r="N1127" i="1"/>
  <c r="N1128" i="1"/>
  <c r="N1129" i="1"/>
  <c r="N1130" i="1"/>
  <c r="N1131" i="1"/>
  <c r="N1132" i="1"/>
  <c r="N1133" i="1"/>
  <c r="N1134" i="1"/>
  <c r="N1135" i="1"/>
  <c r="N1136" i="1"/>
  <c r="N1137" i="1"/>
  <c r="N1138" i="1"/>
  <c r="N1139" i="1"/>
  <c r="N1140" i="1"/>
  <c r="N1141" i="1"/>
  <c r="N1142" i="1"/>
  <c r="N1143" i="1"/>
  <c r="N1144" i="1"/>
  <c r="N1145" i="1"/>
  <c r="N1146" i="1"/>
  <c r="N1147" i="1"/>
  <c r="N1148" i="1"/>
  <c r="N1149" i="1"/>
  <c r="N1150" i="1"/>
  <c r="N1151" i="1"/>
  <c r="N1152" i="1"/>
  <c r="N1153" i="1"/>
  <c r="N1154" i="1"/>
  <c r="N1155" i="1"/>
  <c r="N1156" i="1"/>
  <c r="N1157" i="1"/>
  <c r="N1158" i="1"/>
  <c r="N1159" i="1"/>
  <c r="N1160" i="1"/>
  <c r="N1161" i="1"/>
  <c r="N1162" i="1"/>
  <c r="N1163" i="1"/>
  <c r="N1164" i="1"/>
  <c r="N1165" i="1"/>
  <c r="N1166" i="1"/>
  <c r="N1167" i="1"/>
  <c r="N1168" i="1"/>
  <c r="N1169" i="1"/>
  <c r="N1170" i="1"/>
  <c r="N1171" i="1"/>
  <c r="N1172" i="1"/>
  <c r="N1173" i="1"/>
  <c r="N1174" i="1"/>
  <c r="N1175" i="1"/>
  <c r="N1176" i="1"/>
  <c r="N1177" i="1"/>
  <c r="N1178" i="1"/>
  <c r="N1179" i="1"/>
  <c r="N1180" i="1"/>
  <c r="N1181" i="1"/>
  <c r="N1182" i="1"/>
  <c r="N1183" i="1"/>
  <c r="N1184" i="1"/>
  <c r="N1185" i="1"/>
  <c r="N1186" i="1"/>
  <c r="N1187" i="1"/>
  <c r="N1188" i="1"/>
  <c r="N1189" i="1"/>
  <c r="N1190" i="1"/>
  <c r="N1191" i="1"/>
  <c r="N1192" i="1"/>
  <c r="N1193" i="1"/>
  <c r="N1194" i="1"/>
  <c r="N1195" i="1"/>
  <c r="N1196" i="1"/>
  <c r="N1197" i="1"/>
  <c r="N1198" i="1"/>
  <c r="N1199" i="1"/>
  <c r="N1200" i="1"/>
  <c r="N1201" i="1"/>
  <c r="N1202" i="1"/>
  <c r="N1203" i="1"/>
  <c r="N1204" i="1"/>
  <c r="N1205" i="1"/>
  <c r="N1206" i="1"/>
  <c r="N1207" i="1"/>
  <c r="N1208" i="1"/>
  <c r="N1209" i="1"/>
  <c r="N1210" i="1"/>
  <c r="N1211" i="1"/>
  <c r="N1212" i="1"/>
  <c r="N1213" i="1"/>
  <c r="N1214" i="1"/>
  <c r="N1215" i="1"/>
  <c r="N1216" i="1"/>
  <c r="N1217" i="1"/>
  <c r="N1218" i="1"/>
  <c r="N1219" i="1"/>
  <c r="N1220" i="1"/>
  <c r="N1221" i="1"/>
  <c r="N1222" i="1"/>
  <c r="N1223" i="1"/>
  <c r="N1224" i="1"/>
  <c r="N1225" i="1"/>
  <c r="N1226" i="1"/>
  <c r="N1227" i="1"/>
  <c r="N1228" i="1"/>
  <c r="N1229" i="1"/>
  <c r="N1230" i="1"/>
  <c r="N1231" i="1"/>
  <c r="N1232" i="1"/>
  <c r="N1233" i="1"/>
  <c r="N1234" i="1"/>
  <c r="N1235" i="1"/>
  <c r="N1236" i="1"/>
  <c r="N1237" i="1"/>
  <c r="N1238" i="1"/>
  <c r="N1239" i="1"/>
  <c r="N1240" i="1"/>
  <c r="N1241" i="1"/>
  <c r="N1242" i="1"/>
  <c r="N1243" i="1"/>
  <c r="N1244" i="1"/>
  <c r="N1245" i="1"/>
  <c r="N1246" i="1"/>
  <c r="N1247" i="1"/>
  <c r="N1248" i="1"/>
  <c r="N1249" i="1"/>
  <c r="N1250" i="1"/>
  <c r="N1251" i="1"/>
  <c r="N1252" i="1"/>
  <c r="N1253" i="1"/>
  <c r="N1254" i="1"/>
  <c r="N1255" i="1"/>
  <c r="N1256" i="1"/>
  <c r="N1257" i="1"/>
  <c r="N1258" i="1"/>
  <c r="N1259" i="1"/>
  <c r="N1260" i="1"/>
  <c r="N1261" i="1"/>
  <c r="N1262" i="1"/>
  <c r="N1263" i="1"/>
  <c r="N1264" i="1"/>
  <c r="N1265" i="1"/>
  <c r="N1266" i="1"/>
  <c r="N1267" i="1"/>
  <c r="N1268" i="1"/>
  <c r="N1269" i="1"/>
  <c r="N1270" i="1"/>
  <c r="N1271" i="1"/>
  <c r="N1272" i="1"/>
  <c r="N1273" i="1"/>
  <c r="N1274" i="1"/>
  <c r="N1275" i="1"/>
  <c r="N1276" i="1"/>
  <c r="N1277" i="1"/>
  <c r="N1278" i="1"/>
  <c r="N1279" i="1"/>
  <c r="N1280" i="1"/>
  <c r="N1281" i="1"/>
  <c r="N1282" i="1"/>
  <c r="N1283" i="1"/>
  <c r="N1284" i="1"/>
  <c r="N1285" i="1"/>
  <c r="N1286" i="1"/>
  <c r="N1287" i="1"/>
  <c r="N1288" i="1"/>
  <c r="N1289" i="1"/>
  <c r="N1290" i="1"/>
  <c r="N1291" i="1"/>
  <c r="N1292" i="1"/>
  <c r="N1293" i="1"/>
  <c r="N1294" i="1"/>
  <c r="N1295" i="1"/>
  <c r="N1296" i="1"/>
  <c r="N1297" i="1"/>
  <c r="N1298" i="1"/>
  <c r="N1299" i="1"/>
  <c r="N1300" i="1"/>
  <c r="N1301" i="1"/>
  <c r="N1302" i="1"/>
  <c r="N1303" i="1"/>
  <c r="N1304" i="1"/>
  <c r="N1305" i="1"/>
  <c r="N1306" i="1"/>
  <c r="N1307" i="1"/>
  <c r="N1308" i="1"/>
  <c r="N1309" i="1"/>
  <c r="N1310" i="1"/>
  <c r="N1311" i="1"/>
  <c r="N1312" i="1"/>
  <c r="N1313" i="1"/>
  <c r="N1314" i="1"/>
  <c r="N1315" i="1"/>
  <c r="N1316" i="1"/>
  <c r="N1317" i="1"/>
  <c r="N1318" i="1"/>
  <c r="N1319" i="1"/>
  <c r="N1320" i="1"/>
  <c r="N1321" i="1"/>
  <c r="N1322" i="1"/>
  <c r="N1323" i="1"/>
  <c r="N1324" i="1"/>
  <c r="N1325" i="1"/>
  <c r="N1326" i="1"/>
  <c r="N1327" i="1"/>
  <c r="N1328" i="1"/>
  <c r="N1329" i="1"/>
  <c r="N1330" i="1"/>
  <c r="N1331" i="1"/>
  <c r="N1332" i="1"/>
  <c r="N1333" i="1"/>
  <c r="N1334" i="1"/>
  <c r="N1335" i="1"/>
  <c r="N1336" i="1"/>
  <c r="N1337" i="1"/>
  <c r="N1338" i="1"/>
  <c r="N1339" i="1"/>
  <c r="N1340" i="1"/>
  <c r="N1341" i="1"/>
  <c r="N1342" i="1"/>
  <c r="N1343" i="1"/>
  <c r="N1344" i="1"/>
  <c r="N1345" i="1"/>
  <c r="N1346" i="1"/>
  <c r="N1347" i="1"/>
  <c r="N1348" i="1"/>
  <c r="N1349" i="1"/>
  <c r="N1350" i="1"/>
  <c r="N1351" i="1"/>
  <c r="N1352" i="1"/>
  <c r="N1353" i="1"/>
  <c r="N1354" i="1"/>
  <c r="N1355" i="1"/>
  <c r="N1356" i="1"/>
  <c r="N1357" i="1"/>
  <c r="N1358" i="1"/>
  <c r="N1359" i="1"/>
  <c r="N1360" i="1"/>
  <c r="N1361" i="1"/>
  <c r="N1362" i="1"/>
  <c r="N1363" i="1"/>
  <c r="N1364" i="1"/>
  <c r="N1365" i="1"/>
  <c r="N1366" i="1"/>
  <c r="N1367" i="1"/>
  <c r="N1368" i="1"/>
  <c r="N1369" i="1"/>
  <c r="N1370" i="1"/>
  <c r="N1371" i="1"/>
  <c r="N1372" i="1"/>
  <c r="N1373" i="1"/>
  <c r="N1374" i="1"/>
  <c r="N1375" i="1"/>
  <c r="N1376" i="1"/>
  <c r="N1377" i="1"/>
  <c r="N1378" i="1"/>
  <c r="N1379" i="1"/>
  <c r="N1380" i="1"/>
  <c r="N1381" i="1"/>
  <c r="N1382" i="1"/>
  <c r="N1383" i="1"/>
  <c r="N1384" i="1"/>
  <c r="N1385" i="1"/>
  <c r="N1386" i="1"/>
  <c r="N1387" i="1"/>
  <c r="N1388" i="1"/>
  <c r="N1389" i="1"/>
  <c r="N1390" i="1"/>
  <c r="N1391" i="1"/>
  <c r="N1392" i="1"/>
  <c r="N1393" i="1"/>
  <c r="N1394" i="1"/>
  <c r="N1395" i="1"/>
  <c r="N1396" i="1"/>
  <c r="N1397" i="1"/>
  <c r="N1398" i="1"/>
  <c r="N1399" i="1"/>
  <c r="N1400" i="1"/>
  <c r="N1401" i="1"/>
  <c r="N1402" i="1"/>
  <c r="N1403" i="1"/>
  <c r="N1404" i="1"/>
  <c r="N1405" i="1"/>
  <c r="N1406" i="1"/>
  <c r="N1407" i="1"/>
  <c r="N1408" i="1"/>
  <c r="N1409" i="1"/>
  <c r="N1410" i="1"/>
  <c r="N1411" i="1"/>
  <c r="N1412" i="1"/>
  <c r="N1413" i="1"/>
  <c r="N1414" i="1"/>
  <c r="N1415" i="1"/>
  <c r="N1416" i="1"/>
  <c r="N1417" i="1"/>
  <c r="N1418" i="1"/>
  <c r="N1419" i="1"/>
  <c r="N1420" i="1"/>
  <c r="N1421" i="1"/>
  <c r="N1422" i="1"/>
  <c r="N1423" i="1"/>
  <c r="N1424" i="1"/>
  <c r="N1425" i="1"/>
  <c r="N1426" i="1"/>
  <c r="N1427" i="1"/>
  <c r="N1428" i="1"/>
  <c r="N1429" i="1"/>
  <c r="N1430" i="1"/>
  <c r="N1431" i="1"/>
  <c r="N1432" i="1"/>
  <c r="N1433" i="1"/>
  <c r="N1434" i="1"/>
  <c r="N1435" i="1"/>
  <c r="N1436" i="1"/>
  <c r="N1437" i="1"/>
  <c r="N1438" i="1"/>
  <c r="N1439" i="1"/>
  <c r="N1440" i="1"/>
  <c r="N1441" i="1"/>
  <c r="N1442" i="1"/>
  <c r="N1443" i="1"/>
  <c r="N1444" i="1"/>
  <c r="N1445" i="1"/>
  <c r="N1446" i="1"/>
  <c r="N1447" i="1"/>
  <c r="N1448" i="1"/>
  <c r="N1449" i="1"/>
  <c r="N1450" i="1"/>
  <c r="N1451" i="1"/>
  <c r="N1452" i="1"/>
  <c r="N1453" i="1"/>
  <c r="N1454" i="1"/>
  <c r="N1455" i="1"/>
  <c r="N1456" i="1"/>
  <c r="N1457" i="1"/>
  <c r="N1458" i="1"/>
  <c r="N1459" i="1"/>
  <c r="N1460" i="1"/>
  <c r="N1461" i="1"/>
  <c r="N1462" i="1"/>
  <c r="N1463" i="1"/>
  <c r="N1464" i="1"/>
  <c r="N1465" i="1"/>
  <c r="N1466" i="1"/>
  <c r="N1467" i="1"/>
  <c r="N1468" i="1"/>
  <c r="N1469" i="1"/>
  <c r="N1470" i="1"/>
  <c r="N1471" i="1"/>
  <c r="N1472" i="1"/>
  <c r="N1473" i="1"/>
  <c r="N1474" i="1"/>
  <c r="N1475" i="1"/>
  <c r="N1476" i="1"/>
  <c r="N1477" i="1"/>
  <c r="N1478" i="1"/>
  <c r="N1479" i="1"/>
  <c r="N1480" i="1"/>
  <c r="N1481" i="1"/>
  <c r="N1482" i="1"/>
  <c r="N1483" i="1"/>
  <c r="N1484" i="1"/>
  <c r="N1485" i="1"/>
  <c r="N1486" i="1"/>
  <c r="N1487" i="1"/>
  <c r="N1488" i="1"/>
  <c r="N1489" i="1"/>
  <c r="N1490" i="1"/>
  <c r="N1491" i="1"/>
  <c r="N1492" i="1"/>
  <c r="N1493" i="1"/>
  <c r="N1494" i="1"/>
  <c r="N1495" i="1"/>
  <c r="N1496" i="1"/>
  <c r="N1497" i="1"/>
  <c r="N1498" i="1"/>
  <c r="N1499" i="1"/>
  <c r="N1500" i="1"/>
  <c r="N1501" i="1"/>
  <c r="N1502" i="1"/>
  <c r="N1503" i="1"/>
  <c r="N1504" i="1"/>
  <c r="N1505" i="1"/>
  <c r="N1506" i="1"/>
  <c r="N1507" i="1"/>
  <c r="N1508" i="1"/>
  <c r="N1509" i="1"/>
  <c r="N1510" i="1"/>
  <c r="N1511" i="1"/>
  <c r="N1512" i="1"/>
  <c r="N1513" i="1"/>
  <c r="N1514" i="1"/>
  <c r="N1515" i="1"/>
  <c r="N1516" i="1"/>
  <c r="N1517" i="1"/>
  <c r="N1518" i="1"/>
  <c r="N1519" i="1"/>
  <c r="N1520" i="1"/>
  <c r="N1521" i="1"/>
  <c r="N1522" i="1"/>
  <c r="N1523" i="1"/>
  <c r="N1524" i="1"/>
  <c r="N1525" i="1"/>
  <c r="N1526" i="1"/>
  <c r="N1527" i="1"/>
  <c r="N1528" i="1"/>
  <c r="N1529" i="1"/>
  <c r="N1530" i="1"/>
  <c r="N1531" i="1"/>
  <c r="N1532" i="1"/>
  <c r="N1533" i="1"/>
  <c r="N1534" i="1"/>
  <c r="N1535" i="1"/>
  <c r="N1536" i="1"/>
  <c r="N1537" i="1"/>
  <c r="N1538" i="1"/>
  <c r="N1539" i="1"/>
  <c r="N1540" i="1"/>
  <c r="N1541" i="1"/>
  <c r="N1542" i="1"/>
  <c r="N1543" i="1"/>
  <c r="N1544" i="1"/>
  <c r="N1545" i="1"/>
  <c r="N1546" i="1"/>
  <c r="N1547" i="1"/>
  <c r="N1548" i="1"/>
  <c r="N1549" i="1"/>
  <c r="N1550" i="1"/>
  <c r="N1551" i="1"/>
  <c r="N1552" i="1"/>
  <c r="N1553" i="1"/>
  <c r="N1554" i="1"/>
  <c r="N1555" i="1"/>
  <c r="N1556" i="1"/>
  <c r="N1557" i="1"/>
  <c r="N1558" i="1"/>
  <c r="N1559" i="1"/>
  <c r="N1560" i="1"/>
  <c r="N1561" i="1"/>
  <c r="N1562" i="1"/>
  <c r="N1563" i="1"/>
  <c r="N1564" i="1"/>
  <c r="N1565" i="1"/>
  <c r="N1566" i="1"/>
  <c r="N1567" i="1"/>
  <c r="N1568" i="1"/>
  <c r="N1569" i="1"/>
  <c r="N1570" i="1"/>
  <c r="N1571" i="1"/>
  <c r="N1572" i="1"/>
  <c r="N1573" i="1"/>
  <c r="N1574" i="1"/>
  <c r="N1575" i="1"/>
  <c r="N1576" i="1"/>
  <c r="N1577" i="1"/>
  <c r="N1578" i="1"/>
  <c r="N1579" i="1"/>
  <c r="N1580" i="1"/>
  <c r="N1581" i="1"/>
  <c r="N1582" i="1"/>
  <c r="N1583" i="1"/>
  <c r="N1584" i="1"/>
  <c r="N1585" i="1"/>
  <c r="N1586" i="1"/>
  <c r="N1587" i="1"/>
  <c r="N1588" i="1"/>
  <c r="N1589" i="1"/>
  <c r="N1590" i="1"/>
  <c r="N1591" i="1"/>
  <c r="N1592" i="1"/>
  <c r="N1593" i="1"/>
  <c r="N1594" i="1"/>
  <c r="N1595" i="1"/>
  <c r="N1596" i="1"/>
  <c r="N1597" i="1"/>
  <c r="N1598" i="1"/>
  <c r="N1599" i="1"/>
  <c r="N1600" i="1"/>
  <c r="N1601" i="1"/>
  <c r="N1602" i="1"/>
  <c r="N1603" i="1"/>
  <c r="N1604" i="1"/>
  <c r="N1605" i="1"/>
  <c r="N1606" i="1"/>
  <c r="N1607" i="1"/>
  <c r="N1608" i="1"/>
  <c r="N1609" i="1"/>
  <c r="N1610" i="1"/>
  <c r="N1611" i="1"/>
  <c r="N1612" i="1"/>
  <c r="N1613" i="1"/>
  <c r="N1614" i="1"/>
  <c r="N1615" i="1"/>
  <c r="N1616" i="1"/>
  <c r="N1617" i="1"/>
  <c r="N1618" i="1"/>
  <c r="N1619" i="1"/>
  <c r="N1620" i="1"/>
  <c r="N1621" i="1"/>
  <c r="N1622" i="1"/>
  <c r="N1623" i="1"/>
  <c r="N1624" i="1"/>
  <c r="N1625" i="1"/>
  <c r="N1626" i="1"/>
  <c r="N1627" i="1"/>
  <c r="N1628" i="1"/>
  <c r="N1629" i="1"/>
  <c r="N1630" i="1"/>
  <c r="N1631" i="1"/>
  <c r="N1632" i="1"/>
  <c r="N1633" i="1"/>
  <c r="N1634" i="1"/>
  <c r="N1635" i="1"/>
  <c r="N1636" i="1"/>
  <c r="N1637" i="1"/>
  <c r="N1638" i="1"/>
  <c r="N1639" i="1"/>
  <c r="N1640" i="1"/>
  <c r="N1641" i="1"/>
  <c r="N1642" i="1"/>
  <c r="N1643" i="1"/>
  <c r="N1644" i="1"/>
  <c r="N1645" i="1"/>
  <c r="N1646" i="1"/>
  <c r="N1647" i="1"/>
  <c r="N1648" i="1"/>
  <c r="N1649" i="1"/>
  <c r="N1650" i="1"/>
  <c r="N1651" i="1"/>
  <c r="N1652" i="1"/>
  <c r="N1653" i="1"/>
  <c r="N1654" i="1"/>
  <c r="N1655" i="1"/>
  <c r="N1656" i="1"/>
  <c r="N1657" i="1"/>
  <c r="N1658" i="1"/>
  <c r="N1659" i="1"/>
  <c r="N1660" i="1"/>
  <c r="N1661" i="1"/>
  <c r="N1662" i="1"/>
  <c r="N1663" i="1"/>
  <c r="N1664" i="1"/>
  <c r="N1665" i="1"/>
  <c r="N1666" i="1"/>
  <c r="N1667" i="1"/>
  <c r="N1668" i="1"/>
  <c r="N1669" i="1"/>
  <c r="N1670" i="1"/>
  <c r="N1671" i="1"/>
  <c r="N1672" i="1"/>
  <c r="N1673" i="1"/>
  <c r="N1674" i="1"/>
  <c r="N1675" i="1"/>
  <c r="N1676" i="1"/>
  <c r="N1677" i="1"/>
  <c r="N1678" i="1"/>
  <c r="N1679" i="1"/>
  <c r="N1680" i="1"/>
  <c r="N1681" i="1"/>
  <c r="N1682" i="1"/>
  <c r="N1683" i="1"/>
  <c r="N1684" i="1"/>
  <c r="N1685" i="1"/>
  <c r="N1686" i="1"/>
  <c r="N1687" i="1"/>
  <c r="N1688" i="1"/>
  <c r="N1689" i="1"/>
  <c r="N1690" i="1"/>
  <c r="N1691" i="1"/>
  <c r="N1692" i="1"/>
  <c r="N1693" i="1"/>
  <c r="N1694" i="1"/>
  <c r="N1695" i="1"/>
  <c r="N1696" i="1"/>
  <c r="N1697" i="1"/>
  <c r="N1698" i="1"/>
  <c r="N1699" i="1"/>
  <c r="N1700" i="1"/>
  <c r="N1701" i="1"/>
  <c r="N1702" i="1"/>
  <c r="N1703" i="1"/>
  <c r="N1704" i="1"/>
  <c r="N1705" i="1"/>
  <c r="N1706" i="1"/>
  <c r="N1707" i="1"/>
  <c r="N1708" i="1"/>
  <c r="N1709" i="1"/>
  <c r="N1710" i="1"/>
  <c r="N1711" i="1"/>
  <c r="N1712" i="1"/>
  <c r="N1713" i="1"/>
  <c r="N1714" i="1"/>
  <c r="N1715" i="1"/>
  <c r="N1716" i="1"/>
  <c r="N1717" i="1"/>
  <c r="N1718" i="1"/>
  <c r="N1719" i="1"/>
  <c r="N1720" i="1"/>
  <c r="N1721" i="1"/>
  <c r="N1722" i="1"/>
  <c r="N1723" i="1"/>
  <c r="N1724" i="1"/>
  <c r="N1725" i="1"/>
  <c r="N1726" i="1"/>
  <c r="N1727" i="1"/>
  <c r="N1728" i="1"/>
  <c r="N1729" i="1"/>
  <c r="N1730" i="1"/>
  <c r="N1731" i="1"/>
  <c r="N1732" i="1"/>
  <c r="N1733" i="1"/>
  <c r="N1734" i="1"/>
  <c r="N1735" i="1"/>
  <c r="N1736" i="1"/>
  <c r="N1737" i="1"/>
  <c r="N1738" i="1"/>
  <c r="N1739" i="1"/>
  <c r="N1740" i="1"/>
  <c r="N1741" i="1"/>
  <c r="N1742" i="1"/>
  <c r="N1743" i="1"/>
  <c r="N1744" i="1"/>
  <c r="N1745" i="1"/>
  <c r="N1746" i="1"/>
  <c r="N1747" i="1"/>
  <c r="N1748" i="1"/>
  <c r="N1749" i="1"/>
  <c r="N1750" i="1"/>
  <c r="N1751" i="1"/>
  <c r="N1752" i="1"/>
  <c r="N1753" i="1"/>
  <c r="N1754" i="1"/>
  <c r="N1755" i="1"/>
  <c r="N1756" i="1"/>
  <c r="N1757" i="1"/>
  <c r="N1758" i="1"/>
  <c r="N1759" i="1"/>
  <c r="N1760" i="1"/>
  <c r="N1761" i="1"/>
  <c r="N1762" i="1"/>
  <c r="N1763" i="1"/>
  <c r="N1764" i="1"/>
  <c r="N1765" i="1"/>
  <c r="N1766" i="1"/>
  <c r="N1767" i="1"/>
  <c r="N1768" i="1"/>
  <c r="N1769" i="1"/>
  <c r="N1770" i="1"/>
  <c r="N1771" i="1"/>
  <c r="N1772" i="1"/>
  <c r="N1773" i="1"/>
  <c r="N1774" i="1"/>
  <c r="N1775" i="1"/>
  <c r="N1776" i="1"/>
  <c r="N1777" i="1"/>
  <c r="N1778" i="1"/>
  <c r="N1779" i="1"/>
  <c r="N1780" i="1"/>
  <c r="N1781" i="1"/>
  <c r="N1782" i="1"/>
  <c r="N1783" i="1"/>
  <c r="N1784" i="1"/>
  <c r="N1785" i="1"/>
  <c r="N1786" i="1"/>
  <c r="N1787" i="1"/>
  <c r="N1788" i="1"/>
  <c r="N1789" i="1"/>
  <c r="N1790" i="1"/>
  <c r="N1791" i="1"/>
  <c r="N1792" i="1"/>
  <c r="N1793" i="1"/>
  <c r="N1794" i="1"/>
  <c r="N1795" i="1"/>
  <c r="N1796" i="1"/>
  <c r="N1797" i="1"/>
  <c r="N1798" i="1"/>
  <c r="N1799" i="1"/>
  <c r="N1800" i="1"/>
  <c r="N1801" i="1"/>
  <c r="N1802" i="1"/>
  <c r="N1803" i="1"/>
  <c r="N1804" i="1"/>
  <c r="N1805" i="1"/>
  <c r="N1806" i="1"/>
  <c r="N1807" i="1"/>
  <c r="N1808" i="1"/>
  <c r="N1809" i="1"/>
  <c r="N1810" i="1"/>
  <c r="N1811" i="1"/>
  <c r="N1812" i="1"/>
  <c r="N1813" i="1"/>
  <c r="N1814" i="1"/>
  <c r="N1815" i="1"/>
  <c r="N1816" i="1"/>
  <c r="N1817" i="1"/>
  <c r="N1818" i="1"/>
  <c r="N1819" i="1"/>
  <c r="N1820" i="1"/>
  <c r="N1821" i="1"/>
  <c r="N1822" i="1"/>
  <c r="N1823" i="1"/>
  <c r="N1824" i="1"/>
  <c r="N1825" i="1"/>
  <c r="N1826" i="1"/>
  <c r="N1827" i="1"/>
  <c r="N1828" i="1"/>
  <c r="N1829" i="1"/>
  <c r="N1830" i="1"/>
  <c r="N1831" i="1"/>
  <c r="N1832" i="1"/>
  <c r="N1833" i="1"/>
  <c r="N1834" i="1"/>
  <c r="N1835" i="1"/>
  <c r="N1836" i="1"/>
  <c r="N1837" i="1"/>
  <c r="N1838" i="1"/>
  <c r="N1839" i="1"/>
  <c r="N1840" i="1"/>
  <c r="N1841" i="1"/>
  <c r="N1842" i="1"/>
  <c r="N1843" i="1"/>
  <c r="N1844" i="1"/>
  <c r="N1845" i="1"/>
  <c r="N1846" i="1"/>
  <c r="N1847" i="1"/>
  <c r="N1848" i="1"/>
  <c r="N1849" i="1"/>
  <c r="N1850" i="1"/>
  <c r="N1851" i="1"/>
  <c r="N1852" i="1"/>
  <c r="N1853" i="1"/>
  <c r="N1854" i="1"/>
  <c r="N1855" i="1"/>
  <c r="N1856" i="1"/>
  <c r="N1857" i="1"/>
  <c r="N1858" i="1"/>
  <c r="N1859" i="1"/>
  <c r="N1860" i="1"/>
  <c r="N1861" i="1"/>
  <c r="N1862" i="1"/>
  <c r="N1863" i="1"/>
  <c r="N1864" i="1"/>
  <c r="N1865" i="1"/>
  <c r="N1866" i="1"/>
  <c r="N1867" i="1"/>
  <c r="N1868" i="1"/>
  <c r="N1869" i="1"/>
  <c r="N1870" i="1"/>
  <c r="N1871" i="1"/>
  <c r="N1872" i="1"/>
  <c r="N1873" i="1"/>
  <c r="N1874" i="1"/>
  <c r="N1875" i="1"/>
  <c r="N1876" i="1"/>
  <c r="N1877" i="1"/>
  <c r="N1878" i="1"/>
  <c r="N1879" i="1"/>
  <c r="N1880" i="1"/>
  <c r="N1881" i="1"/>
  <c r="N1882" i="1"/>
  <c r="N1883" i="1"/>
  <c r="N1884" i="1"/>
  <c r="N1885" i="1"/>
  <c r="N1886" i="1"/>
  <c r="N1887" i="1"/>
  <c r="N1888" i="1"/>
  <c r="N1889" i="1"/>
  <c r="N1890" i="1"/>
  <c r="N1891" i="1"/>
  <c r="N1892" i="1"/>
  <c r="N1893" i="1"/>
  <c r="N1894" i="1"/>
  <c r="N1895" i="1"/>
  <c r="N1896" i="1"/>
  <c r="N1897" i="1"/>
  <c r="N1898" i="1"/>
  <c r="N1899" i="1"/>
  <c r="N1900" i="1"/>
  <c r="N1901" i="1"/>
  <c r="N1902" i="1"/>
  <c r="N1903" i="1"/>
  <c r="N1904" i="1"/>
  <c r="N1905" i="1"/>
  <c r="N1906" i="1"/>
  <c r="N1907" i="1"/>
  <c r="N1908" i="1"/>
  <c r="N1909" i="1"/>
  <c r="N1910" i="1"/>
  <c r="N1911" i="1"/>
  <c r="N1912" i="1"/>
  <c r="N1913" i="1"/>
  <c r="N1914" i="1"/>
  <c r="N1915" i="1"/>
  <c r="N1916" i="1"/>
  <c r="N1917" i="1"/>
  <c r="N1918" i="1"/>
  <c r="N1919" i="1"/>
  <c r="N1920" i="1"/>
  <c r="N1921" i="1"/>
  <c r="N1922" i="1"/>
  <c r="N1923" i="1"/>
  <c r="N1924" i="1"/>
  <c r="N1925" i="1"/>
  <c r="N1926" i="1"/>
  <c r="N1927" i="1"/>
  <c r="N1928" i="1"/>
  <c r="N1929" i="1"/>
  <c r="N1930" i="1"/>
  <c r="N1931" i="1"/>
  <c r="N1932" i="1"/>
  <c r="N1933" i="1"/>
  <c r="N1934" i="1"/>
  <c r="N1935" i="1"/>
  <c r="N1936" i="1"/>
  <c r="N1937" i="1"/>
  <c r="N1938" i="1"/>
  <c r="N1939" i="1"/>
  <c r="N1940" i="1"/>
  <c r="N1941" i="1"/>
  <c r="N1942" i="1"/>
  <c r="N1943" i="1"/>
  <c r="N1944" i="1"/>
  <c r="N1945" i="1"/>
  <c r="N1946" i="1"/>
  <c r="N1947" i="1"/>
  <c r="N1948" i="1"/>
  <c r="N1949" i="1"/>
  <c r="N1950" i="1"/>
  <c r="N1951" i="1"/>
  <c r="N1952" i="1"/>
  <c r="N1953" i="1"/>
  <c r="N1954" i="1"/>
  <c r="N1955" i="1"/>
  <c r="N1956" i="1"/>
  <c r="N1957" i="1"/>
  <c r="N1958" i="1"/>
  <c r="N1959" i="1"/>
  <c r="N1960" i="1"/>
  <c r="N1961" i="1"/>
  <c r="N1962" i="1"/>
  <c r="N1963" i="1"/>
  <c r="N1964" i="1"/>
  <c r="N1965" i="1"/>
  <c r="N1966" i="1"/>
  <c r="N1967" i="1"/>
  <c r="N1968" i="1"/>
  <c r="N1969" i="1"/>
  <c r="N1970" i="1"/>
  <c r="N1971" i="1"/>
  <c r="N1972" i="1"/>
  <c r="N1973" i="1"/>
  <c r="N1974" i="1"/>
  <c r="N1975" i="1"/>
  <c r="N1976" i="1"/>
  <c r="N1977" i="1"/>
  <c r="N1978" i="1"/>
  <c r="N1979" i="1"/>
  <c r="N1980" i="1"/>
  <c r="N1981" i="1"/>
  <c r="N1982" i="1"/>
  <c r="N1983" i="1"/>
  <c r="N1984" i="1"/>
  <c r="N1985" i="1"/>
  <c r="N1986" i="1"/>
  <c r="N1987" i="1"/>
  <c r="N1988" i="1"/>
  <c r="N1989" i="1"/>
  <c r="N1990" i="1"/>
  <c r="N1991" i="1"/>
  <c r="N1992" i="1"/>
  <c r="N1993" i="1"/>
  <c r="N1994" i="1"/>
  <c r="N1995" i="1"/>
  <c r="N1996" i="1"/>
  <c r="N1997" i="1"/>
  <c r="N1998" i="1"/>
  <c r="N1999" i="1"/>
  <c r="N2000" i="1"/>
  <c r="N2001" i="1"/>
  <c r="N2002" i="1"/>
  <c r="N2003" i="1"/>
  <c r="N2004" i="1"/>
  <c r="N2005" i="1"/>
  <c r="N2006" i="1"/>
  <c r="N2007" i="1"/>
  <c r="N2008" i="1"/>
  <c r="N2009" i="1"/>
  <c r="N2010" i="1"/>
  <c r="N2011" i="1"/>
  <c r="N2012" i="1"/>
  <c r="N2013" i="1"/>
  <c r="N2014" i="1"/>
  <c r="N2015" i="1"/>
  <c r="N2016" i="1"/>
  <c r="N2017" i="1"/>
  <c r="N2018" i="1"/>
  <c r="N2019" i="1"/>
  <c r="N2020" i="1"/>
  <c r="N2021" i="1"/>
  <c r="N2022" i="1"/>
  <c r="N2023" i="1"/>
  <c r="N2024" i="1"/>
  <c r="N2025" i="1"/>
  <c r="N2026" i="1"/>
  <c r="N2027" i="1"/>
  <c r="N2028" i="1"/>
  <c r="N2029" i="1"/>
  <c r="N2030" i="1"/>
  <c r="N2031" i="1"/>
  <c r="N2032" i="1"/>
  <c r="N2033" i="1"/>
  <c r="N2034" i="1"/>
  <c r="N2035" i="1"/>
  <c r="N2036" i="1"/>
  <c r="N2037" i="1"/>
  <c r="N2038" i="1"/>
  <c r="N2039" i="1"/>
  <c r="N2040" i="1"/>
  <c r="N2041" i="1"/>
  <c r="N2042" i="1"/>
  <c r="N2043" i="1"/>
  <c r="N2044" i="1"/>
  <c r="N2045" i="1"/>
  <c r="N2046" i="1"/>
  <c r="N2047" i="1"/>
  <c r="N2048" i="1"/>
  <c r="N2049" i="1"/>
  <c r="N2050" i="1"/>
  <c r="N2051" i="1"/>
  <c r="N2052" i="1"/>
  <c r="N2053" i="1"/>
  <c r="N2054" i="1"/>
  <c r="N2055" i="1"/>
  <c r="N2056" i="1"/>
  <c r="N2057" i="1"/>
  <c r="N2058" i="1"/>
  <c r="N2059" i="1"/>
  <c r="N2060" i="1"/>
  <c r="N2061" i="1"/>
  <c r="N2062" i="1"/>
  <c r="N2063" i="1"/>
  <c r="N2064" i="1"/>
  <c r="N2065" i="1"/>
  <c r="N2066" i="1"/>
  <c r="N2067" i="1"/>
  <c r="N2068" i="1"/>
  <c r="N2069" i="1"/>
  <c r="N2070" i="1"/>
  <c r="N2071" i="1"/>
  <c r="N2072" i="1"/>
  <c r="N2073" i="1"/>
  <c r="N2074" i="1"/>
  <c r="N2075" i="1"/>
  <c r="N2076" i="1"/>
  <c r="N2077" i="1"/>
  <c r="N2078" i="1"/>
  <c r="N2079" i="1"/>
  <c r="N2080" i="1"/>
  <c r="N2081" i="1"/>
  <c r="N2082" i="1"/>
  <c r="N2083" i="1"/>
  <c r="N2084" i="1"/>
  <c r="N2085" i="1"/>
  <c r="N2086" i="1"/>
  <c r="N2087" i="1"/>
  <c r="N2088" i="1"/>
  <c r="N2089" i="1"/>
  <c r="N2090" i="1"/>
  <c r="N2091" i="1"/>
  <c r="N2092" i="1"/>
  <c r="N2093" i="1"/>
  <c r="N2094" i="1"/>
  <c r="N2095" i="1"/>
  <c r="N2096" i="1"/>
  <c r="N2097" i="1"/>
  <c r="N2098" i="1"/>
  <c r="N2099" i="1"/>
  <c r="M2099" i="1"/>
  <c r="O2099" i="1" s="1"/>
  <c r="M2098" i="1"/>
  <c r="O2098" i="1" s="1"/>
  <c r="M2097" i="1"/>
  <c r="O2097" i="1" s="1"/>
  <c r="M2096" i="1"/>
  <c r="O2096" i="1" s="1"/>
  <c r="M2095" i="1"/>
  <c r="O2095" i="1" s="1"/>
  <c r="M2094" i="1"/>
  <c r="O2094" i="1" s="1"/>
  <c r="M2093" i="1"/>
  <c r="O2093" i="1" s="1"/>
  <c r="M2092" i="1"/>
  <c r="O2092" i="1" s="1"/>
  <c r="M2091" i="1"/>
  <c r="O2091" i="1" s="1"/>
  <c r="M2090" i="1"/>
  <c r="O2090" i="1" s="1"/>
  <c r="M2089" i="1"/>
  <c r="O2089" i="1" s="1"/>
  <c r="M2088" i="1"/>
  <c r="O2088" i="1" s="1"/>
  <c r="M2087" i="1"/>
  <c r="O2087" i="1" s="1"/>
  <c r="M2086" i="1"/>
  <c r="O2086" i="1" s="1"/>
  <c r="M2085" i="1"/>
  <c r="O2085" i="1" s="1"/>
  <c r="M2084" i="1"/>
  <c r="O2084" i="1" s="1"/>
  <c r="M2083" i="1"/>
  <c r="O2083" i="1" s="1"/>
  <c r="M2082" i="1"/>
  <c r="O2082" i="1" s="1"/>
  <c r="M2081" i="1"/>
  <c r="O2081" i="1" s="1"/>
  <c r="M2080" i="1"/>
  <c r="O2080" i="1" s="1"/>
  <c r="M2079" i="1"/>
  <c r="O2079" i="1" s="1"/>
  <c r="M2078" i="1"/>
  <c r="O2078" i="1" s="1"/>
  <c r="M2077" i="1"/>
  <c r="O2077" i="1" s="1"/>
  <c r="M2076" i="1"/>
  <c r="O2076" i="1" s="1"/>
  <c r="M2075" i="1"/>
  <c r="O2075" i="1" s="1"/>
  <c r="M2074" i="1"/>
  <c r="O2074" i="1" s="1"/>
  <c r="M2073" i="1"/>
  <c r="O2073" i="1" s="1"/>
  <c r="M2072" i="1"/>
  <c r="O2072" i="1" s="1"/>
  <c r="M2071" i="1"/>
  <c r="O2071" i="1" s="1"/>
  <c r="M2070" i="1"/>
  <c r="O2070" i="1" s="1"/>
  <c r="M2069" i="1"/>
  <c r="O2069" i="1" s="1"/>
  <c r="M2068" i="1"/>
  <c r="O2068" i="1" s="1"/>
  <c r="M2067" i="1"/>
  <c r="O2067" i="1" s="1"/>
  <c r="M2066" i="1"/>
  <c r="O2066" i="1" s="1"/>
  <c r="M2065" i="1"/>
  <c r="O2065" i="1" s="1"/>
  <c r="M2064" i="1"/>
  <c r="O2064" i="1" s="1"/>
  <c r="M2063" i="1"/>
  <c r="O2063" i="1" s="1"/>
  <c r="M2062" i="1"/>
  <c r="O2062" i="1" s="1"/>
  <c r="M2061" i="1"/>
  <c r="O2061" i="1" s="1"/>
  <c r="M2060" i="1"/>
  <c r="O2060" i="1" s="1"/>
  <c r="M2059" i="1"/>
  <c r="O2059" i="1" s="1"/>
  <c r="M2058" i="1"/>
  <c r="O2058" i="1" s="1"/>
  <c r="M2057" i="1"/>
  <c r="O2057" i="1" s="1"/>
  <c r="M2056" i="1"/>
  <c r="O2056" i="1" s="1"/>
  <c r="M2055" i="1"/>
  <c r="O2055" i="1" s="1"/>
  <c r="M2054" i="1"/>
  <c r="O2054" i="1" s="1"/>
  <c r="M2053" i="1"/>
  <c r="O2053" i="1" s="1"/>
  <c r="M2052" i="1"/>
  <c r="O2052" i="1" s="1"/>
  <c r="M2051" i="1"/>
  <c r="O2051" i="1" s="1"/>
  <c r="M2050" i="1"/>
  <c r="O2050" i="1" s="1"/>
  <c r="M2049" i="1"/>
  <c r="O2049" i="1" s="1"/>
  <c r="M2048" i="1"/>
  <c r="O2048" i="1" s="1"/>
  <c r="M2047" i="1"/>
  <c r="O2047" i="1" s="1"/>
  <c r="M2046" i="1"/>
  <c r="O2046" i="1" s="1"/>
  <c r="M2045" i="1"/>
  <c r="O2045" i="1" s="1"/>
  <c r="M2044" i="1"/>
  <c r="O2044" i="1" s="1"/>
  <c r="M2043" i="1"/>
  <c r="O2043" i="1" s="1"/>
  <c r="M2042" i="1"/>
  <c r="O2042" i="1" s="1"/>
  <c r="M2041" i="1"/>
  <c r="O2041" i="1" s="1"/>
  <c r="M2040" i="1"/>
  <c r="O2040" i="1" s="1"/>
  <c r="M2039" i="1"/>
  <c r="O2039" i="1" s="1"/>
  <c r="M2038" i="1"/>
  <c r="O2038" i="1" s="1"/>
  <c r="M2037" i="1"/>
  <c r="O2037" i="1" s="1"/>
  <c r="M2036" i="1"/>
  <c r="O2036" i="1" s="1"/>
  <c r="M2035" i="1"/>
  <c r="O2035" i="1" s="1"/>
  <c r="M2034" i="1"/>
  <c r="O2034" i="1" s="1"/>
  <c r="M2033" i="1"/>
  <c r="O2033" i="1" s="1"/>
  <c r="M2032" i="1"/>
  <c r="O2032" i="1" s="1"/>
  <c r="M2031" i="1"/>
  <c r="O2031" i="1" s="1"/>
  <c r="M2030" i="1"/>
  <c r="O2030" i="1" s="1"/>
  <c r="M2029" i="1"/>
  <c r="O2029" i="1" s="1"/>
  <c r="M2028" i="1"/>
  <c r="O2028" i="1" s="1"/>
  <c r="M2027" i="1"/>
  <c r="O2027" i="1" s="1"/>
  <c r="M2026" i="1"/>
  <c r="O2026" i="1" s="1"/>
  <c r="M2025" i="1"/>
  <c r="O2025" i="1" s="1"/>
  <c r="M2024" i="1"/>
  <c r="O2024" i="1" s="1"/>
  <c r="M2023" i="1"/>
  <c r="O2023" i="1" s="1"/>
  <c r="M2022" i="1"/>
  <c r="O2022" i="1" s="1"/>
  <c r="M2021" i="1"/>
  <c r="O2021" i="1" s="1"/>
  <c r="M2020" i="1"/>
  <c r="O2020" i="1" s="1"/>
  <c r="M2019" i="1"/>
  <c r="O2019" i="1" s="1"/>
  <c r="M2018" i="1"/>
  <c r="O2018" i="1" s="1"/>
  <c r="M2017" i="1"/>
  <c r="O2017" i="1" s="1"/>
  <c r="M2016" i="1"/>
  <c r="O2016" i="1" s="1"/>
  <c r="M2015" i="1"/>
  <c r="O2015" i="1" s="1"/>
  <c r="M2014" i="1"/>
  <c r="O2014" i="1" s="1"/>
  <c r="M2013" i="1"/>
  <c r="O2013" i="1" s="1"/>
  <c r="M2012" i="1"/>
  <c r="O2012" i="1" s="1"/>
  <c r="M2011" i="1"/>
  <c r="O2011" i="1" s="1"/>
  <c r="M2010" i="1"/>
  <c r="O2010" i="1" s="1"/>
  <c r="M2009" i="1"/>
  <c r="O2009" i="1" s="1"/>
  <c r="M2008" i="1"/>
  <c r="O2008" i="1" s="1"/>
  <c r="M2007" i="1"/>
  <c r="O2007" i="1" s="1"/>
  <c r="M2006" i="1"/>
  <c r="O2006" i="1" s="1"/>
  <c r="M2005" i="1"/>
  <c r="O2005" i="1" s="1"/>
  <c r="M2004" i="1"/>
  <c r="O2004" i="1" s="1"/>
  <c r="M2003" i="1"/>
  <c r="O2003" i="1" s="1"/>
  <c r="M2002" i="1"/>
  <c r="O2002" i="1" s="1"/>
  <c r="M2001" i="1"/>
  <c r="O2001" i="1" s="1"/>
  <c r="M2000" i="1"/>
  <c r="O2000" i="1" s="1"/>
  <c r="M1999" i="1"/>
  <c r="O1999" i="1" s="1"/>
  <c r="M1998" i="1"/>
  <c r="O1998" i="1" s="1"/>
  <c r="M1997" i="1"/>
  <c r="O1997" i="1" s="1"/>
  <c r="M1996" i="1"/>
  <c r="O1996" i="1" s="1"/>
  <c r="M1995" i="1"/>
  <c r="O1995" i="1" s="1"/>
  <c r="M1994" i="1"/>
  <c r="O1994" i="1" s="1"/>
  <c r="M1993" i="1"/>
  <c r="O1993" i="1" s="1"/>
  <c r="M1992" i="1"/>
  <c r="O1992" i="1" s="1"/>
  <c r="M1991" i="1"/>
  <c r="O1991" i="1" s="1"/>
  <c r="M1990" i="1"/>
  <c r="O1990" i="1" s="1"/>
  <c r="M1989" i="1"/>
  <c r="O1989" i="1" s="1"/>
  <c r="M1988" i="1"/>
  <c r="O1988" i="1" s="1"/>
  <c r="M1987" i="1"/>
  <c r="O1987" i="1" s="1"/>
  <c r="M1986" i="1"/>
  <c r="O1986" i="1" s="1"/>
  <c r="M1985" i="1"/>
  <c r="O1985" i="1" s="1"/>
  <c r="M1984" i="1"/>
  <c r="O1984" i="1" s="1"/>
  <c r="M1983" i="1"/>
  <c r="O1983" i="1" s="1"/>
  <c r="M1982" i="1"/>
  <c r="O1982" i="1" s="1"/>
  <c r="M1981" i="1"/>
  <c r="O1981" i="1" s="1"/>
  <c r="M1980" i="1"/>
  <c r="O1980" i="1" s="1"/>
  <c r="M1979" i="1"/>
  <c r="O1979" i="1" s="1"/>
  <c r="M1978" i="1"/>
  <c r="O1978" i="1" s="1"/>
  <c r="M1977" i="1"/>
  <c r="O1977" i="1" s="1"/>
  <c r="M1976" i="1"/>
  <c r="O1976" i="1" s="1"/>
  <c r="M1975" i="1"/>
  <c r="O1975" i="1" s="1"/>
  <c r="M1974" i="1"/>
  <c r="O1974" i="1" s="1"/>
  <c r="M1973" i="1"/>
  <c r="O1973" i="1" s="1"/>
  <c r="M1972" i="1"/>
  <c r="O1972" i="1" s="1"/>
  <c r="M1971" i="1"/>
  <c r="O1971" i="1" s="1"/>
  <c r="M1970" i="1"/>
  <c r="O1970" i="1" s="1"/>
  <c r="M1969" i="1"/>
  <c r="O1969" i="1" s="1"/>
  <c r="M1968" i="1"/>
  <c r="O1968" i="1" s="1"/>
  <c r="M1967" i="1"/>
  <c r="O1967" i="1" s="1"/>
  <c r="M1966" i="1"/>
  <c r="O1966" i="1" s="1"/>
  <c r="M1965" i="1"/>
  <c r="O1965" i="1" s="1"/>
  <c r="M1964" i="1"/>
  <c r="O1964" i="1" s="1"/>
  <c r="M1963" i="1"/>
  <c r="O1963" i="1" s="1"/>
  <c r="M1962" i="1"/>
  <c r="O1962" i="1" s="1"/>
  <c r="M1961" i="1"/>
  <c r="O1961" i="1" s="1"/>
  <c r="M1960" i="1"/>
  <c r="O1960" i="1" s="1"/>
  <c r="M1959" i="1"/>
  <c r="O1959" i="1" s="1"/>
  <c r="M1958" i="1"/>
  <c r="O1958" i="1" s="1"/>
  <c r="M1957" i="1"/>
  <c r="O1957" i="1" s="1"/>
  <c r="M1956" i="1"/>
  <c r="O1956" i="1" s="1"/>
  <c r="M1955" i="1"/>
  <c r="O1955" i="1" s="1"/>
  <c r="M1954" i="1"/>
  <c r="O1954" i="1" s="1"/>
  <c r="M1953" i="1"/>
  <c r="O1953" i="1" s="1"/>
  <c r="M1952" i="1"/>
  <c r="O1952" i="1" s="1"/>
  <c r="M1951" i="1"/>
  <c r="O1951" i="1" s="1"/>
  <c r="M1950" i="1"/>
  <c r="O1950" i="1" s="1"/>
  <c r="M1949" i="1"/>
  <c r="O1949" i="1" s="1"/>
  <c r="M1948" i="1"/>
  <c r="O1948" i="1" s="1"/>
  <c r="M1947" i="1"/>
  <c r="O1947" i="1" s="1"/>
  <c r="M1946" i="1"/>
  <c r="O1946" i="1" s="1"/>
  <c r="M1945" i="1"/>
  <c r="O1945" i="1" s="1"/>
  <c r="M1944" i="1"/>
  <c r="O1944" i="1" s="1"/>
  <c r="M1943" i="1"/>
  <c r="O1943" i="1" s="1"/>
  <c r="M1942" i="1"/>
  <c r="O1942" i="1" s="1"/>
  <c r="M1941" i="1"/>
  <c r="O1941" i="1" s="1"/>
  <c r="M1940" i="1"/>
  <c r="O1940" i="1" s="1"/>
  <c r="M1939" i="1"/>
  <c r="O1939" i="1" s="1"/>
  <c r="M1938" i="1"/>
  <c r="O1938" i="1" s="1"/>
  <c r="M1937" i="1"/>
  <c r="O1937" i="1" s="1"/>
  <c r="M1936" i="1"/>
  <c r="O1936" i="1" s="1"/>
  <c r="M1935" i="1"/>
  <c r="O1935" i="1" s="1"/>
  <c r="M1934" i="1"/>
  <c r="O1934" i="1" s="1"/>
  <c r="M1933" i="1"/>
  <c r="O1933" i="1" s="1"/>
  <c r="M1932" i="1"/>
  <c r="O1932" i="1" s="1"/>
  <c r="M1931" i="1"/>
  <c r="O1931" i="1" s="1"/>
  <c r="M1930" i="1"/>
  <c r="O1930" i="1" s="1"/>
  <c r="M1929" i="1"/>
  <c r="O1929" i="1" s="1"/>
  <c r="M1928" i="1"/>
  <c r="O1928" i="1" s="1"/>
  <c r="M1927" i="1"/>
  <c r="O1927" i="1" s="1"/>
  <c r="M1926" i="1"/>
  <c r="O1926" i="1" s="1"/>
  <c r="M1925" i="1"/>
  <c r="O1925" i="1" s="1"/>
  <c r="M1924" i="1"/>
  <c r="O1924" i="1" s="1"/>
  <c r="M1923" i="1"/>
  <c r="O1923" i="1" s="1"/>
  <c r="M1922" i="1"/>
  <c r="O1922" i="1" s="1"/>
  <c r="M1921" i="1"/>
  <c r="O1921" i="1" s="1"/>
  <c r="M1920" i="1"/>
  <c r="O1920" i="1" s="1"/>
  <c r="M1919" i="1"/>
  <c r="O1919" i="1" s="1"/>
  <c r="M1918" i="1"/>
  <c r="O1918" i="1" s="1"/>
  <c r="M1917" i="1"/>
  <c r="O1917" i="1" s="1"/>
  <c r="M1916" i="1"/>
  <c r="O1916" i="1" s="1"/>
  <c r="M1915" i="1"/>
  <c r="O1915" i="1" s="1"/>
  <c r="M1914" i="1"/>
  <c r="O1914" i="1" s="1"/>
  <c r="M1913" i="1"/>
  <c r="O1913" i="1" s="1"/>
  <c r="M1912" i="1"/>
  <c r="O1912" i="1" s="1"/>
  <c r="M1911" i="1"/>
  <c r="O1911" i="1" s="1"/>
  <c r="M1910" i="1"/>
  <c r="O1910" i="1" s="1"/>
  <c r="M1909" i="1"/>
  <c r="O1909" i="1" s="1"/>
  <c r="M1908" i="1"/>
  <c r="O1908" i="1" s="1"/>
  <c r="M1907" i="1"/>
  <c r="O1907" i="1" s="1"/>
  <c r="M1906" i="1"/>
  <c r="O1906" i="1" s="1"/>
  <c r="M1905" i="1"/>
  <c r="O1905" i="1" s="1"/>
  <c r="M1904" i="1"/>
  <c r="O1904" i="1" s="1"/>
  <c r="M1903" i="1"/>
  <c r="O1903" i="1" s="1"/>
  <c r="M1902" i="1"/>
  <c r="O1902" i="1" s="1"/>
  <c r="M1901" i="1"/>
  <c r="O1901" i="1" s="1"/>
  <c r="M1900" i="1"/>
  <c r="O1900" i="1" s="1"/>
  <c r="M1899" i="1"/>
  <c r="O1899" i="1" s="1"/>
  <c r="M1898" i="1"/>
  <c r="O1898" i="1" s="1"/>
  <c r="M1897" i="1"/>
  <c r="O1897" i="1" s="1"/>
  <c r="M1896" i="1"/>
  <c r="O1896" i="1" s="1"/>
  <c r="M1895" i="1"/>
  <c r="O1895" i="1" s="1"/>
  <c r="M1894" i="1"/>
  <c r="O1894" i="1" s="1"/>
  <c r="M1893" i="1"/>
  <c r="O1893" i="1" s="1"/>
  <c r="M1892" i="1"/>
  <c r="O1892" i="1" s="1"/>
  <c r="M1891" i="1"/>
  <c r="O1891" i="1" s="1"/>
  <c r="M1890" i="1"/>
  <c r="O1890" i="1" s="1"/>
  <c r="M1889" i="1"/>
  <c r="O1889" i="1" s="1"/>
  <c r="M1888" i="1"/>
  <c r="O1888" i="1" s="1"/>
  <c r="M1887" i="1"/>
  <c r="O1887" i="1" s="1"/>
  <c r="M1886" i="1"/>
  <c r="O1886" i="1" s="1"/>
  <c r="M1885" i="1"/>
  <c r="O1885" i="1" s="1"/>
  <c r="M1884" i="1"/>
  <c r="O1884" i="1" s="1"/>
  <c r="M1883" i="1"/>
  <c r="O1883" i="1" s="1"/>
  <c r="M1882" i="1"/>
  <c r="O1882" i="1" s="1"/>
  <c r="M1881" i="1"/>
  <c r="O1881" i="1" s="1"/>
  <c r="M1880" i="1"/>
  <c r="O1880" i="1" s="1"/>
  <c r="M1879" i="1"/>
  <c r="O1879" i="1" s="1"/>
  <c r="M1878" i="1"/>
  <c r="O1878" i="1" s="1"/>
  <c r="M1877" i="1"/>
  <c r="O1877" i="1" s="1"/>
  <c r="M1876" i="1"/>
  <c r="O1876" i="1" s="1"/>
  <c r="M1875" i="1"/>
  <c r="O1875" i="1" s="1"/>
  <c r="M1874" i="1"/>
  <c r="O1874" i="1" s="1"/>
  <c r="M1873" i="1"/>
  <c r="O1873" i="1" s="1"/>
  <c r="M1872" i="1"/>
  <c r="O1872" i="1" s="1"/>
  <c r="M1871" i="1"/>
  <c r="O1871" i="1" s="1"/>
  <c r="M1870" i="1"/>
  <c r="O1870" i="1" s="1"/>
  <c r="M1869" i="1"/>
  <c r="O1869" i="1" s="1"/>
  <c r="M1868" i="1"/>
  <c r="O1868" i="1" s="1"/>
  <c r="M1867" i="1"/>
  <c r="O1867" i="1" s="1"/>
  <c r="M1866" i="1"/>
  <c r="O1866" i="1" s="1"/>
  <c r="M1865" i="1"/>
  <c r="O1865" i="1" s="1"/>
  <c r="M1864" i="1"/>
  <c r="O1864" i="1" s="1"/>
  <c r="M1863" i="1"/>
  <c r="O1863" i="1" s="1"/>
  <c r="M1862" i="1"/>
  <c r="O1862" i="1" s="1"/>
  <c r="M1861" i="1"/>
  <c r="O1861" i="1" s="1"/>
  <c r="M1860" i="1"/>
  <c r="O1860" i="1" s="1"/>
  <c r="M1859" i="1"/>
  <c r="O1859" i="1" s="1"/>
  <c r="M1858" i="1"/>
  <c r="O1858" i="1" s="1"/>
  <c r="M1857" i="1"/>
  <c r="O1857" i="1" s="1"/>
  <c r="M1856" i="1"/>
  <c r="O1856" i="1" s="1"/>
  <c r="M1855" i="1"/>
  <c r="O1855" i="1" s="1"/>
  <c r="M1854" i="1"/>
  <c r="O1854" i="1" s="1"/>
  <c r="M1853" i="1"/>
  <c r="O1853" i="1" s="1"/>
  <c r="M1852" i="1"/>
  <c r="O1852" i="1" s="1"/>
  <c r="M1851" i="1"/>
  <c r="O1851" i="1" s="1"/>
  <c r="M1850" i="1"/>
  <c r="O1850" i="1" s="1"/>
  <c r="M1849" i="1"/>
  <c r="O1849" i="1" s="1"/>
  <c r="M1848" i="1"/>
  <c r="O1848" i="1" s="1"/>
  <c r="M1847" i="1"/>
  <c r="O1847" i="1" s="1"/>
  <c r="M1846" i="1"/>
  <c r="O1846" i="1" s="1"/>
  <c r="M1845" i="1"/>
  <c r="O1845" i="1" s="1"/>
  <c r="M1844" i="1"/>
  <c r="O1844" i="1" s="1"/>
  <c r="M1843" i="1"/>
  <c r="O1843" i="1" s="1"/>
  <c r="M1842" i="1"/>
  <c r="O1842" i="1" s="1"/>
  <c r="M1841" i="1"/>
  <c r="O1841" i="1" s="1"/>
  <c r="M1840" i="1"/>
  <c r="O1840" i="1" s="1"/>
  <c r="M1839" i="1"/>
  <c r="O1839" i="1" s="1"/>
  <c r="M1838" i="1"/>
  <c r="O1838" i="1" s="1"/>
  <c r="M1837" i="1"/>
  <c r="O1837" i="1" s="1"/>
  <c r="M1836" i="1"/>
  <c r="O1836" i="1" s="1"/>
  <c r="M1835" i="1"/>
  <c r="O1835" i="1" s="1"/>
  <c r="M1834" i="1"/>
  <c r="O1834" i="1" s="1"/>
  <c r="M1833" i="1"/>
  <c r="O1833" i="1" s="1"/>
  <c r="M1832" i="1"/>
  <c r="O1832" i="1" s="1"/>
  <c r="M1831" i="1"/>
  <c r="O1831" i="1" s="1"/>
  <c r="M1830" i="1"/>
  <c r="O1830" i="1" s="1"/>
  <c r="M1829" i="1"/>
  <c r="O1829" i="1" s="1"/>
  <c r="M1828" i="1"/>
  <c r="O1828" i="1" s="1"/>
  <c r="M1827" i="1"/>
  <c r="O1827" i="1" s="1"/>
  <c r="M1826" i="1"/>
  <c r="O1826" i="1" s="1"/>
  <c r="M1825" i="1"/>
  <c r="O1825" i="1" s="1"/>
  <c r="M1824" i="1"/>
  <c r="O1824" i="1" s="1"/>
  <c r="M1823" i="1"/>
  <c r="O1823" i="1" s="1"/>
  <c r="M1822" i="1"/>
  <c r="O1822" i="1" s="1"/>
  <c r="M1821" i="1"/>
  <c r="O1821" i="1" s="1"/>
  <c r="M1820" i="1"/>
  <c r="O1820" i="1" s="1"/>
  <c r="M1819" i="1"/>
  <c r="O1819" i="1" s="1"/>
  <c r="M1818" i="1"/>
  <c r="O1818" i="1" s="1"/>
  <c r="M1817" i="1"/>
  <c r="O1817" i="1" s="1"/>
  <c r="M1816" i="1"/>
  <c r="O1816" i="1" s="1"/>
  <c r="M1815" i="1"/>
  <c r="O1815" i="1" s="1"/>
  <c r="M1814" i="1"/>
  <c r="O1814" i="1" s="1"/>
  <c r="M1813" i="1"/>
  <c r="O1813" i="1" s="1"/>
  <c r="M1812" i="1"/>
  <c r="O1812" i="1" s="1"/>
  <c r="M1811" i="1"/>
  <c r="O1811" i="1" s="1"/>
  <c r="M1810" i="1"/>
  <c r="O1810" i="1" s="1"/>
  <c r="M1809" i="1"/>
  <c r="O1809" i="1" s="1"/>
  <c r="M1808" i="1"/>
  <c r="O1808" i="1" s="1"/>
  <c r="M1807" i="1"/>
  <c r="O1807" i="1" s="1"/>
  <c r="M1806" i="1"/>
  <c r="O1806" i="1" s="1"/>
  <c r="M1805" i="1"/>
  <c r="O1805" i="1" s="1"/>
  <c r="M1804" i="1"/>
  <c r="O1804" i="1" s="1"/>
  <c r="M1803" i="1"/>
  <c r="O1803" i="1" s="1"/>
  <c r="M1802" i="1"/>
  <c r="O1802" i="1" s="1"/>
  <c r="M1801" i="1"/>
  <c r="O1801" i="1" s="1"/>
  <c r="M1800" i="1"/>
  <c r="O1800" i="1" s="1"/>
  <c r="M1799" i="1"/>
  <c r="O1799" i="1" s="1"/>
  <c r="M1798" i="1"/>
  <c r="O1798" i="1" s="1"/>
  <c r="M1797" i="1"/>
  <c r="O1797" i="1" s="1"/>
  <c r="M1796" i="1"/>
  <c r="O1796" i="1" s="1"/>
  <c r="M1795" i="1"/>
  <c r="O1795" i="1" s="1"/>
  <c r="M1794" i="1"/>
  <c r="O1794" i="1" s="1"/>
  <c r="M1793" i="1"/>
  <c r="O1793" i="1" s="1"/>
  <c r="M1792" i="1"/>
  <c r="O1792" i="1" s="1"/>
  <c r="M1791" i="1"/>
  <c r="O1791" i="1" s="1"/>
  <c r="M1790" i="1"/>
  <c r="O1790" i="1" s="1"/>
  <c r="M1789" i="1"/>
  <c r="O1789" i="1" s="1"/>
  <c r="M1788" i="1"/>
  <c r="O1788" i="1" s="1"/>
  <c r="M1787" i="1"/>
  <c r="O1787" i="1" s="1"/>
  <c r="M1786" i="1"/>
  <c r="O1786" i="1" s="1"/>
  <c r="M1785" i="1"/>
  <c r="O1785" i="1" s="1"/>
  <c r="M1784" i="1"/>
  <c r="O1784" i="1" s="1"/>
  <c r="M1783" i="1"/>
  <c r="O1783" i="1" s="1"/>
  <c r="M1782" i="1"/>
  <c r="O1782" i="1" s="1"/>
  <c r="M1781" i="1"/>
  <c r="O1781" i="1" s="1"/>
  <c r="M1780" i="1"/>
  <c r="O1780" i="1" s="1"/>
  <c r="M1779" i="1"/>
  <c r="O1779" i="1" s="1"/>
  <c r="M1778" i="1"/>
  <c r="O1778" i="1" s="1"/>
  <c r="M1777" i="1"/>
  <c r="O1777" i="1" s="1"/>
  <c r="M1776" i="1"/>
  <c r="O1776" i="1" s="1"/>
  <c r="M1775" i="1"/>
  <c r="O1775" i="1" s="1"/>
  <c r="M1774" i="1"/>
  <c r="O1774" i="1" s="1"/>
  <c r="M1773" i="1"/>
  <c r="O1773" i="1" s="1"/>
  <c r="M1772" i="1"/>
  <c r="O1772" i="1" s="1"/>
  <c r="M1771" i="1"/>
  <c r="O1771" i="1" s="1"/>
  <c r="M1770" i="1"/>
  <c r="O1770" i="1" s="1"/>
  <c r="M1769" i="1"/>
  <c r="O1769" i="1" s="1"/>
  <c r="M1768" i="1"/>
  <c r="O1768" i="1" s="1"/>
  <c r="M1767" i="1"/>
  <c r="O1767" i="1" s="1"/>
  <c r="M1766" i="1"/>
  <c r="O1766" i="1" s="1"/>
  <c r="M1765" i="1"/>
  <c r="O1765" i="1" s="1"/>
  <c r="M1764" i="1"/>
  <c r="O1764" i="1" s="1"/>
  <c r="M1763" i="1"/>
  <c r="O1763" i="1" s="1"/>
  <c r="M1762" i="1"/>
  <c r="O1762" i="1" s="1"/>
  <c r="M1761" i="1"/>
  <c r="O1761" i="1" s="1"/>
  <c r="M1760" i="1"/>
  <c r="O1760" i="1" s="1"/>
  <c r="M1759" i="1"/>
  <c r="O1759" i="1" s="1"/>
  <c r="M1758" i="1"/>
  <c r="O1758" i="1" s="1"/>
  <c r="M1757" i="1"/>
  <c r="O1757" i="1" s="1"/>
  <c r="M1756" i="1"/>
  <c r="O1756" i="1" s="1"/>
  <c r="M1755" i="1"/>
  <c r="O1755" i="1" s="1"/>
  <c r="M1754" i="1"/>
  <c r="O1754" i="1" s="1"/>
  <c r="M1753" i="1"/>
  <c r="O1753" i="1" s="1"/>
  <c r="M1752" i="1"/>
  <c r="O1752" i="1" s="1"/>
  <c r="M1751" i="1"/>
  <c r="O1751" i="1" s="1"/>
  <c r="M1750" i="1"/>
  <c r="O1750" i="1" s="1"/>
  <c r="M1749" i="1"/>
  <c r="O1749" i="1" s="1"/>
  <c r="M1748" i="1"/>
  <c r="O1748" i="1" s="1"/>
  <c r="M1747" i="1"/>
  <c r="O1747" i="1" s="1"/>
  <c r="M1746" i="1"/>
  <c r="O1746" i="1" s="1"/>
  <c r="M1745" i="1"/>
  <c r="O1745" i="1" s="1"/>
  <c r="M1744" i="1"/>
  <c r="O1744" i="1" s="1"/>
  <c r="M1743" i="1"/>
  <c r="O1743" i="1" s="1"/>
  <c r="M1742" i="1"/>
  <c r="O1742" i="1" s="1"/>
  <c r="M1741" i="1"/>
  <c r="O1741" i="1" s="1"/>
  <c r="M1740" i="1"/>
  <c r="O1740" i="1" s="1"/>
  <c r="M1739" i="1"/>
  <c r="O1739" i="1" s="1"/>
  <c r="M1738" i="1"/>
  <c r="O1738" i="1" s="1"/>
  <c r="M1737" i="1"/>
  <c r="O1737" i="1" s="1"/>
  <c r="M1736" i="1"/>
  <c r="O1736" i="1" s="1"/>
  <c r="M1735" i="1"/>
  <c r="O1735" i="1" s="1"/>
  <c r="M1734" i="1"/>
  <c r="O1734" i="1" s="1"/>
  <c r="M1733" i="1"/>
  <c r="O1733" i="1" s="1"/>
  <c r="M1732" i="1"/>
  <c r="O1732" i="1" s="1"/>
  <c r="M1731" i="1"/>
  <c r="O1731" i="1" s="1"/>
  <c r="M1730" i="1"/>
  <c r="O1730" i="1" s="1"/>
  <c r="M1729" i="1"/>
  <c r="O1729" i="1" s="1"/>
  <c r="M1728" i="1"/>
  <c r="O1728" i="1" s="1"/>
  <c r="M1727" i="1"/>
  <c r="O1727" i="1" s="1"/>
  <c r="M1726" i="1"/>
  <c r="O1726" i="1" s="1"/>
  <c r="M1725" i="1"/>
  <c r="O1725" i="1" s="1"/>
  <c r="M1724" i="1"/>
  <c r="O1724" i="1" s="1"/>
  <c r="M1723" i="1"/>
  <c r="O1723" i="1" s="1"/>
  <c r="M1722" i="1"/>
  <c r="O1722" i="1" s="1"/>
  <c r="M1721" i="1"/>
  <c r="O1721" i="1" s="1"/>
  <c r="M1720" i="1"/>
  <c r="O1720" i="1" s="1"/>
  <c r="M1719" i="1"/>
  <c r="O1719" i="1" s="1"/>
  <c r="M1718" i="1"/>
  <c r="O1718" i="1" s="1"/>
  <c r="M1717" i="1"/>
  <c r="O1717" i="1" s="1"/>
  <c r="M1716" i="1"/>
  <c r="O1716" i="1" s="1"/>
  <c r="M1715" i="1"/>
  <c r="O1715" i="1" s="1"/>
  <c r="M1714" i="1"/>
  <c r="O1714" i="1" s="1"/>
  <c r="M1713" i="1"/>
  <c r="O1713" i="1" s="1"/>
  <c r="M1712" i="1"/>
  <c r="O1712" i="1" s="1"/>
  <c r="M1711" i="1"/>
  <c r="O1711" i="1" s="1"/>
  <c r="M1710" i="1"/>
  <c r="O1710" i="1" s="1"/>
  <c r="M1709" i="1"/>
  <c r="O1709" i="1" s="1"/>
  <c r="M1708" i="1"/>
  <c r="O1708" i="1" s="1"/>
  <c r="M1707" i="1"/>
  <c r="O1707" i="1" s="1"/>
  <c r="M1706" i="1"/>
  <c r="O1706" i="1" s="1"/>
  <c r="M1705" i="1"/>
  <c r="O1705" i="1" s="1"/>
  <c r="M1704" i="1"/>
  <c r="O1704" i="1" s="1"/>
  <c r="M1703" i="1"/>
  <c r="O1703" i="1" s="1"/>
  <c r="M1702" i="1"/>
  <c r="O1702" i="1" s="1"/>
  <c r="M1701" i="1"/>
  <c r="O1701" i="1" s="1"/>
  <c r="M1700" i="1"/>
  <c r="O1700" i="1" s="1"/>
  <c r="M1699" i="1"/>
  <c r="O1699" i="1" s="1"/>
  <c r="M1698" i="1"/>
  <c r="O1698" i="1" s="1"/>
  <c r="M1697" i="1"/>
  <c r="O1697" i="1" s="1"/>
  <c r="M1696" i="1"/>
  <c r="O1696" i="1" s="1"/>
  <c r="M1695" i="1"/>
  <c r="O1695" i="1" s="1"/>
  <c r="M1694" i="1"/>
  <c r="O1694" i="1" s="1"/>
  <c r="M1693" i="1"/>
  <c r="O1693" i="1" s="1"/>
  <c r="M1692" i="1"/>
  <c r="O1692" i="1" s="1"/>
  <c r="M1691" i="1"/>
  <c r="O1691" i="1" s="1"/>
  <c r="M1690" i="1"/>
  <c r="O1690" i="1" s="1"/>
  <c r="M1689" i="1"/>
  <c r="O1689" i="1" s="1"/>
  <c r="M1688" i="1"/>
  <c r="O1688" i="1" s="1"/>
  <c r="M1687" i="1"/>
  <c r="O1687" i="1" s="1"/>
  <c r="M1686" i="1"/>
  <c r="O1686" i="1" s="1"/>
  <c r="M1685" i="1"/>
  <c r="O1685" i="1" s="1"/>
  <c r="M1684" i="1"/>
  <c r="O1684" i="1" s="1"/>
  <c r="M1683" i="1"/>
  <c r="O1683" i="1" s="1"/>
  <c r="M1682" i="1"/>
  <c r="O1682" i="1" s="1"/>
  <c r="M1681" i="1"/>
  <c r="O1681" i="1" s="1"/>
  <c r="M1680" i="1"/>
  <c r="O1680" i="1" s="1"/>
  <c r="M1679" i="1"/>
  <c r="O1679" i="1" s="1"/>
  <c r="M1678" i="1"/>
  <c r="O1678" i="1" s="1"/>
  <c r="M1677" i="1"/>
  <c r="O1677" i="1" s="1"/>
  <c r="M1676" i="1"/>
  <c r="O1676" i="1" s="1"/>
  <c r="M1675" i="1"/>
  <c r="O1675" i="1" s="1"/>
  <c r="M1674" i="1"/>
  <c r="O1674" i="1" s="1"/>
  <c r="M1673" i="1"/>
  <c r="O1673" i="1" s="1"/>
  <c r="M1672" i="1"/>
  <c r="O1672" i="1" s="1"/>
  <c r="M1671" i="1"/>
  <c r="O1671" i="1" s="1"/>
  <c r="M1670" i="1"/>
  <c r="O1670" i="1" s="1"/>
  <c r="M1669" i="1"/>
  <c r="O1669" i="1" s="1"/>
  <c r="M1668" i="1"/>
  <c r="O1668" i="1" s="1"/>
  <c r="M1667" i="1"/>
  <c r="O1667" i="1" s="1"/>
  <c r="M1666" i="1"/>
  <c r="O1666" i="1" s="1"/>
  <c r="M1665" i="1"/>
  <c r="O1665" i="1" s="1"/>
  <c r="M1664" i="1"/>
  <c r="O1664" i="1" s="1"/>
  <c r="M1663" i="1"/>
  <c r="O1663" i="1" s="1"/>
  <c r="M1662" i="1"/>
  <c r="O1662" i="1" s="1"/>
  <c r="M1661" i="1"/>
  <c r="O1661" i="1" s="1"/>
  <c r="M1660" i="1"/>
  <c r="O1660" i="1" s="1"/>
  <c r="M1659" i="1"/>
  <c r="O1659" i="1" s="1"/>
  <c r="M1658" i="1"/>
  <c r="O1658" i="1" s="1"/>
  <c r="M1657" i="1"/>
  <c r="O1657" i="1" s="1"/>
  <c r="M1656" i="1"/>
  <c r="O1656" i="1" s="1"/>
  <c r="M1655" i="1"/>
  <c r="O1655" i="1" s="1"/>
  <c r="M1654" i="1"/>
  <c r="O1654" i="1" s="1"/>
  <c r="M1653" i="1"/>
  <c r="O1653" i="1" s="1"/>
  <c r="M1652" i="1"/>
  <c r="O1652" i="1" s="1"/>
  <c r="M1651" i="1"/>
  <c r="O1651" i="1" s="1"/>
  <c r="M1650" i="1"/>
  <c r="O1650" i="1" s="1"/>
  <c r="M1649" i="1"/>
  <c r="O1649" i="1" s="1"/>
  <c r="M1648" i="1"/>
  <c r="O1648" i="1" s="1"/>
  <c r="M1647" i="1"/>
  <c r="O1647" i="1" s="1"/>
  <c r="M1646" i="1"/>
  <c r="O1646" i="1" s="1"/>
  <c r="M1645" i="1"/>
  <c r="O1645" i="1" s="1"/>
  <c r="M1644" i="1"/>
  <c r="O1644" i="1" s="1"/>
  <c r="M1643" i="1"/>
  <c r="O1643" i="1" s="1"/>
  <c r="M1642" i="1"/>
  <c r="O1642" i="1" s="1"/>
  <c r="M1641" i="1"/>
  <c r="O1641" i="1" s="1"/>
  <c r="M1640" i="1"/>
  <c r="O1640" i="1" s="1"/>
  <c r="M1639" i="1"/>
  <c r="O1639" i="1" s="1"/>
  <c r="M1638" i="1"/>
  <c r="O1638" i="1" s="1"/>
  <c r="M1637" i="1"/>
  <c r="O1637" i="1" s="1"/>
  <c r="M1636" i="1"/>
  <c r="O1636" i="1" s="1"/>
  <c r="M1635" i="1"/>
  <c r="O1635" i="1" s="1"/>
  <c r="M1634" i="1"/>
  <c r="O1634" i="1" s="1"/>
  <c r="M1633" i="1"/>
  <c r="O1633" i="1" s="1"/>
  <c r="M1632" i="1"/>
  <c r="O1632" i="1" s="1"/>
  <c r="M1631" i="1"/>
  <c r="O1631" i="1" s="1"/>
  <c r="M1630" i="1"/>
  <c r="O1630" i="1" s="1"/>
  <c r="M1629" i="1"/>
  <c r="O1629" i="1" s="1"/>
  <c r="M1628" i="1"/>
  <c r="O1628" i="1" s="1"/>
  <c r="M1627" i="1"/>
  <c r="O1627" i="1" s="1"/>
  <c r="M1626" i="1"/>
  <c r="O1626" i="1" s="1"/>
  <c r="M1625" i="1"/>
  <c r="O1625" i="1" s="1"/>
  <c r="M1624" i="1"/>
  <c r="O1624" i="1" s="1"/>
  <c r="M1623" i="1"/>
  <c r="O1623" i="1" s="1"/>
  <c r="M1622" i="1"/>
  <c r="O1622" i="1" s="1"/>
  <c r="M1621" i="1"/>
  <c r="O1621" i="1" s="1"/>
  <c r="M1620" i="1"/>
  <c r="O1620" i="1" s="1"/>
  <c r="M1619" i="1"/>
  <c r="O1619" i="1" s="1"/>
  <c r="M1618" i="1"/>
  <c r="O1618" i="1" s="1"/>
  <c r="M1617" i="1"/>
  <c r="O1617" i="1" s="1"/>
  <c r="M1616" i="1"/>
  <c r="O1616" i="1" s="1"/>
  <c r="M1615" i="1"/>
  <c r="O1615" i="1" s="1"/>
  <c r="M1614" i="1"/>
  <c r="O1614" i="1" s="1"/>
  <c r="M1613" i="1"/>
  <c r="O1613" i="1" s="1"/>
  <c r="M1612" i="1"/>
  <c r="O1612" i="1" s="1"/>
  <c r="M1611" i="1"/>
  <c r="O1611" i="1" s="1"/>
  <c r="M1610" i="1"/>
  <c r="O1610" i="1" s="1"/>
  <c r="M1609" i="1"/>
  <c r="O1609" i="1" s="1"/>
  <c r="M1608" i="1"/>
  <c r="O1608" i="1" s="1"/>
  <c r="M1607" i="1"/>
  <c r="O1607" i="1" s="1"/>
  <c r="M1606" i="1"/>
  <c r="O1606" i="1" s="1"/>
  <c r="M1605" i="1"/>
  <c r="O1605" i="1" s="1"/>
  <c r="M1604" i="1"/>
  <c r="O1604" i="1" s="1"/>
  <c r="M1603" i="1"/>
  <c r="O1603" i="1" s="1"/>
  <c r="M1602" i="1"/>
  <c r="O1602" i="1" s="1"/>
  <c r="M1601" i="1"/>
  <c r="O1601" i="1" s="1"/>
  <c r="M1600" i="1"/>
  <c r="O1600" i="1" s="1"/>
  <c r="M1599" i="1"/>
  <c r="O1599" i="1" s="1"/>
  <c r="M1598" i="1"/>
  <c r="O1598" i="1" s="1"/>
  <c r="M1597" i="1"/>
  <c r="O1597" i="1" s="1"/>
  <c r="M1596" i="1"/>
  <c r="O1596" i="1" s="1"/>
  <c r="M1595" i="1"/>
  <c r="O1595" i="1" s="1"/>
  <c r="M1594" i="1"/>
  <c r="O1594" i="1" s="1"/>
  <c r="M1593" i="1"/>
  <c r="O1593" i="1" s="1"/>
  <c r="M1592" i="1"/>
  <c r="O1592" i="1" s="1"/>
  <c r="M1591" i="1"/>
  <c r="O1591" i="1" s="1"/>
  <c r="M1590" i="1"/>
  <c r="O1590" i="1" s="1"/>
  <c r="M1589" i="1"/>
  <c r="O1589" i="1" s="1"/>
  <c r="M1588" i="1"/>
  <c r="O1588" i="1" s="1"/>
  <c r="M1587" i="1"/>
  <c r="O1587" i="1" s="1"/>
  <c r="M1586" i="1"/>
  <c r="O1586" i="1" s="1"/>
  <c r="M1585" i="1"/>
  <c r="O1585" i="1" s="1"/>
  <c r="M1584" i="1"/>
  <c r="O1584" i="1" s="1"/>
  <c r="M1583" i="1"/>
  <c r="O1583" i="1" s="1"/>
  <c r="M1582" i="1"/>
  <c r="O1582" i="1" s="1"/>
  <c r="M1581" i="1"/>
  <c r="O1581" i="1" s="1"/>
  <c r="M1580" i="1"/>
  <c r="O1580" i="1" s="1"/>
  <c r="M1579" i="1"/>
  <c r="O1579" i="1" s="1"/>
  <c r="M1578" i="1"/>
  <c r="O1578" i="1" s="1"/>
  <c r="M1577" i="1"/>
  <c r="O1577" i="1" s="1"/>
  <c r="M1576" i="1"/>
  <c r="O1576" i="1" s="1"/>
  <c r="M1575" i="1"/>
  <c r="O1575" i="1" s="1"/>
  <c r="M1574" i="1"/>
  <c r="O1574" i="1" s="1"/>
  <c r="M1573" i="1"/>
  <c r="O1573" i="1" s="1"/>
  <c r="M1572" i="1"/>
  <c r="O1572" i="1" s="1"/>
  <c r="M1571" i="1"/>
  <c r="O1571" i="1" s="1"/>
  <c r="M1570" i="1"/>
  <c r="O1570" i="1" s="1"/>
  <c r="M1569" i="1"/>
  <c r="O1569" i="1" s="1"/>
  <c r="M1568" i="1"/>
  <c r="O1568" i="1" s="1"/>
  <c r="M1567" i="1"/>
  <c r="O1567" i="1" s="1"/>
  <c r="M1566" i="1"/>
  <c r="O1566" i="1" s="1"/>
  <c r="M1565" i="1"/>
  <c r="O1565" i="1" s="1"/>
  <c r="M1564" i="1"/>
  <c r="O1564" i="1" s="1"/>
  <c r="M1563" i="1"/>
  <c r="O1563" i="1" s="1"/>
  <c r="M1562" i="1"/>
  <c r="O1562" i="1" s="1"/>
  <c r="M1561" i="1"/>
  <c r="O1561" i="1" s="1"/>
  <c r="M1560" i="1"/>
  <c r="O1560" i="1" s="1"/>
  <c r="M1559" i="1"/>
  <c r="O1559" i="1" s="1"/>
  <c r="M1558" i="1"/>
  <c r="O1558" i="1" s="1"/>
  <c r="M1557" i="1"/>
  <c r="O1557" i="1" s="1"/>
  <c r="M1556" i="1"/>
  <c r="O1556" i="1" s="1"/>
  <c r="M1555" i="1"/>
  <c r="O1555" i="1" s="1"/>
  <c r="M1554" i="1"/>
  <c r="O1554" i="1" s="1"/>
  <c r="M1553" i="1"/>
  <c r="O1553" i="1" s="1"/>
  <c r="M1552" i="1"/>
  <c r="O1552" i="1" s="1"/>
  <c r="M1551" i="1"/>
  <c r="O1551" i="1" s="1"/>
  <c r="M1550" i="1"/>
  <c r="O1550" i="1" s="1"/>
  <c r="M1549" i="1"/>
  <c r="O1549" i="1" s="1"/>
  <c r="M1548" i="1"/>
  <c r="O1548" i="1" s="1"/>
  <c r="M1547" i="1"/>
  <c r="O1547" i="1" s="1"/>
  <c r="M1546" i="1"/>
  <c r="O1546" i="1" s="1"/>
  <c r="M1545" i="1"/>
  <c r="O1545" i="1" s="1"/>
  <c r="M1544" i="1"/>
  <c r="O1544" i="1" s="1"/>
  <c r="M1543" i="1"/>
  <c r="O1543" i="1" s="1"/>
  <c r="M1542" i="1"/>
  <c r="O1542" i="1" s="1"/>
  <c r="M1541" i="1"/>
  <c r="O1541" i="1" s="1"/>
  <c r="M1540" i="1"/>
  <c r="O1540" i="1" s="1"/>
  <c r="M1539" i="1"/>
  <c r="O1539" i="1" s="1"/>
  <c r="M1538" i="1"/>
  <c r="O1538" i="1" s="1"/>
  <c r="M1537" i="1"/>
  <c r="O1537" i="1" s="1"/>
  <c r="M1536" i="1"/>
  <c r="O1536" i="1" s="1"/>
  <c r="M1535" i="1"/>
  <c r="O1535" i="1" s="1"/>
  <c r="M1534" i="1"/>
  <c r="O1534" i="1" s="1"/>
  <c r="M1533" i="1"/>
  <c r="O1533" i="1" s="1"/>
  <c r="M1532" i="1"/>
  <c r="O1532" i="1" s="1"/>
  <c r="M1531" i="1"/>
  <c r="O1531" i="1" s="1"/>
  <c r="M1530" i="1"/>
  <c r="O1530" i="1" s="1"/>
  <c r="M1529" i="1"/>
  <c r="O1529" i="1" s="1"/>
  <c r="M1528" i="1"/>
  <c r="O1528" i="1" s="1"/>
  <c r="M1527" i="1"/>
  <c r="O1527" i="1" s="1"/>
  <c r="M1526" i="1"/>
  <c r="O1526" i="1" s="1"/>
  <c r="M1525" i="1"/>
  <c r="O1525" i="1" s="1"/>
  <c r="M1524" i="1"/>
  <c r="O1524" i="1" s="1"/>
  <c r="M1523" i="1"/>
  <c r="O1523" i="1" s="1"/>
  <c r="M1522" i="1"/>
  <c r="O1522" i="1" s="1"/>
  <c r="M1521" i="1"/>
  <c r="O1521" i="1" s="1"/>
  <c r="M1520" i="1"/>
  <c r="O1520" i="1" s="1"/>
  <c r="M1519" i="1"/>
  <c r="O1519" i="1" s="1"/>
  <c r="M1518" i="1"/>
  <c r="O1518" i="1" s="1"/>
  <c r="M1517" i="1"/>
  <c r="O1517" i="1" s="1"/>
  <c r="M1516" i="1"/>
  <c r="O1516" i="1" s="1"/>
  <c r="M1515" i="1"/>
  <c r="O1515" i="1" s="1"/>
  <c r="M1514" i="1"/>
  <c r="O1514" i="1" s="1"/>
  <c r="M1513" i="1"/>
  <c r="O1513" i="1" s="1"/>
  <c r="M1512" i="1"/>
  <c r="O1512" i="1" s="1"/>
  <c r="M1511" i="1"/>
  <c r="O1511" i="1" s="1"/>
  <c r="M1510" i="1"/>
  <c r="O1510" i="1" s="1"/>
  <c r="M1509" i="1"/>
  <c r="O1509" i="1" s="1"/>
  <c r="M1508" i="1"/>
  <c r="O1508" i="1" s="1"/>
  <c r="M1507" i="1"/>
  <c r="O1507" i="1" s="1"/>
  <c r="M1506" i="1"/>
  <c r="O1506" i="1" s="1"/>
  <c r="M1505" i="1"/>
  <c r="O1505" i="1" s="1"/>
  <c r="M1504" i="1"/>
  <c r="O1504" i="1" s="1"/>
  <c r="M1503" i="1"/>
  <c r="O1503" i="1" s="1"/>
  <c r="M1502" i="1"/>
  <c r="O1502" i="1" s="1"/>
  <c r="M1501" i="1"/>
  <c r="O1501" i="1" s="1"/>
  <c r="M1500" i="1"/>
  <c r="O1500" i="1" s="1"/>
  <c r="M1499" i="1"/>
  <c r="O1499" i="1" s="1"/>
  <c r="M1498" i="1"/>
  <c r="O1498" i="1" s="1"/>
  <c r="M1497" i="1"/>
  <c r="O1497" i="1" s="1"/>
  <c r="M1496" i="1"/>
  <c r="O1496" i="1" s="1"/>
  <c r="M1495" i="1"/>
  <c r="O1495" i="1" s="1"/>
  <c r="M1494" i="1"/>
  <c r="O1494" i="1" s="1"/>
  <c r="M1493" i="1"/>
  <c r="O1493" i="1" s="1"/>
  <c r="M1492" i="1"/>
  <c r="O1492" i="1" s="1"/>
  <c r="M1491" i="1"/>
  <c r="O1491" i="1" s="1"/>
  <c r="M1490" i="1"/>
  <c r="O1490" i="1" s="1"/>
  <c r="M1489" i="1"/>
  <c r="O1489" i="1" s="1"/>
  <c r="M1488" i="1"/>
  <c r="O1488" i="1" s="1"/>
  <c r="M1487" i="1"/>
  <c r="O1487" i="1" s="1"/>
  <c r="M1486" i="1"/>
  <c r="O1486" i="1" s="1"/>
  <c r="M1485" i="1"/>
  <c r="O1485" i="1" s="1"/>
  <c r="M1484" i="1"/>
  <c r="O1484" i="1" s="1"/>
  <c r="M1483" i="1"/>
  <c r="O1483" i="1" s="1"/>
  <c r="M1482" i="1"/>
  <c r="O1482" i="1" s="1"/>
  <c r="M1481" i="1"/>
  <c r="O1481" i="1" s="1"/>
  <c r="M1480" i="1"/>
  <c r="O1480" i="1" s="1"/>
  <c r="M1479" i="1"/>
  <c r="O1479" i="1" s="1"/>
  <c r="M1478" i="1"/>
  <c r="O1478" i="1" s="1"/>
  <c r="M1477" i="1"/>
  <c r="O1477" i="1" s="1"/>
  <c r="M1476" i="1"/>
  <c r="O1476" i="1" s="1"/>
  <c r="M1475" i="1"/>
  <c r="O1475" i="1" s="1"/>
  <c r="M1474" i="1"/>
  <c r="O1474" i="1" s="1"/>
  <c r="M1473" i="1"/>
  <c r="O1473" i="1" s="1"/>
  <c r="M1472" i="1"/>
  <c r="O1472" i="1" s="1"/>
  <c r="M1471" i="1"/>
  <c r="O1471" i="1" s="1"/>
  <c r="M1470" i="1"/>
  <c r="O1470" i="1" s="1"/>
  <c r="M1469" i="1"/>
  <c r="O1469" i="1" s="1"/>
  <c r="M1468" i="1"/>
  <c r="O1468" i="1" s="1"/>
  <c r="M1467" i="1"/>
  <c r="O1467" i="1" s="1"/>
  <c r="M1466" i="1"/>
  <c r="O1466" i="1" s="1"/>
  <c r="M1465" i="1"/>
  <c r="O1465" i="1" s="1"/>
  <c r="M1464" i="1"/>
  <c r="O1464" i="1" s="1"/>
  <c r="M1463" i="1"/>
  <c r="O1463" i="1" s="1"/>
  <c r="M1462" i="1"/>
  <c r="O1462" i="1" s="1"/>
  <c r="M1461" i="1"/>
  <c r="O1461" i="1" s="1"/>
  <c r="M1460" i="1"/>
  <c r="O1460" i="1" s="1"/>
  <c r="M1459" i="1"/>
  <c r="O1459" i="1" s="1"/>
  <c r="M1458" i="1"/>
  <c r="O1458" i="1" s="1"/>
  <c r="M1457" i="1"/>
  <c r="O1457" i="1" s="1"/>
  <c r="M1456" i="1"/>
  <c r="O1456" i="1" s="1"/>
  <c r="M1455" i="1"/>
  <c r="O1455" i="1" s="1"/>
  <c r="M1454" i="1"/>
  <c r="O1454" i="1" s="1"/>
  <c r="M1453" i="1"/>
  <c r="O1453" i="1" s="1"/>
  <c r="M1452" i="1"/>
  <c r="O1452" i="1" s="1"/>
  <c r="M1451" i="1"/>
  <c r="O1451" i="1" s="1"/>
  <c r="M1450" i="1"/>
  <c r="O1450" i="1" s="1"/>
  <c r="M1449" i="1"/>
  <c r="O1449" i="1" s="1"/>
  <c r="M1448" i="1"/>
  <c r="O1448" i="1" s="1"/>
  <c r="M1447" i="1"/>
  <c r="O1447" i="1" s="1"/>
  <c r="M1446" i="1"/>
  <c r="O1446" i="1" s="1"/>
  <c r="M1445" i="1"/>
  <c r="O1445" i="1" s="1"/>
  <c r="M1444" i="1"/>
  <c r="O1444" i="1" s="1"/>
  <c r="M1443" i="1"/>
  <c r="O1443" i="1" s="1"/>
  <c r="M1442" i="1"/>
  <c r="O1442" i="1" s="1"/>
  <c r="M1441" i="1"/>
  <c r="O1441" i="1" s="1"/>
  <c r="M1440" i="1"/>
  <c r="O1440" i="1" s="1"/>
  <c r="M1439" i="1"/>
  <c r="O1439" i="1" s="1"/>
  <c r="M1438" i="1"/>
  <c r="O1438" i="1" s="1"/>
  <c r="M1437" i="1"/>
  <c r="O1437" i="1" s="1"/>
  <c r="M1436" i="1"/>
  <c r="O1436" i="1" s="1"/>
  <c r="M1435" i="1"/>
  <c r="O1435" i="1" s="1"/>
  <c r="M1434" i="1"/>
  <c r="O1434" i="1" s="1"/>
  <c r="M1433" i="1"/>
  <c r="O1433" i="1" s="1"/>
  <c r="M1432" i="1"/>
  <c r="O1432" i="1" s="1"/>
  <c r="M1431" i="1"/>
  <c r="O1431" i="1" s="1"/>
  <c r="M1430" i="1"/>
  <c r="O1430" i="1" s="1"/>
  <c r="M1429" i="1"/>
  <c r="O1429" i="1" s="1"/>
  <c r="M1428" i="1"/>
  <c r="O1428" i="1" s="1"/>
  <c r="M1427" i="1"/>
  <c r="O1427" i="1" s="1"/>
  <c r="M1426" i="1"/>
  <c r="O1426" i="1" s="1"/>
  <c r="M1425" i="1"/>
  <c r="O1425" i="1" s="1"/>
  <c r="M1424" i="1"/>
  <c r="O1424" i="1" s="1"/>
  <c r="M1423" i="1"/>
  <c r="O1423" i="1" s="1"/>
  <c r="M1422" i="1"/>
  <c r="O1422" i="1" s="1"/>
  <c r="M1421" i="1"/>
  <c r="O1421" i="1" s="1"/>
  <c r="M1420" i="1"/>
  <c r="O1420" i="1" s="1"/>
  <c r="M1419" i="1"/>
  <c r="O1419" i="1" s="1"/>
  <c r="M1418" i="1"/>
  <c r="O1418" i="1" s="1"/>
  <c r="M1417" i="1"/>
  <c r="O1417" i="1" s="1"/>
  <c r="M1416" i="1"/>
  <c r="O1416" i="1" s="1"/>
  <c r="M1415" i="1"/>
  <c r="O1415" i="1" s="1"/>
  <c r="M1414" i="1"/>
  <c r="O1414" i="1" s="1"/>
  <c r="M1413" i="1"/>
  <c r="O1413" i="1" s="1"/>
  <c r="M1412" i="1"/>
  <c r="O1412" i="1" s="1"/>
  <c r="M1411" i="1"/>
  <c r="O1411" i="1" s="1"/>
  <c r="M1410" i="1"/>
  <c r="O1410" i="1" s="1"/>
  <c r="M1409" i="1"/>
  <c r="O1409" i="1" s="1"/>
  <c r="M1408" i="1"/>
  <c r="O1408" i="1" s="1"/>
  <c r="M1407" i="1"/>
  <c r="O1407" i="1" s="1"/>
  <c r="M1406" i="1"/>
  <c r="O1406" i="1" s="1"/>
  <c r="M1405" i="1"/>
  <c r="O1405" i="1" s="1"/>
  <c r="M1404" i="1"/>
  <c r="O1404" i="1" s="1"/>
  <c r="M1403" i="1"/>
  <c r="O1403" i="1" s="1"/>
  <c r="M1402" i="1"/>
  <c r="O1402" i="1" s="1"/>
  <c r="M1401" i="1"/>
  <c r="O1401" i="1" s="1"/>
  <c r="M1400" i="1"/>
  <c r="O1400" i="1" s="1"/>
  <c r="M1399" i="1"/>
  <c r="O1399" i="1" s="1"/>
  <c r="M1398" i="1"/>
  <c r="O1398" i="1" s="1"/>
  <c r="M1397" i="1"/>
  <c r="O1397" i="1" s="1"/>
  <c r="M1396" i="1"/>
  <c r="O1396" i="1" s="1"/>
  <c r="M1395" i="1"/>
  <c r="O1395" i="1" s="1"/>
  <c r="M1394" i="1"/>
  <c r="O1394" i="1" s="1"/>
  <c r="M1393" i="1"/>
  <c r="O1393" i="1" s="1"/>
  <c r="M1392" i="1"/>
  <c r="O1392" i="1" s="1"/>
  <c r="M1391" i="1"/>
  <c r="O1391" i="1" s="1"/>
  <c r="M1390" i="1"/>
  <c r="O1390" i="1" s="1"/>
  <c r="M1389" i="1"/>
  <c r="O1389" i="1" s="1"/>
  <c r="M1388" i="1"/>
  <c r="O1388" i="1" s="1"/>
  <c r="M1387" i="1"/>
  <c r="O1387" i="1" s="1"/>
  <c r="M1386" i="1"/>
  <c r="O1386" i="1" s="1"/>
  <c r="M1385" i="1"/>
  <c r="O1385" i="1" s="1"/>
  <c r="M1384" i="1"/>
  <c r="O1384" i="1" s="1"/>
  <c r="M1383" i="1"/>
  <c r="O1383" i="1" s="1"/>
  <c r="M1382" i="1"/>
  <c r="O1382" i="1" s="1"/>
  <c r="M1381" i="1"/>
  <c r="O1381" i="1" s="1"/>
  <c r="M1380" i="1"/>
  <c r="O1380" i="1" s="1"/>
  <c r="M1379" i="1"/>
  <c r="O1379" i="1" s="1"/>
  <c r="M1378" i="1"/>
  <c r="O1378" i="1" s="1"/>
  <c r="M1377" i="1"/>
  <c r="O1377" i="1" s="1"/>
  <c r="M1376" i="1"/>
  <c r="O1376" i="1" s="1"/>
  <c r="M1375" i="1"/>
  <c r="O1375" i="1" s="1"/>
  <c r="M1374" i="1"/>
  <c r="O1374" i="1" s="1"/>
  <c r="M1373" i="1"/>
  <c r="O1373" i="1" s="1"/>
  <c r="M1372" i="1"/>
  <c r="O1372" i="1" s="1"/>
  <c r="M1371" i="1"/>
  <c r="O1371" i="1" s="1"/>
  <c r="M1370" i="1"/>
  <c r="O1370" i="1" s="1"/>
  <c r="M1369" i="1"/>
  <c r="O1369" i="1" s="1"/>
  <c r="M1368" i="1"/>
  <c r="O1368" i="1" s="1"/>
  <c r="M1367" i="1"/>
  <c r="O1367" i="1" s="1"/>
  <c r="M1366" i="1"/>
  <c r="O1366" i="1" s="1"/>
  <c r="M1365" i="1"/>
  <c r="O1365" i="1" s="1"/>
  <c r="M1364" i="1"/>
  <c r="O1364" i="1" s="1"/>
  <c r="M1363" i="1"/>
  <c r="O1363" i="1" s="1"/>
  <c r="M1362" i="1"/>
  <c r="O1362" i="1" s="1"/>
  <c r="M1361" i="1"/>
  <c r="O1361" i="1" s="1"/>
  <c r="M1360" i="1"/>
  <c r="O1360" i="1" s="1"/>
  <c r="M1359" i="1"/>
  <c r="O1359" i="1" s="1"/>
  <c r="M1358" i="1"/>
  <c r="O1358" i="1" s="1"/>
  <c r="M1357" i="1"/>
  <c r="O1357" i="1" s="1"/>
  <c r="M1356" i="1"/>
  <c r="O1356" i="1" s="1"/>
  <c r="M1355" i="1"/>
  <c r="O1355" i="1" s="1"/>
  <c r="M1354" i="1"/>
  <c r="O1354" i="1" s="1"/>
  <c r="M1353" i="1"/>
  <c r="O1353" i="1" s="1"/>
  <c r="M1352" i="1"/>
  <c r="O1352" i="1" s="1"/>
  <c r="M1351" i="1"/>
  <c r="O1351" i="1" s="1"/>
  <c r="M1350" i="1"/>
  <c r="O1350" i="1" s="1"/>
  <c r="M1349" i="1"/>
  <c r="O1349" i="1" s="1"/>
  <c r="M1348" i="1"/>
  <c r="O1348" i="1" s="1"/>
  <c r="M1347" i="1"/>
  <c r="O1347" i="1" s="1"/>
  <c r="M1346" i="1"/>
  <c r="O1346" i="1" s="1"/>
  <c r="M1345" i="1"/>
  <c r="O1345" i="1" s="1"/>
  <c r="M1344" i="1"/>
  <c r="O1344" i="1" s="1"/>
  <c r="M1343" i="1"/>
  <c r="O1343" i="1" s="1"/>
  <c r="M1342" i="1"/>
  <c r="O1342" i="1" s="1"/>
  <c r="M1341" i="1"/>
  <c r="O1341" i="1" s="1"/>
  <c r="M1340" i="1"/>
  <c r="O1340" i="1" s="1"/>
  <c r="M1339" i="1"/>
  <c r="O1339" i="1" s="1"/>
  <c r="M1338" i="1"/>
  <c r="O1338" i="1" s="1"/>
  <c r="M1337" i="1"/>
  <c r="O1337" i="1" s="1"/>
  <c r="M1336" i="1"/>
  <c r="O1336" i="1" s="1"/>
  <c r="M1335" i="1"/>
  <c r="O1335" i="1" s="1"/>
  <c r="M1334" i="1"/>
  <c r="O1334" i="1" s="1"/>
  <c r="M1333" i="1"/>
  <c r="O1333" i="1" s="1"/>
  <c r="M1332" i="1"/>
  <c r="O1332" i="1" s="1"/>
  <c r="M1331" i="1"/>
  <c r="O1331" i="1" s="1"/>
  <c r="M1330" i="1"/>
  <c r="O1330" i="1" s="1"/>
  <c r="M1329" i="1"/>
  <c r="O1329" i="1" s="1"/>
  <c r="M1328" i="1"/>
  <c r="O1328" i="1" s="1"/>
  <c r="M1327" i="1"/>
  <c r="O1327" i="1" s="1"/>
  <c r="M1326" i="1"/>
  <c r="O1326" i="1" s="1"/>
  <c r="M1325" i="1"/>
  <c r="O1325" i="1" s="1"/>
  <c r="M1324" i="1"/>
  <c r="O1324" i="1" s="1"/>
  <c r="M1323" i="1"/>
  <c r="O1323" i="1" s="1"/>
  <c r="M1322" i="1"/>
  <c r="O1322" i="1" s="1"/>
  <c r="M1321" i="1"/>
  <c r="O1321" i="1" s="1"/>
  <c r="M1320" i="1"/>
  <c r="O1320" i="1" s="1"/>
  <c r="M1319" i="1"/>
  <c r="O1319" i="1" s="1"/>
  <c r="M1318" i="1"/>
  <c r="O1318" i="1" s="1"/>
  <c r="M1317" i="1"/>
  <c r="O1317" i="1" s="1"/>
  <c r="M1316" i="1"/>
  <c r="O1316" i="1" s="1"/>
  <c r="M1315" i="1"/>
  <c r="O1315" i="1" s="1"/>
  <c r="M1314" i="1"/>
  <c r="O1314" i="1" s="1"/>
  <c r="M1313" i="1"/>
  <c r="O1313" i="1" s="1"/>
  <c r="M1312" i="1"/>
  <c r="O1312" i="1" s="1"/>
  <c r="M1311" i="1"/>
  <c r="O1311" i="1" s="1"/>
  <c r="M1310" i="1"/>
  <c r="O1310" i="1" s="1"/>
  <c r="M1309" i="1"/>
  <c r="O1309" i="1" s="1"/>
  <c r="M1308" i="1"/>
  <c r="O1308" i="1" s="1"/>
  <c r="M1307" i="1"/>
  <c r="O1307" i="1" s="1"/>
  <c r="M1306" i="1"/>
  <c r="O1306" i="1" s="1"/>
  <c r="M1305" i="1"/>
  <c r="O1305" i="1" s="1"/>
  <c r="M1304" i="1"/>
  <c r="O1304" i="1" s="1"/>
  <c r="M1303" i="1"/>
  <c r="O1303" i="1" s="1"/>
  <c r="M1302" i="1"/>
  <c r="O1302" i="1" s="1"/>
  <c r="M1301" i="1"/>
  <c r="O1301" i="1" s="1"/>
  <c r="M1300" i="1"/>
  <c r="O1300" i="1" s="1"/>
  <c r="M1299" i="1"/>
  <c r="O1299" i="1" s="1"/>
  <c r="M1298" i="1"/>
  <c r="O1298" i="1" s="1"/>
  <c r="M1297" i="1"/>
  <c r="O1297" i="1" s="1"/>
  <c r="M1296" i="1"/>
  <c r="O1296" i="1" s="1"/>
  <c r="M1295" i="1"/>
  <c r="O1295" i="1" s="1"/>
  <c r="M1294" i="1"/>
  <c r="O1294" i="1" s="1"/>
  <c r="M1293" i="1"/>
  <c r="O1293" i="1" s="1"/>
  <c r="M1292" i="1"/>
  <c r="O1292" i="1" s="1"/>
  <c r="M1291" i="1"/>
  <c r="O1291" i="1" s="1"/>
  <c r="M1290" i="1"/>
  <c r="O1290" i="1" s="1"/>
  <c r="M1289" i="1"/>
  <c r="O1289" i="1" s="1"/>
  <c r="M1288" i="1"/>
  <c r="O1288" i="1" s="1"/>
  <c r="M1287" i="1"/>
  <c r="O1287" i="1" s="1"/>
  <c r="M1286" i="1"/>
  <c r="O1286" i="1" s="1"/>
  <c r="M1285" i="1"/>
  <c r="O1285" i="1" s="1"/>
  <c r="M1284" i="1"/>
  <c r="O1284" i="1" s="1"/>
  <c r="M1283" i="1"/>
  <c r="O1283" i="1" s="1"/>
  <c r="M1282" i="1"/>
  <c r="O1282" i="1" s="1"/>
  <c r="M1281" i="1"/>
  <c r="O1281" i="1" s="1"/>
  <c r="M1280" i="1"/>
  <c r="O1280" i="1" s="1"/>
  <c r="M1279" i="1"/>
  <c r="O1279" i="1" s="1"/>
  <c r="M1278" i="1"/>
  <c r="O1278" i="1" s="1"/>
  <c r="M1277" i="1"/>
  <c r="O1277" i="1" s="1"/>
  <c r="M1276" i="1"/>
  <c r="O1276" i="1" s="1"/>
  <c r="M1275" i="1"/>
  <c r="O1275" i="1" s="1"/>
  <c r="M1274" i="1"/>
  <c r="O1274" i="1" s="1"/>
  <c r="M1273" i="1"/>
  <c r="O1273" i="1" s="1"/>
  <c r="M1272" i="1"/>
  <c r="O1272" i="1" s="1"/>
  <c r="M1271" i="1"/>
  <c r="O1271" i="1" s="1"/>
  <c r="M1270" i="1"/>
  <c r="O1270" i="1" s="1"/>
  <c r="M1269" i="1"/>
  <c r="O1269" i="1" s="1"/>
  <c r="M1268" i="1"/>
  <c r="O1268" i="1" s="1"/>
  <c r="M1267" i="1"/>
  <c r="O1267" i="1" s="1"/>
  <c r="M1266" i="1"/>
  <c r="O1266" i="1" s="1"/>
  <c r="M1265" i="1"/>
  <c r="O1265" i="1" s="1"/>
  <c r="M1264" i="1"/>
  <c r="O1264" i="1" s="1"/>
  <c r="M1263" i="1"/>
  <c r="O1263" i="1" s="1"/>
  <c r="M1262" i="1"/>
  <c r="O1262" i="1" s="1"/>
  <c r="M1261" i="1"/>
  <c r="O1261" i="1" s="1"/>
  <c r="M1260" i="1"/>
  <c r="O1260" i="1" s="1"/>
  <c r="M1259" i="1"/>
  <c r="O1259" i="1" s="1"/>
  <c r="M1258" i="1"/>
  <c r="O1258" i="1" s="1"/>
  <c r="M1257" i="1"/>
  <c r="O1257" i="1" s="1"/>
  <c r="M1256" i="1"/>
  <c r="O1256" i="1" s="1"/>
  <c r="M1255" i="1"/>
  <c r="O1255" i="1" s="1"/>
  <c r="M1254" i="1"/>
  <c r="O1254" i="1" s="1"/>
  <c r="M1253" i="1"/>
  <c r="O1253" i="1" s="1"/>
  <c r="M1252" i="1"/>
  <c r="O1252" i="1" s="1"/>
  <c r="M1251" i="1"/>
  <c r="O1251" i="1" s="1"/>
  <c r="M1250" i="1"/>
  <c r="O1250" i="1" s="1"/>
  <c r="M1249" i="1"/>
  <c r="O1249" i="1" s="1"/>
  <c r="M1248" i="1"/>
  <c r="O1248" i="1" s="1"/>
  <c r="M1247" i="1"/>
  <c r="O1247" i="1" s="1"/>
  <c r="M1246" i="1"/>
  <c r="O1246" i="1" s="1"/>
  <c r="M1245" i="1"/>
  <c r="O1245" i="1" s="1"/>
  <c r="M1244" i="1"/>
  <c r="O1244" i="1" s="1"/>
  <c r="M1243" i="1"/>
  <c r="O1243" i="1" s="1"/>
  <c r="M1242" i="1"/>
  <c r="O1242" i="1" s="1"/>
  <c r="M1241" i="1"/>
  <c r="O1241" i="1" s="1"/>
  <c r="M1240" i="1"/>
  <c r="O1240" i="1" s="1"/>
  <c r="M1239" i="1"/>
  <c r="O1239" i="1" s="1"/>
  <c r="M1238" i="1"/>
  <c r="O1238" i="1" s="1"/>
  <c r="M1237" i="1"/>
  <c r="O1237" i="1" s="1"/>
  <c r="M1236" i="1"/>
  <c r="O1236" i="1" s="1"/>
  <c r="M1235" i="1"/>
  <c r="O1235" i="1" s="1"/>
  <c r="M1234" i="1"/>
  <c r="O1234" i="1" s="1"/>
  <c r="M1233" i="1"/>
  <c r="O1233" i="1" s="1"/>
  <c r="M1232" i="1"/>
  <c r="O1232" i="1" s="1"/>
  <c r="M1231" i="1"/>
  <c r="O1231" i="1" s="1"/>
  <c r="M1230" i="1"/>
  <c r="O1230" i="1" s="1"/>
  <c r="M1229" i="1"/>
  <c r="O1229" i="1" s="1"/>
  <c r="M1228" i="1"/>
  <c r="O1228" i="1" s="1"/>
  <c r="M1227" i="1"/>
  <c r="O1227" i="1" s="1"/>
  <c r="M1226" i="1"/>
  <c r="O1226" i="1" s="1"/>
  <c r="M1225" i="1"/>
  <c r="O1225" i="1" s="1"/>
  <c r="M1224" i="1"/>
  <c r="O1224" i="1" s="1"/>
  <c r="M1223" i="1"/>
  <c r="O1223" i="1" s="1"/>
  <c r="M1222" i="1"/>
  <c r="O1222" i="1" s="1"/>
  <c r="M1221" i="1"/>
  <c r="O1221" i="1" s="1"/>
  <c r="M1220" i="1"/>
  <c r="O1220" i="1" s="1"/>
  <c r="M1219" i="1"/>
  <c r="O1219" i="1" s="1"/>
  <c r="M1218" i="1"/>
  <c r="O1218" i="1" s="1"/>
  <c r="M1217" i="1"/>
  <c r="O1217" i="1" s="1"/>
  <c r="M1216" i="1"/>
  <c r="O1216" i="1" s="1"/>
  <c r="M1215" i="1"/>
  <c r="O1215" i="1" s="1"/>
  <c r="M1214" i="1"/>
  <c r="O1214" i="1" s="1"/>
  <c r="M1213" i="1"/>
  <c r="O1213" i="1" s="1"/>
  <c r="M1212" i="1"/>
  <c r="O1212" i="1" s="1"/>
  <c r="M1211" i="1"/>
  <c r="O1211" i="1" s="1"/>
  <c r="M1210" i="1"/>
  <c r="O1210" i="1" s="1"/>
  <c r="M1209" i="1"/>
  <c r="O1209" i="1" s="1"/>
  <c r="M1208" i="1"/>
  <c r="O1208" i="1" s="1"/>
  <c r="M1207" i="1"/>
  <c r="O1207" i="1" s="1"/>
  <c r="M1206" i="1"/>
  <c r="O1206" i="1" s="1"/>
  <c r="M1205" i="1"/>
  <c r="O1205" i="1" s="1"/>
  <c r="M1204" i="1"/>
  <c r="O1204" i="1" s="1"/>
  <c r="M1203" i="1"/>
  <c r="O1203" i="1" s="1"/>
  <c r="M1202" i="1"/>
  <c r="O1202" i="1" s="1"/>
  <c r="M1201" i="1"/>
  <c r="O1201" i="1" s="1"/>
  <c r="M1200" i="1"/>
  <c r="O1200" i="1" s="1"/>
  <c r="M1199" i="1"/>
  <c r="O1199" i="1" s="1"/>
  <c r="M1198" i="1"/>
  <c r="O1198" i="1" s="1"/>
  <c r="M1197" i="1"/>
  <c r="O1197" i="1" s="1"/>
  <c r="M1196" i="1"/>
  <c r="O1196" i="1" s="1"/>
  <c r="M1195" i="1"/>
  <c r="O1195" i="1" s="1"/>
  <c r="M1194" i="1"/>
  <c r="O1194" i="1" s="1"/>
  <c r="M1193" i="1"/>
  <c r="O1193" i="1" s="1"/>
  <c r="M1192" i="1"/>
  <c r="O1192" i="1" s="1"/>
  <c r="M1191" i="1"/>
  <c r="O1191" i="1" s="1"/>
  <c r="M1190" i="1"/>
  <c r="O1190" i="1" s="1"/>
  <c r="M1189" i="1"/>
  <c r="O1189" i="1" s="1"/>
  <c r="M1188" i="1"/>
  <c r="O1188" i="1" s="1"/>
  <c r="M1187" i="1"/>
  <c r="O1187" i="1" s="1"/>
  <c r="M1186" i="1"/>
  <c r="O1186" i="1" s="1"/>
  <c r="M1185" i="1"/>
  <c r="O1185" i="1" s="1"/>
  <c r="M1184" i="1"/>
  <c r="O1184" i="1" s="1"/>
  <c r="M1183" i="1"/>
  <c r="O1183" i="1" s="1"/>
  <c r="M1182" i="1"/>
  <c r="O1182" i="1" s="1"/>
  <c r="M1181" i="1"/>
  <c r="O1181" i="1" s="1"/>
  <c r="M1180" i="1"/>
  <c r="O1180" i="1" s="1"/>
  <c r="M1179" i="1"/>
  <c r="O1179" i="1" s="1"/>
  <c r="M1178" i="1"/>
  <c r="O1178" i="1" s="1"/>
  <c r="M1177" i="1"/>
  <c r="O1177" i="1" s="1"/>
  <c r="M1176" i="1"/>
  <c r="O1176" i="1" s="1"/>
  <c r="M1175" i="1"/>
  <c r="O1175" i="1" s="1"/>
  <c r="M1174" i="1"/>
  <c r="O1174" i="1" s="1"/>
  <c r="M1173" i="1"/>
  <c r="O1173" i="1" s="1"/>
  <c r="M1172" i="1"/>
  <c r="O1172" i="1" s="1"/>
  <c r="M1171" i="1"/>
  <c r="O1171" i="1" s="1"/>
  <c r="M1170" i="1"/>
  <c r="O1170" i="1" s="1"/>
  <c r="M1169" i="1"/>
  <c r="O1169" i="1" s="1"/>
  <c r="M1168" i="1"/>
  <c r="O1168" i="1" s="1"/>
  <c r="M1167" i="1"/>
  <c r="O1167" i="1" s="1"/>
  <c r="M1166" i="1"/>
  <c r="O1166" i="1" s="1"/>
  <c r="M1165" i="1"/>
  <c r="O1165" i="1" s="1"/>
  <c r="M1164" i="1"/>
  <c r="O1164" i="1" s="1"/>
  <c r="M1163" i="1"/>
  <c r="O1163" i="1" s="1"/>
  <c r="M1162" i="1"/>
  <c r="O1162" i="1" s="1"/>
  <c r="M1161" i="1"/>
  <c r="O1161" i="1" s="1"/>
  <c r="M1160" i="1"/>
  <c r="O1160" i="1" s="1"/>
  <c r="M1159" i="1"/>
  <c r="O1159" i="1" s="1"/>
  <c r="M1158" i="1"/>
  <c r="O1158" i="1" s="1"/>
  <c r="M1157" i="1"/>
  <c r="O1157" i="1" s="1"/>
  <c r="M1156" i="1"/>
  <c r="O1156" i="1" s="1"/>
  <c r="M1155" i="1"/>
  <c r="O1155" i="1" s="1"/>
  <c r="M1154" i="1"/>
  <c r="O1154" i="1" s="1"/>
  <c r="M1153" i="1"/>
  <c r="O1153" i="1" s="1"/>
  <c r="M1152" i="1"/>
  <c r="O1152" i="1" s="1"/>
  <c r="M1151" i="1"/>
  <c r="O1151" i="1" s="1"/>
  <c r="M1150" i="1"/>
  <c r="O1150" i="1" s="1"/>
  <c r="M1149" i="1"/>
  <c r="O1149" i="1" s="1"/>
  <c r="M1148" i="1"/>
  <c r="O1148" i="1" s="1"/>
  <c r="M1147" i="1"/>
  <c r="O1147" i="1" s="1"/>
  <c r="M1146" i="1"/>
  <c r="O1146" i="1" s="1"/>
  <c r="M1145" i="1"/>
  <c r="O1145" i="1" s="1"/>
  <c r="M1144" i="1"/>
  <c r="O1144" i="1" s="1"/>
  <c r="M1143" i="1"/>
  <c r="O1143" i="1" s="1"/>
  <c r="M1142" i="1"/>
  <c r="O1142" i="1" s="1"/>
  <c r="M1141" i="1"/>
  <c r="O1141" i="1" s="1"/>
  <c r="M1140" i="1"/>
  <c r="O1140" i="1" s="1"/>
  <c r="M1139" i="1"/>
  <c r="O1139" i="1" s="1"/>
  <c r="M1138" i="1"/>
  <c r="O1138" i="1" s="1"/>
  <c r="M1137" i="1"/>
  <c r="O1137" i="1" s="1"/>
  <c r="M1136" i="1"/>
  <c r="O1136" i="1" s="1"/>
  <c r="M1135" i="1"/>
  <c r="O1135" i="1" s="1"/>
  <c r="M1134" i="1"/>
  <c r="O1134" i="1" s="1"/>
  <c r="M1133" i="1"/>
  <c r="O1133" i="1" s="1"/>
  <c r="M1132" i="1"/>
  <c r="O1132" i="1" s="1"/>
  <c r="M1131" i="1"/>
  <c r="O1131" i="1" s="1"/>
  <c r="M1130" i="1"/>
  <c r="O1130" i="1" s="1"/>
  <c r="M1129" i="1"/>
  <c r="O1129" i="1" s="1"/>
  <c r="M1128" i="1"/>
  <c r="O1128" i="1" s="1"/>
  <c r="M1127" i="1"/>
  <c r="O1127" i="1" s="1"/>
  <c r="M1126" i="1"/>
  <c r="O1126" i="1" s="1"/>
  <c r="M1125" i="1"/>
  <c r="O1125" i="1" s="1"/>
  <c r="M1124" i="1"/>
  <c r="O1124" i="1" s="1"/>
  <c r="M1123" i="1"/>
  <c r="O1123" i="1" s="1"/>
  <c r="M1122" i="1"/>
  <c r="O1122" i="1" s="1"/>
  <c r="M1121" i="1"/>
  <c r="O1121" i="1" s="1"/>
  <c r="M1120" i="1"/>
  <c r="O1120" i="1" s="1"/>
  <c r="M1119" i="1"/>
  <c r="O1119" i="1" s="1"/>
  <c r="M1118" i="1"/>
  <c r="O1118" i="1" s="1"/>
  <c r="M1117" i="1"/>
  <c r="O1117" i="1" s="1"/>
  <c r="M1116" i="1"/>
  <c r="O1116" i="1" s="1"/>
  <c r="M1115" i="1"/>
  <c r="O1115" i="1" s="1"/>
  <c r="M1114" i="1"/>
  <c r="O1114" i="1" s="1"/>
  <c r="M1113" i="1"/>
  <c r="O1113" i="1" s="1"/>
  <c r="M1112" i="1"/>
  <c r="O1112" i="1" s="1"/>
  <c r="M1111" i="1"/>
  <c r="O1111" i="1" s="1"/>
  <c r="M1110" i="1"/>
  <c r="O1110" i="1" s="1"/>
  <c r="M1109" i="1"/>
  <c r="O1109" i="1" s="1"/>
  <c r="M1108" i="1"/>
  <c r="O1108" i="1" s="1"/>
  <c r="M1107" i="1"/>
  <c r="O1107" i="1" s="1"/>
  <c r="M1106" i="1"/>
  <c r="O1106" i="1" s="1"/>
  <c r="M1105" i="1"/>
  <c r="O1105" i="1" s="1"/>
  <c r="M1104" i="1"/>
  <c r="O1104" i="1" s="1"/>
  <c r="M1103" i="1"/>
  <c r="O1103" i="1" s="1"/>
  <c r="M1102" i="1"/>
  <c r="O1102" i="1" s="1"/>
  <c r="M1101" i="1"/>
  <c r="O1101" i="1" s="1"/>
  <c r="M1100" i="1"/>
  <c r="O1100" i="1" s="1"/>
  <c r="M1099" i="1"/>
  <c r="O1099" i="1" s="1"/>
  <c r="M1098" i="1"/>
  <c r="O1098" i="1" s="1"/>
  <c r="M1097" i="1"/>
  <c r="O1097" i="1" s="1"/>
  <c r="M1096" i="1"/>
  <c r="O1096" i="1" s="1"/>
  <c r="M1095" i="1"/>
  <c r="O1095" i="1" s="1"/>
  <c r="M1094" i="1"/>
  <c r="O1094" i="1" s="1"/>
  <c r="M1093" i="1"/>
  <c r="O1093" i="1" s="1"/>
  <c r="M1092" i="1"/>
  <c r="O1092" i="1" s="1"/>
  <c r="M1091" i="1"/>
  <c r="O1091" i="1" s="1"/>
  <c r="M1090" i="1"/>
  <c r="O1090" i="1" s="1"/>
  <c r="M1089" i="1"/>
  <c r="O1089" i="1" s="1"/>
  <c r="M1088" i="1"/>
  <c r="O1088" i="1" s="1"/>
  <c r="M1087" i="1"/>
  <c r="O1087" i="1" s="1"/>
  <c r="M1086" i="1"/>
  <c r="O1086" i="1" s="1"/>
  <c r="M1085" i="1"/>
  <c r="O1085" i="1" s="1"/>
  <c r="M1084" i="1"/>
  <c r="O1084" i="1" s="1"/>
  <c r="M1083" i="1"/>
  <c r="O1083" i="1" s="1"/>
  <c r="M1082" i="1"/>
  <c r="O1082" i="1" s="1"/>
  <c r="M1081" i="1"/>
  <c r="O1081" i="1" s="1"/>
  <c r="M1080" i="1"/>
  <c r="O1080" i="1" s="1"/>
  <c r="M1079" i="1"/>
  <c r="O1079" i="1" s="1"/>
  <c r="M1078" i="1"/>
  <c r="O1078" i="1" s="1"/>
  <c r="M1077" i="1"/>
  <c r="O1077" i="1" s="1"/>
  <c r="M1076" i="1"/>
  <c r="O1076" i="1" s="1"/>
  <c r="M1075" i="1"/>
  <c r="O1075" i="1" s="1"/>
  <c r="M1074" i="1"/>
  <c r="O1074" i="1" s="1"/>
  <c r="M1073" i="1"/>
  <c r="O1073" i="1" s="1"/>
  <c r="M1072" i="1"/>
  <c r="O1072" i="1" s="1"/>
  <c r="M1071" i="1"/>
  <c r="O1071" i="1" s="1"/>
  <c r="M1070" i="1"/>
  <c r="O1070" i="1" s="1"/>
  <c r="M1069" i="1"/>
  <c r="O1069" i="1" s="1"/>
  <c r="M1068" i="1"/>
  <c r="O1068" i="1" s="1"/>
  <c r="M1067" i="1"/>
  <c r="O1067" i="1" s="1"/>
  <c r="M1066" i="1"/>
  <c r="O1066" i="1" s="1"/>
  <c r="M1065" i="1"/>
  <c r="O1065" i="1" s="1"/>
  <c r="M1064" i="1"/>
  <c r="O1064" i="1" s="1"/>
  <c r="M1063" i="1"/>
  <c r="O1063" i="1" s="1"/>
  <c r="M1062" i="1"/>
  <c r="O1062" i="1" s="1"/>
  <c r="M1061" i="1"/>
  <c r="O1061" i="1" s="1"/>
  <c r="M1060" i="1"/>
  <c r="O1060" i="1" s="1"/>
  <c r="M1059" i="1"/>
  <c r="O1059" i="1" s="1"/>
  <c r="M1058" i="1"/>
  <c r="O1058" i="1" s="1"/>
  <c r="M1057" i="1"/>
  <c r="O1057" i="1" s="1"/>
  <c r="M1056" i="1"/>
  <c r="O1056" i="1" s="1"/>
  <c r="M1055" i="1"/>
  <c r="O1055" i="1" s="1"/>
  <c r="M1054" i="1"/>
  <c r="O1054" i="1" s="1"/>
  <c r="M1053" i="1"/>
  <c r="O1053" i="1" s="1"/>
  <c r="M1052" i="1"/>
  <c r="O1052" i="1" s="1"/>
  <c r="M1051" i="1"/>
  <c r="O1051" i="1" s="1"/>
  <c r="M1050" i="1"/>
  <c r="O1050" i="1" s="1"/>
  <c r="M1049" i="1"/>
  <c r="O1049" i="1" s="1"/>
  <c r="M1048" i="1"/>
  <c r="O1048" i="1" s="1"/>
  <c r="M1047" i="1"/>
  <c r="O1047" i="1" s="1"/>
  <c r="M1046" i="1"/>
  <c r="O1046" i="1" s="1"/>
  <c r="M1045" i="1"/>
  <c r="O1045" i="1" s="1"/>
  <c r="M1044" i="1"/>
  <c r="O1044" i="1" s="1"/>
  <c r="M1043" i="1"/>
  <c r="O1043" i="1" s="1"/>
  <c r="M1042" i="1"/>
  <c r="O1042" i="1" s="1"/>
  <c r="M1041" i="1"/>
  <c r="O1041" i="1" s="1"/>
  <c r="M1040" i="1"/>
  <c r="O1040" i="1" s="1"/>
  <c r="M1039" i="1"/>
  <c r="O1039" i="1" s="1"/>
  <c r="M1038" i="1"/>
  <c r="O1038" i="1" s="1"/>
  <c r="M1037" i="1"/>
  <c r="O1037" i="1" s="1"/>
  <c r="M1036" i="1"/>
  <c r="O1036" i="1" s="1"/>
  <c r="M1035" i="1"/>
  <c r="O1035" i="1" s="1"/>
  <c r="M1034" i="1"/>
  <c r="O1034" i="1" s="1"/>
  <c r="M1033" i="1"/>
  <c r="O1033" i="1" s="1"/>
  <c r="M1032" i="1"/>
  <c r="O1032" i="1" s="1"/>
  <c r="M1031" i="1"/>
  <c r="O1031" i="1" s="1"/>
  <c r="M1030" i="1"/>
  <c r="O1030" i="1" s="1"/>
  <c r="M1029" i="1"/>
  <c r="O1029" i="1" s="1"/>
  <c r="M1028" i="1"/>
  <c r="O1028" i="1" s="1"/>
  <c r="M1027" i="1"/>
  <c r="O1027" i="1" s="1"/>
  <c r="M1026" i="1"/>
  <c r="O1026" i="1" s="1"/>
  <c r="M1025" i="1"/>
  <c r="O1025" i="1" s="1"/>
  <c r="M1024" i="1"/>
  <c r="O1024" i="1" s="1"/>
  <c r="M1023" i="1"/>
  <c r="O1023" i="1" s="1"/>
  <c r="M1022" i="1"/>
  <c r="O1022" i="1" s="1"/>
  <c r="M1021" i="1"/>
  <c r="O1021" i="1" s="1"/>
  <c r="M1020" i="1"/>
  <c r="O1020" i="1" s="1"/>
  <c r="M1019" i="1"/>
  <c r="O1019" i="1" s="1"/>
  <c r="M1018" i="1"/>
  <c r="O1018" i="1" s="1"/>
  <c r="M1017" i="1"/>
  <c r="O1017" i="1" s="1"/>
  <c r="M1016" i="1"/>
  <c r="O1016" i="1" s="1"/>
  <c r="M1015" i="1"/>
  <c r="O1015" i="1" s="1"/>
  <c r="M1014" i="1"/>
  <c r="O1014" i="1" s="1"/>
  <c r="M1013" i="1"/>
  <c r="O1013" i="1" s="1"/>
  <c r="M1012" i="1"/>
  <c r="O1012" i="1" s="1"/>
  <c r="M1011" i="1"/>
  <c r="O1011" i="1" s="1"/>
  <c r="M1010" i="1"/>
  <c r="O1010" i="1" s="1"/>
  <c r="M1009" i="1"/>
  <c r="O1009" i="1" s="1"/>
  <c r="M1008" i="1"/>
  <c r="O1008" i="1" s="1"/>
  <c r="M1007" i="1"/>
  <c r="O1007" i="1" s="1"/>
  <c r="M1006" i="1"/>
  <c r="O1006" i="1" s="1"/>
  <c r="M1005" i="1"/>
  <c r="O1005" i="1" s="1"/>
  <c r="M1004" i="1"/>
  <c r="O1004" i="1" s="1"/>
  <c r="M1003" i="1"/>
  <c r="O1003" i="1" s="1"/>
  <c r="M1002" i="1"/>
  <c r="O1002" i="1" s="1"/>
  <c r="M1001" i="1"/>
  <c r="O1001" i="1" s="1"/>
  <c r="M1000" i="1"/>
  <c r="O1000" i="1" s="1"/>
  <c r="M999" i="1"/>
  <c r="O999" i="1" s="1"/>
  <c r="M998" i="1"/>
  <c r="O998" i="1" s="1"/>
  <c r="M997" i="1"/>
  <c r="O997" i="1" s="1"/>
  <c r="M996" i="1"/>
  <c r="O996" i="1" s="1"/>
  <c r="M995" i="1"/>
  <c r="O995" i="1" s="1"/>
  <c r="M994" i="1"/>
  <c r="O994" i="1" s="1"/>
  <c r="M993" i="1"/>
  <c r="O993" i="1" s="1"/>
  <c r="M992" i="1"/>
  <c r="O992" i="1" s="1"/>
  <c r="M991" i="1"/>
  <c r="O991" i="1" s="1"/>
  <c r="M990" i="1"/>
  <c r="O990" i="1" s="1"/>
  <c r="M989" i="1"/>
  <c r="O989" i="1" s="1"/>
  <c r="M988" i="1"/>
  <c r="O988" i="1" s="1"/>
  <c r="M987" i="1"/>
  <c r="O987" i="1" s="1"/>
  <c r="M986" i="1"/>
  <c r="O986" i="1" s="1"/>
  <c r="M985" i="1"/>
  <c r="O985" i="1" s="1"/>
  <c r="M984" i="1"/>
  <c r="O984" i="1" s="1"/>
  <c r="M983" i="1"/>
  <c r="O983" i="1" s="1"/>
  <c r="M982" i="1"/>
  <c r="O982" i="1" s="1"/>
  <c r="M981" i="1"/>
  <c r="O981" i="1" s="1"/>
  <c r="M980" i="1"/>
  <c r="O980" i="1" s="1"/>
  <c r="M979" i="1"/>
  <c r="O979" i="1" s="1"/>
  <c r="M978" i="1"/>
  <c r="O978" i="1" s="1"/>
  <c r="M977" i="1"/>
  <c r="O977" i="1" s="1"/>
  <c r="M976" i="1"/>
  <c r="O976" i="1" s="1"/>
  <c r="M975" i="1"/>
  <c r="O975" i="1" s="1"/>
  <c r="M974" i="1"/>
  <c r="O974" i="1" s="1"/>
  <c r="M973" i="1"/>
  <c r="O973" i="1" s="1"/>
  <c r="M972" i="1"/>
  <c r="O972" i="1" s="1"/>
  <c r="M971" i="1"/>
  <c r="O971" i="1" s="1"/>
  <c r="M970" i="1"/>
  <c r="O970" i="1" s="1"/>
  <c r="M969" i="1"/>
  <c r="O969" i="1" s="1"/>
  <c r="M968" i="1"/>
  <c r="O968" i="1" s="1"/>
  <c r="M967" i="1"/>
  <c r="O967" i="1" s="1"/>
  <c r="M966" i="1"/>
  <c r="O966" i="1" s="1"/>
  <c r="M965" i="1"/>
  <c r="O965" i="1" s="1"/>
  <c r="M964" i="1"/>
  <c r="O964" i="1" s="1"/>
  <c r="M963" i="1"/>
  <c r="O963" i="1" s="1"/>
  <c r="M962" i="1"/>
  <c r="O962" i="1" s="1"/>
  <c r="M961" i="1"/>
  <c r="O961" i="1" s="1"/>
  <c r="M960" i="1"/>
  <c r="O960" i="1" s="1"/>
  <c r="M959" i="1"/>
  <c r="O959" i="1" s="1"/>
  <c r="M958" i="1"/>
  <c r="O958" i="1" s="1"/>
  <c r="M957" i="1"/>
  <c r="O957" i="1" s="1"/>
  <c r="M956" i="1"/>
  <c r="O956" i="1" s="1"/>
  <c r="M955" i="1"/>
  <c r="O955" i="1" s="1"/>
  <c r="M954" i="1"/>
  <c r="O954" i="1" s="1"/>
  <c r="M953" i="1"/>
  <c r="O953" i="1" s="1"/>
  <c r="M952" i="1"/>
  <c r="O952" i="1" s="1"/>
  <c r="M951" i="1"/>
  <c r="O951" i="1" s="1"/>
  <c r="M950" i="1"/>
  <c r="O950" i="1" s="1"/>
  <c r="M949" i="1"/>
  <c r="O949" i="1" s="1"/>
  <c r="M948" i="1"/>
  <c r="O948" i="1" s="1"/>
  <c r="M947" i="1"/>
  <c r="O947" i="1" s="1"/>
  <c r="M946" i="1"/>
  <c r="O946" i="1" s="1"/>
  <c r="M945" i="1"/>
  <c r="O945" i="1" s="1"/>
  <c r="M944" i="1"/>
  <c r="O944" i="1" s="1"/>
  <c r="M943" i="1"/>
  <c r="O943" i="1" s="1"/>
  <c r="M942" i="1"/>
  <c r="O942" i="1" s="1"/>
  <c r="M941" i="1"/>
  <c r="O941" i="1" s="1"/>
  <c r="M940" i="1"/>
  <c r="O940" i="1" s="1"/>
  <c r="M939" i="1"/>
  <c r="O939" i="1" s="1"/>
  <c r="M938" i="1"/>
  <c r="O938" i="1" s="1"/>
  <c r="M937" i="1"/>
  <c r="O937" i="1" s="1"/>
  <c r="M936" i="1"/>
  <c r="O936" i="1" s="1"/>
  <c r="M935" i="1"/>
  <c r="O935" i="1" s="1"/>
  <c r="M934" i="1"/>
  <c r="O934" i="1" s="1"/>
  <c r="M933" i="1"/>
  <c r="O933" i="1" s="1"/>
  <c r="M932" i="1"/>
  <c r="O932" i="1" s="1"/>
  <c r="M931" i="1"/>
  <c r="O931" i="1" s="1"/>
  <c r="M930" i="1"/>
  <c r="O930" i="1" s="1"/>
  <c r="M929" i="1"/>
  <c r="O929" i="1" s="1"/>
  <c r="M928" i="1"/>
  <c r="O928" i="1" s="1"/>
  <c r="M927" i="1"/>
  <c r="O927" i="1" s="1"/>
  <c r="M926" i="1"/>
  <c r="O926" i="1" s="1"/>
  <c r="M925" i="1"/>
  <c r="O925" i="1" s="1"/>
  <c r="M924" i="1"/>
  <c r="O924" i="1" s="1"/>
  <c r="M923" i="1"/>
  <c r="O923" i="1" s="1"/>
  <c r="M922" i="1"/>
  <c r="O922" i="1" s="1"/>
  <c r="M921" i="1"/>
  <c r="O921" i="1" s="1"/>
  <c r="M920" i="1"/>
  <c r="O920" i="1" s="1"/>
  <c r="M919" i="1"/>
  <c r="O919" i="1" s="1"/>
  <c r="M918" i="1"/>
  <c r="O918" i="1" s="1"/>
  <c r="M917" i="1"/>
  <c r="O917" i="1" s="1"/>
  <c r="M916" i="1"/>
  <c r="O916" i="1" s="1"/>
  <c r="M915" i="1"/>
  <c r="O915" i="1" s="1"/>
  <c r="M914" i="1"/>
  <c r="O914" i="1" s="1"/>
  <c r="M913" i="1"/>
  <c r="O913" i="1" s="1"/>
  <c r="M912" i="1"/>
  <c r="O912" i="1" s="1"/>
  <c r="M911" i="1"/>
  <c r="O911" i="1" s="1"/>
  <c r="M910" i="1"/>
  <c r="O910" i="1" s="1"/>
  <c r="M909" i="1"/>
  <c r="O909" i="1" s="1"/>
  <c r="M908" i="1"/>
  <c r="O908" i="1" s="1"/>
  <c r="M907" i="1"/>
  <c r="O907" i="1" s="1"/>
  <c r="M906" i="1"/>
  <c r="O906" i="1" s="1"/>
  <c r="M905" i="1"/>
  <c r="O905" i="1" s="1"/>
  <c r="M904" i="1"/>
  <c r="O904" i="1" s="1"/>
  <c r="M903" i="1"/>
  <c r="O903" i="1" s="1"/>
  <c r="M902" i="1"/>
  <c r="O902" i="1" s="1"/>
  <c r="M901" i="1"/>
  <c r="O901" i="1" s="1"/>
  <c r="M900" i="1"/>
  <c r="O900" i="1" s="1"/>
  <c r="M899" i="1"/>
  <c r="O899" i="1" s="1"/>
  <c r="M898" i="1"/>
  <c r="O898" i="1" s="1"/>
  <c r="M897" i="1"/>
  <c r="O897" i="1" s="1"/>
  <c r="M896" i="1"/>
  <c r="O896" i="1" s="1"/>
  <c r="M895" i="1"/>
  <c r="O895" i="1" s="1"/>
  <c r="M894" i="1"/>
  <c r="O894" i="1" s="1"/>
  <c r="M893" i="1"/>
  <c r="O893" i="1" s="1"/>
  <c r="M892" i="1"/>
  <c r="O892" i="1" s="1"/>
  <c r="M891" i="1"/>
  <c r="O891" i="1" s="1"/>
  <c r="M890" i="1"/>
  <c r="O890" i="1" s="1"/>
  <c r="M889" i="1"/>
  <c r="O889" i="1" s="1"/>
  <c r="M888" i="1"/>
  <c r="O888" i="1" s="1"/>
  <c r="M887" i="1"/>
  <c r="O887" i="1" s="1"/>
  <c r="M886" i="1"/>
  <c r="O886" i="1" s="1"/>
  <c r="M885" i="1"/>
  <c r="O885" i="1" s="1"/>
  <c r="M884" i="1"/>
  <c r="O884" i="1" s="1"/>
  <c r="M883" i="1"/>
  <c r="O883" i="1" s="1"/>
  <c r="M882" i="1"/>
  <c r="O882" i="1" s="1"/>
  <c r="M881" i="1"/>
  <c r="O881" i="1" s="1"/>
  <c r="M880" i="1"/>
  <c r="O880" i="1" s="1"/>
  <c r="M879" i="1"/>
  <c r="O879" i="1" s="1"/>
  <c r="M878" i="1"/>
  <c r="O878" i="1" s="1"/>
  <c r="M877" i="1"/>
  <c r="O877" i="1" s="1"/>
  <c r="M876" i="1"/>
  <c r="O876" i="1" s="1"/>
  <c r="M875" i="1"/>
  <c r="O875" i="1" s="1"/>
  <c r="M874" i="1"/>
  <c r="O874" i="1" s="1"/>
  <c r="M873" i="1"/>
  <c r="O873" i="1" s="1"/>
  <c r="M872" i="1"/>
  <c r="O872" i="1" s="1"/>
  <c r="M871" i="1"/>
  <c r="O871" i="1" s="1"/>
  <c r="M870" i="1"/>
  <c r="O870" i="1" s="1"/>
  <c r="M869" i="1"/>
  <c r="O869" i="1" s="1"/>
  <c r="M868" i="1"/>
  <c r="O868" i="1" s="1"/>
  <c r="M867" i="1"/>
  <c r="O867" i="1" s="1"/>
  <c r="M866" i="1"/>
  <c r="O866" i="1" s="1"/>
  <c r="M865" i="1"/>
  <c r="O865" i="1" s="1"/>
  <c r="M864" i="1"/>
  <c r="O864" i="1" s="1"/>
  <c r="M863" i="1"/>
  <c r="O863" i="1" s="1"/>
  <c r="M862" i="1"/>
  <c r="O862" i="1" s="1"/>
  <c r="M861" i="1"/>
  <c r="O861" i="1" s="1"/>
  <c r="M860" i="1"/>
  <c r="O860" i="1" s="1"/>
  <c r="M859" i="1"/>
  <c r="O859" i="1" s="1"/>
  <c r="M858" i="1"/>
  <c r="O858" i="1" s="1"/>
  <c r="M857" i="1"/>
  <c r="O857" i="1" s="1"/>
  <c r="M856" i="1"/>
  <c r="O856" i="1" s="1"/>
  <c r="M855" i="1"/>
  <c r="O855" i="1" s="1"/>
  <c r="M854" i="1"/>
  <c r="O854" i="1" s="1"/>
  <c r="M853" i="1"/>
  <c r="O853" i="1" s="1"/>
  <c r="M852" i="1"/>
  <c r="O852" i="1" s="1"/>
  <c r="M851" i="1"/>
  <c r="O851" i="1" s="1"/>
  <c r="M850" i="1"/>
  <c r="O850" i="1" s="1"/>
  <c r="M849" i="1"/>
  <c r="O849" i="1" s="1"/>
  <c r="M848" i="1"/>
  <c r="O848" i="1" s="1"/>
  <c r="M847" i="1"/>
  <c r="O847" i="1" s="1"/>
  <c r="M846" i="1"/>
  <c r="O846" i="1" s="1"/>
  <c r="M845" i="1"/>
  <c r="O845" i="1" s="1"/>
  <c r="M844" i="1"/>
  <c r="O844" i="1" s="1"/>
  <c r="M843" i="1"/>
  <c r="O843" i="1" s="1"/>
  <c r="M842" i="1"/>
  <c r="O842" i="1" s="1"/>
  <c r="M841" i="1"/>
  <c r="O841" i="1" s="1"/>
  <c r="M840" i="1"/>
  <c r="O840" i="1" s="1"/>
  <c r="M839" i="1"/>
  <c r="O839" i="1" s="1"/>
  <c r="M838" i="1"/>
  <c r="O838" i="1" s="1"/>
  <c r="M837" i="1"/>
  <c r="O837" i="1" s="1"/>
  <c r="M836" i="1"/>
  <c r="O836" i="1" s="1"/>
  <c r="M835" i="1"/>
  <c r="O835" i="1" s="1"/>
  <c r="M834" i="1"/>
  <c r="O834" i="1" s="1"/>
  <c r="M833" i="1"/>
  <c r="O833" i="1" s="1"/>
  <c r="M832" i="1"/>
  <c r="O832" i="1" s="1"/>
  <c r="M831" i="1"/>
  <c r="O831" i="1" s="1"/>
  <c r="M830" i="1"/>
  <c r="O830" i="1" s="1"/>
  <c r="M829" i="1"/>
  <c r="O829" i="1" s="1"/>
  <c r="M828" i="1"/>
  <c r="O828" i="1" s="1"/>
  <c r="M827" i="1"/>
  <c r="O827" i="1" s="1"/>
  <c r="M826" i="1"/>
  <c r="O826" i="1" s="1"/>
  <c r="M825" i="1"/>
  <c r="O825" i="1" s="1"/>
  <c r="M824" i="1"/>
  <c r="O824" i="1" s="1"/>
  <c r="M823" i="1"/>
  <c r="O823" i="1" s="1"/>
  <c r="M822" i="1"/>
  <c r="O822" i="1" s="1"/>
  <c r="M821" i="1"/>
  <c r="O821" i="1" s="1"/>
  <c r="M820" i="1"/>
  <c r="O820" i="1" s="1"/>
  <c r="M819" i="1"/>
  <c r="O819" i="1" s="1"/>
  <c r="M818" i="1"/>
  <c r="O818" i="1" s="1"/>
  <c r="M817" i="1"/>
  <c r="O817" i="1" s="1"/>
  <c r="M816" i="1"/>
  <c r="O816" i="1" s="1"/>
  <c r="M815" i="1"/>
  <c r="O815" i="1" s="1"/>
  <c r="M814" i="1"/>
  <c r="O814" i="1" s="1"/>
  <c r="M813" i="1"/>
  <c r="O813" i="1" s="1"/>
  <c r="M812" i="1"/>
  <c r="O812" i="1" s="1"/>
  <c r="M811" i="1"/>
  <c r="O811" i="1" s="1"/>
  <c r="M810" i="1"/>
  <c r="O810" i="1" s="1"/>
  <c r="M809" i="1"/>
  <c r="O809" i="1" s="1"/>
  <c r="M808" i="1"/>
  <c r="O808" i="1" s="1"/>
  <c r="M807" i="1"/>
  <c r="O807" i="1" s="1"/>
  <c r="M806" i="1"/>
  <c r="O806" i="1" s="1"/>
  <c r="M805" i="1"/>
  <c r="O805" i="1" s="1"/>
  <c r="M804" i="1"/>
  <c r="O804" i="1" s="1"/>
  <c r="M803" i="1"/>
  <c r="O803" i="1" s="1"/>
  <c r="M802" i="1"/>
  <c r="O802" i="1" s="1"/>
  <c r="M801" i="1"/>
  <c r="O801" i="1" s="1"/>
  <c r="M800" i="1"/>
  <c r="O800" i="1" s="1"/>
  <c r="M799" i="1"/>
  <c r="O799" i="1" s="1"/>
  <c r="M798" i="1"/>
  <c r="O798" i="1" s="1"/>
  <c r="M797" i="1"/>
  <c r="O797" i="1" s="1"/>
  <c r="M796" i="1"/>
  <c r="O796" i="1" s="1"/>
  <c r="M795" i="1"/>
  <c r="O795" i="1" s="1"/>
  <c r="M794" i="1"/>
  <c r="O794" i="1" s="1"/>
  <c r="M793" i="1"/>
  <c r="O793" i="1" s="1"/>
  <c r="M792" i="1"/>
  <c r="O792" i="1" s="1"/>
  <c r="M791" i="1"/>
  <c r="O791" i="1" s="1"/>
  <c r="M790" i="1"/>
  <c r="O790" i="1" s="1"/>
  <c r="M789" i="1"/>
  <c r="O789" i="1" s="1"/>
  <c r="M788" i="1"/>
  <c r="O788" i="1" s="1"/>
  <c r="M787" i="1"/>
  <c r="O787" i="1" s="1"/>
  <c r="M786" i="1"/>
  <c r="O786" i="1" s="1"/>
  <c r="M785" i="1"/>
  <c r="O785" i="1" s="1"/>
  <c r="M784" i="1"/>
  <c r="O784" i="1" s="1"/>
  <c r="M783" i="1"/>
  <c r="O783" i="1" s="1"/>
  <c r="M782" i="1"/>
  <c r="O782" i="1" s="1"/>
  <c r="M781" i="1"/>
  <c r="O781" i="1" s="1"/>
  <c r="M780" i="1"/>
  <c r="O780" i="1" s="1"/>
  <c r="M779" i="1"/>
  <c r="O779" i="1" s="1"/>
  <c r="M778" i="1"/>
  <c r="O778" i="1" s="1"/>
  <c r="M777" i="1"/>
  <c r="O777" i="1" s="1"/>
  <c r="M776" i="1"/>
  <c r="O776" i="1" s="1"/>
  <c r="M775" i="1"/>
  <c r="O775" i="1" s="1"/>
  <c r="M774" i="1"/>
  <c r="O774" i="1" s="1"/>
  <c r="M773" i="1"/>
  <c r="O773" i="1" s="1"/>
  <c r="M772" i="1"/>
  <c r="O772" i="1" s="1"/>
  <c r="M771" i="1"/>
  <c r="O771" i="1" s="1"/>
  <c r="M770" i="1"/>
  <c r="O770" i="1" s="1"/>
  <c r="M769" i="1"/>
  <c r="O769" i="1" s="1"/>
  <c r="M768" i="1"/>
  <c r="O768" i="1" s="1"/>
  <c r="M767" i="1"/>
  <c r="O767" i="1" s="1"/>
  <c r="M766" i="1"/>
  <c r="O766" i="1" s="1"/>
  <c r="M765" i="1"/>
  <c r="O765" i="1" s="1"/>
  <c r="M764" i="1"/>
  <c r="O764" i="1" s="1"/>
  <c r="M763" i="1"/>
  <c r="O763" i="1" s="1"/>
  <c r="M762" i="1"/>
  <c r="O762" i="1" s="1"/>
  <c r="M761" i="1"/>
  <c r="O761" i="1" s="1"/>
  <c r="M760" i="1"/>
  <c r="O760" i="1" s="1"/>
  <c r="M759" i="1"/>
  <c r="O759" i="1" s="1"/>
  <c r="M758" i="1"/>
  <c r="O758" i="1" s="1"/>
  <c r="M757" i="1"/>
  <c r="O757" i="1" s="1"/>
  <c r="M756" i="1"/>
  <c r="O756" i="1" s="1"/>
  <c r="M755" i="1"/>
  <c r="O755" i="1" s="1"/>
  <c r="M754" i="1"/>
  <c r="O754" i="1" s="1"/>
  <c r="M753" i="1"/>
  <c r="O753" i="1" s="1"/>
  <c r="M752" i="1"/>
  <c r="O752" i="1" s="1"/>
  <c r="M751" i="1"/>
  <c r="O751" i="1" s="1"/>
  <c r="M750" i="1"/>
  <c r="O750" i="1" s="1"/>
  <c r="M749" i="1"/>
  <c r="O749" i="1" s="1"/>
  <c r="M748" i="1"/>
  <c r="O748" i="1" s="1"/>
  <c r="M747" i="1"/>
  <c r="O747" i="1" s="1"/>
  <c r="M746" i="1"/>
  <c r="O746" i="1" s="1"/>
  <c r="M745" i="1"/>
  <c r="O745" i="1" s="1"/>
  <c r="M744" i="1"/>
  <c r="O744" i="1" s="1"/>
  <c r="M743" i="1"/>
  <c r="O743" i="1" s="1"/>
  <c r="M742" i="1"/>
  <c r="O742" i="1" s="1"/>
  <c r="M741" i="1"/>
  <c r="O741" i="1" s="1"/>
  <c r="M740" i="1"/>
  <c r="O740" i="1" s="1"/>
  <c r="M739" i="1"/>
  <c r="O739" i="1" s="1"/>
  <c r="M738" i="1"/>
  <c r="O738" i="1" s="1"/>
  <c r="M737" i="1"/>
  <c r="O737" i="1" s="1"/>
  <c r="M736" i="1"/>
  <c r="O736" i="1" s="1"/>
  <c r="M735" i="1"/>
  <c r="O735" i="1" s="1"/>
  <c r="M734" i="1"/>
  <c r="O734" i="1" s="1"/>
  <c r="M733" i="1"/>
  <c r="O733" i="1" s="1"/>
  <c r="M732" i="1"/>
  <c r="O732" i="1" s="1"/>
  <c r="M731" i="1"/>
  <c r="O731" i="1" s="1"/>
  <c r="M730" i="1"/>
  <c r="O730" i="1" s="1"/>
  <c r="M729" i="1"/>
  <c r="O729" i="1" s="1"/>
  <c r="M728" i="1"/>
  <c r="O728" i="1" s="1"/>
  <c r="M727" i="1"/>
  <c r="O727" i="1" s="1"/>
  <c r="M726" i="1"/>
  <c r="O726" i="1" s="1"/>
  <c r="M725" i="1"/>
  <c r="O725" i="1" s="1"/>
  <c r="M724" i="1"/>
  <c r="O724" i="1" s="1"/>
  <c r="M723" i="1"/>
  <c r="O723" i="1" s="1"/>
  <c r="M722" i="1"/>
  <c r="O722" i="1" s="1"/>
  <c r="M721" i="1"/>
  <c r="O721" i="1" s="1"/>
  <c r="M720" i="1"/>
  <c r="O720" i="1" s="1"/>
  <c r="M719" i="1"/>
  <c r="O719" i="1" s="1"/>
  <c r="M718" i="1"/>
  <c r="O718" i="1" s="1"/>
  <c r="M717" i="1"/>
  <c r="O717" i="1" s="1"/>
  <c r="M716" i="1"/>
  <c r="O716" i="1" s="1"/>
  <c r="M715" i="1"/>
  <c r="O715" i="1" s="1"/>
  <c r="M714" i="1"/>
  <c r="O714" i="1" s="1"/>
  <c r="M713" i="1"/>
  <c r="O713" i="1" s="1"/>
  <c r="M712" i="1"/>
  <c r="O712" i="1" s="1"/>
  <c r="M711" i="1"/>
  <c r="O711" i="1" s="1"/>
  <c r="M710" i="1"/>
  <c r="O710" i="1" s="1"/>
  <c r="M709" i="1"/>
  <c r="O709" i="1" s="1"/>
  <c r="M708" i="1"/>
  <c r="O708" i="1" s="1"/>
  <c r="M707" i="1"/>
  <c r="O707" i="1" s="1"/>
  <c r="M706" i="1"/>
  <c r="O706" i="1" s="1"/>
  <c r="M705" i="1"/>
  <c r="O705" i="1" s="1"/>
  <c r="M704" i="1"/>
  <c r="O704" i="1" s="1"/>
  <c r="M703" i="1"/>
  <c r="O703" i="1" s="1"/>
  <c r="M702" i="1"/>
  <c r="O702" i="1" s="1"/>
  <c r="M701" i="1"/>
  <c r="O701" i="1" s="1"/>
  <c r="M700" i="1"/>
  <c r="O700" i="1" s="1"/>
  <c r="M699" i="1"/>
  <c r="O699" i="1" s="1"/>
  <c r="M698" i="1"/>
  <c r="O698" i="1" s="1"/>
  <c r="M697" i="1"/>
  <c r="O697" i="1" s="1"/>
  <c r="M696" i="1"/>
  <c r="O696" i="1" s="1"/>
  <c r="M695" i="1"/>
  <c r="O695" i="1" s="1"/>
  <c r="M694" i="1"/>
  <c r="O694" i="1" s="1"/>
  <c r="M693" i="1"/>
  <c r="O693" i="1" s="1"/>
  <c r="M692" i="1"/>
  <c r="O692" i="1" s="1"/>
  <c r="M691" i="1"/>
  <c r="O691" i="1" s="1"/>
  <c r="M690" i="1"/>
  <c r="O690" i="1" s="1"/>
  <c r="M689" i="1"/>
  <c r="O689" i="1" s="1"/>
  <c r="M688" i="1"/>
  <c r="O688" i="1" s="1"/>
  <c r="M687" i="1"/>
  <c r="O687" i="1" s="1"/>
  <c r="M686" i="1"/>
  <c r="O686" i="1" s="1"/>
  <c r="M685" i="1"/>
  <c r="O685" i="1" s="1"/>
  <c r="M684" i="1"/>
  <c r="O684" i="1" s="1"/>
  <c r="M683" i="1"/>
  <c r="O683" i="1" s="1"/>
  <c r="M682" i="1"/>
  <c r="O682" i="1" s="1"/>
  <c r="M681" i="1"/>
  <c r="O681" i="1" s="1"/>
  <c r="M680" i="1"/>
  <c r="O680" i="1" s="1"/>
  <c r="M679" i="1"/>
  <c r="O679" i="1" s="1"/>
  <c r="M678" i="1"/>
  <c r="O678" i="1" s="1"/>
  <c r="M677" i="1"/>
  <c r="O677" i="1" s="1"/>
  <c r="M676" i="1"/>
  <c r="O676" i="1" s="1"/>
  <c r="M675" i="1"/>
  <c r="O675" i="1" s="1"/>
  <c r="M674" i="1"/>
  <c r="O674" i="1" s="1"/>
  <c r="M673" i="1"/>
  <c r="O673" i="1" s="1"/>
  <c r="M672" i="1"/>
  <c r="O672" i="1" s="1"/>
  <c r="M671" i="1"/>
  <c r="O671" i="1" s="1"/>
  <c r="M670" i="1"/>
  <c r="O670" i="1" s="1"/>
  <c r="M669" i="1"/>
  <c r="O669" i="1" s="1"/>
  <c r="M668" i="1"/>
  <c r="O668" i="1" s="1"/>
  <c r="M667" i="1"/>
  <c r="O667" i="1" s="1"/>
  <c r="M666" i="1"/>
  <c r="O666" i="1" s="1"/>
  <c r="M665" i="1"/>
  <c r="O665" i="1" s="1"/>
  <c r="M664" i="1"/>
  <c r="O664" i="1" s="1"/>
  <c r="M663" i="1"/>
  <c r="O663" i="1" s="1"/>
  <c r="M662" i="1"/>
  <c r="O662" i="1" s="1"/>
  <c r="M661" i="1"/>
  <c r="O661" i="1" s="1"/>
  <c r="M660" i="1"/>
  <c r="O660" i="1" s="1"/>
  <c r="M659" i="1"/>
  <c r="O659" i="1" s="1"/>
  <c r="M658" i="1"/>
  <c r="O658" i="1" s="1"/>
  <c r="M657" i="1"/>
  <c r="O657" i="1" s="1"/>
  <c r="M656" i="1"/>
  <c r="O656" i="1" s="1"/>
  <c r="M655" i="1"/>
  <c r="O655" i="1" s="1"/>
  <c r="M654" i="1"/>
  <c r="O654" i="1" s="1"/>
  <c r="M653" i="1"/>
  <c r="O653" i="1" s="1"/>
  <c r="M652" i="1"/>
  <c r="O652" i="1" s="1"/>
  <c r="M651" i="1"/>
  <c r="O651" i="1" s="1"/>
  <c r="M650" i="1"/>
  <c r="O650" i="1" s="1"/>
  <c r="M649" i="1"/>
  <c r="O649" i="1" s="1"/>
  <c r="M648" i="1"/>
  <c r="O648" i="1" s="1"/>
  <c r="M647" i="1"/>
  <c r="O647" i="1" s="1"/>
  <c r="M646" i="1"/>
  <c r="O646" i="1" s="1"/>
  <c r="M645" i="1"/>
  <c r="O645" i="1" s="1"/>
  <c r="M644" i="1"/>
  <c r="O644" i="1" s="1"/>
  <c r="M643" i="1"/>
  <c r="O643" i="1" s="1"/>
  <c r="M642" i="1"/>
  <c r="O642" i="1" s="1"/>
  <c r="M641" i="1"/>
  <c r="O641" i="1" s="1"/>
  <c r="M640" i="1"/>
  <c r="O640" i="1" s="1"/>
  <c r="M639" i="1"/>
  <c r="O639" i="1" s="1"/>
  <c r="M638" i="1"/>
  <c r="O638" i="1" s="1"/>
  <c r="M637" i="1"/>
  <c r="O637" i="1" s="1"/>
  <c r="M636" i="1"/>
  <c r="O636" i="1" s="1"/>
  <c r="M635" i="1"/>
  <c r="O635" i="1" s="1"/>
  <c r="M634" i="1"/>
  <c r="O634" i="1" s="1"/>
  <c r="M633" i="1"/>
  <c r="O633" i="1" s="1"/>
  <c r="M632" i="1"/>
  <c r="O632" i="1" s="1"/>
  <c r="M631" i="1"/>
  <c r="O631" i="1" s="1"/>
  <c r="M630" i="1"/>
  <c r="O630" i="1" s="1"/>
  <c r="M629" i="1"/>
  <c r="O629" i="1" s="1"/>
  <c r="M628" i="1"/>
  <c r="O628" i="1" s="1"/>
  <c r="M627" i="1"/>
  <c r="O627" i="1" s="1"/>
  <c r="M626" i="1"/>
  <c r="O626" i="1" s="1"/>
  <c r="M625" i="1"/>
  <c r="O625" i="1" s="1"/>
  <c r="M624" i="1"/>
  <c r="O624" i="1" s="1"/>
  <c r="M623" i="1"/>
  <c r="O623" i="1" s="1"/>
  <c r="M622" i="1"/>
  <c r="O622" i="1" s="1"/>
  <c r="M621" i="1"/>
  <c r="O621" i="1" s="1"/>
  <c r="M620" i="1"/>
  <c r="O620" i="1" s="1"/>
  <c r="M619" i="1"/>
  <c r="O619" i="1" s="1"/>
  <c r="M618" i="1"/>
  <c r="O618" i="1" s="1"/>
  <c r="M617" i="1"/>
  <c r="O617" i="1" s="1"/>
  <c r="M616" i="1"/>
  <c r="O616" i="1" s="1"/>
  <c r="M615" i="1"/>
  <c r="O615" i="1" s="1"/>
  <c r="M614" i="1"/>
  <c r="O614" i="1" s="1"/>
  <c r="M613" i="1"/>
  <c r="O613" i="1" s="1"/>
  <c r="M612" i="1"/>
  <c r="O612" i="1" s="1"/>
  <c r="M611" i="1"/>
  <c r="O611" i="1" s="1"/>
  <c r="M610" i="1"/>
  <c r="O610" i="1" s="1"/>
  <c r="M609" i="1"/>
  <c r="O609" i="1" s="1"/>
  <c r="M608" i="1"/>
  <c r="O608" i="1" s="1"/>
  <c r="M607" i="1"/>
  <c r="O607" i="1" s="1"/>
  <c r="M606" i="1"/>
  <c r="O606" i="1" s="1"/>
  <c r="M605" i="1"/>
  <c r="O605" i="1" s="1"/>
  <c r="M604" i="1"/>
  <c r="O604" i="1" s="1"/>
  <c r="M603" i="1"/>
  <c r="O603" i="1" s="1"/>
  <c r="M602" i="1"/>
  <c r="O602" i="1" s="1"/>
  <c r="M601" i="1"/>
  <c r="O601" i="1" s="1"/>
  <c r="M600" i="1"/>
  <c r="O600" i="1" s="1"/>
  <c r="M599" i="1"/>
  <c r="O599" i="1" s="1"/>
  <c r="M598" i="1"/>
  <c r="O598" i="1" s="1"/>
  <c r="M597" i="1"/>
  <c r="O597" i="1" s="1"/>
  <c r="M596" i="1"/>
  <c r="O596" i="1" s="1"/>
  <c r="M595" i="1"/>
  <c r="O595" i="1" s="1"/>
  <c r="M594" i="1"/>
  <c r="O594" i="1" s="1"/>
  <c r="M593" i="1"/>
  <c r="O593" i="1" s="1"/>
  <c r="M592" i="1"/>
  <c r="O592" i="1" s="1"/>
  <c r="M591" i="1"/>
  <c r="O591" i="1" s="1"/>
  <c r="M590" i="1"/>
  <c r="O590" i="1" s="1"/>
  <c r="M589" i="1"/>
  <c r="O589" i="1" s="1"/>
  <c r="M588" i="1"/>
  <c r="O588" i="1" s="1"/>
  <c r="M587" i="1"/>
  <c r="O587" i="1" s="1"/>
  <c r="M586" i="1"/>
  <c r="O586" i="1" s="1"/>
  <c r="M585" i="1"/>
  <c r="O585" i="1" s="1"/>
  <c r="M584" i="1"/>
  <c r="O584" i="1" s="1"/>
  <c r="M583" i="1"/>
  <c r="O583" i="1" s="1"/>
  <c r="M582" i="1"/>
  <c r="O582" i="1" s="1"/>
  <c r="M581" i="1"/>
  <c r="O581" i="1" s="1"/>
  <c r="M580" i="1"/>
  <c r="O580" i="1" s="1"/>
  <c r="M579" i="1"/>
  <c r="O579" i="1" s="1"/>
  <c r="M578" i="1"/>
  <c r="O578" i="1" s="1"/>
  <c r="M577" i="1"/>
  <c r="O577" i="1" s="1"/>
  <c r="M576" i="1"/>
  <c r="O576" i="1" s="1"/>
  <c r="M575" i="1"/>
  <c r="O575" i="1" s="1"/>
  <c r="M574" i="1"/>
  <c r="O574" i="1" s="1"/>
  <c r="M573" i="1"/>
  <c r="O573" i="1" s="1"/>
  <c r="M572" i="1"/>
  <c r="O572" i="1" s="1"/>
  <c r="M571" i="1"/>
  <c r="O571" i="1" s="1"/>
  <c r="M570" i="1"/>
  <c r="O570" i="1" s="1"/>
  <c r="M569" i="1"/>
  <c r="O569" i="1" s="1"/>
  <c r="M568" i="1"/>
  <c r="O568" i="1" s="1"/>
  <c r="M567" i="1"/>
  <c r="O567" i="1" s="1"/>
  <c r="M566" i="1"/>
  <c r="O566" i="1" s="1"/>
  <c r="M565" i="1"/>
  <c r="O565" i="1" s="1"/>
  <c r="M564" i="1"/>
  <c r="O564" i="1" s="1"/>
  <c r="M563" i="1"/>
  <c r="O563" i="1" s="1"/>
  <c r="M562" i="1"/>
  <c r="O562" i="1" s="1"/>
  <c r="M561" i="1"/>
  <c r="O561" i="1" s="1"/>
  <c r="M560" i="1"/>
  <c r="O560" i="1" s="1"/>
  <c r="M559" i="1"/>
  <c r="O559" i="1" s="1"/>
  <c r="M558" i="1"/>
  <c r="O558" i="1" s="1"/>
  <c r="M557" i="1"/>
  <c r="O557" i="1" s="1"/>
  <c r="M556" i="1"/>
  <c r="O556" i="1" s="1"/>
  <c r="M555" i="1"/>
  <c r="O555" i="1" s="1"/>
  <c r="M554" i="1"/>
  <c r="O554" i="1" s="1"/>
  <c r="M553" i="1"/>
  <c r="O553" i="1" s="1"/>
  <c r="M552" i="1"/>
  <c r="O552" i="1" s="1"/>
  <c r="M551" i="1"/>
  <c r="O551" i="1" s="1"/>
  <c r="M550" i="1"/>
  <c r="O550" i="1" s="1"/>
  <c r="M549" i="1"/>
  <c r="O549" i="1" s="1"/>
  <c r="M548" i="1"/>
  <c r="O548" i="1" s="1"/>
  <c r="M547" i="1"/>
  <c r="O547" i="1" s="1"/>
  <c r="M546" i="1"/>
  <c r="O546" i="1" s="1"/>
  <c r="M545" i="1"/>
  <c r="O545" i="1" s="1"/>
  <c r="M544" i="1"/>
  <c r="O544" i="1" s="1"/>
  <c r="M543" i="1"/>
  <c r="O543" i="1" s="1"/>
  <c r="M542" i="1"/>
  <c r="O542" i="1" s="1"/>
  <c r="M541" i="1"/>
  <c r="O541" i="1" s="1"/>
  <c r="M540" i="1"/>
  <c r="O540" i="1" s="1"/>
  <c r="M539" i="1"/>
  <c r="O539" i="1" s="1"/>
  <c r="M538" i="1"/>
  <c r="O538" i="1" s="1"/>
  <c r="M537" i="1"/>
  <c r="O537" i="1" s="1"/>
  <c r="M536" i="1"/>
  <c r="O536" i="1" s="1"/>
  <c r="M535" i="1"/>
  <c r="O535" i="1" s="1"/>
  <c r="M534" i="1"/>
  <c r="O534" i="1" s="1"/>
  <c r="M533" i="1"/>
  <c r="O533" i="1" s="1"/>
  <c r="M532" i="1"/>
  <c r="O532" i="1" s="1"/>
  <c r="M531" i="1"/>
  <c r="O531" i="1" s="1"/>
  <c r="M530" i="1"/>
  <c r="O530" i="1" s="1"/>
  <c r="M529" i="1"/>
  <c r="O529" i="1" s="1"/>
  <c r="M528" i="1"/>
  <c r="O528" i="1" s="1"/>
  <c r="M527" i="1"/>
  <c r="O527" i="1" s="1"/>
  <c r="M526" i="1"/>
  <c r="O526" i="1" s="1"/>
  <c r="M525" i="1"/>
  <c r="O525" i="1" s="1"/>
  <c r="M524" i="1"/>
  <c r="O524" i="1" s="1"/>
  <c r="M523" i="1"/>
  <c r="O523" i="1" s="1"/>
  <c r="M522" i="1"/>
  <c r="O522" i="1" s="1"/>
  <c r="M521" i="1"/>
  <c r="O521" i="1" s="1"/>
  <c r="M520" i="1"/>
  <c r="O520" i="1" s="1"/>
  <c r="M519" i="1"/>
  <c r="O519" i="1" s="1"/>
  <c r="M518" i="1"/>
  <c r="O518" i="1" s="1"/>
  <c r="M517" i="1"/>
  <c r="O517" i="1" s="1"/>
  <c r="M516" i="1"/>
  <c r="O516" i="1" s="1"/>
  <c r="M515" i="1"/>
  <c r="O515" i="1" s="1"/>
  <c r="M514" i="1"/>
  <c r="O514" i="1" s="1"/>
  <c r="M513" i="1"/>
  <c r="O513" i="1" s="1"/>
  <c r="M512" i="1"/>
  <c r="O512" i="1" s="1"/>
  <c r="M511" i="1"/>
  <c r="O511" i="1" s="1"/>
  <c r="M510" i="1"/>
  <c r="O510" i="1" s="1"/>
  <c r="M509" i="1"/>
  <c r="O509" i="1" s="1"/>
  <c r="M508" i="1"/>
  <c r="O508" i="1" s="1"/>
  <c r="M507" i="1"/>
  <c r="O507" i="1" s="1"/>
  <c r="M506" i="1"/>
  <c r="O506" i="1" s="1"/>
  <c r="M505" i="1"/>
  <c r="O505" i="1" s="1"/>
  <c r="M504" i="1"/>
  <c r="O504" i="1" s="1"/>
  <c r="M503" i="1"/>
  <c r="O503" i="1" s="1"/>
  <c r="M502" i="1"/>
  <c r="O502" i="1" s="1"/>
  <c r="M501" i="1"/>
  <c r="O501" i="1" s="1"/>
  <c r="M500" i="1"/>
  <c r="O500" i="1" s="1"/>
  <c r="M499" i="1"/>
  <c r="O499" i="1" s="1"/>
  <c r="M498" i="1"/>
  <c r="O498" i="1" s="1"/>
  <c r="M497" i="1"/>
  <c r="O497" i="1" s="1"/>
  <c r="M496" i="1"/>
  <c r="O496" i="1" s="1"/>
  <c r="M495" i="1"/>
  <c r="O495" i="1" s="1"/>
  <c r="M494" i="1"/>
  <c r="O494" i="1" s="1"/>
  <c r="M493" i="1"/>
  <c r="O493" i="1" s="1"/>
  <c r="M492" i="1"/>
  <c r="O492" i="1" s="1"/>
  <c r="M491" i="1"/>
  <c r="O491" i="1" s="1"/>
  <c r="M490" i="1"/>
  <c r="O490" i="1" s="1"/>
  <c r="M489" i="1"/>
  <c r="O489" i="1" s="1"/>
  <c r="M488" i="1"/>
  <c r="O488" i="1" s="1"/>
  <c r="M487" i="1"/>
  <c r="O487" i="1" s="1"/>
  <c r="M486" i="1"/>
  <c r="O486" i="1" s="1"/>
  <c r="M485" i="1"/>
  <c r="O485" i="1" s="1"/>
  <c r="M484" i="1"/>
  <c r="O484" i="1" s="1"/>
  <c r="M483" i="1"/>
  <c r="O483" i="1" s="1"/>
  <c r="M482" i="1"/>
  <c r="O482" i="1" s="1"/>
  <c r="M481" i="1"/>
  <c r="O481" i="1" s="1"/>
  <c r="M480" i="1"/>
  <c r="O480" i="1" s="1"/>
  <c r="M479" i="1"/>
  <c r="O479" i="1" s="1"/>
  <c r="M478" i="1"/>
  <c r="O478" i="1" s="1"/>
  <c r="M477" i="1"/>
  <c r="O477" i="1" s="1"/>
  <c r="M476" i="1"/>
  <c r="O476" i="1" s="1"/>
  <c r="M475" i="1"/>
  <c r="O475" i="1" s="1"/>
  <c r="M474" i="1"/>
  <c r="O474" i="1" s="1"/>
  <c r="M473" i="1"/>
  <c r="O473" i="1" s="1"/>
  <c r="M472" i="1"/>
  <c r="O472" i="1" s="1"/>
  <c r="M471" i="1"/>
  <c r="O471" i="1" s="1"/>
  <c r="M470" i="1"/>
  <c r="O470" i="1" s="1"/>
  <c r="M469" i="1"/>
  <c r="O469" i="1" s="1"/>
  <c r="M468" i="1"/>
  <c r="O468" i="1" s="1"/>
  <c r="M467" i="1"/>
  <c r="O467" i="1" s="1"/>
  <c r="M466" i="1"/>
  <c r="O466" i="1" s="1"/>
  <c r="M465" i="1"/>
  <c r="O465" i="1" s="1"/>
  <c r="M464" i="1"/>
  <c r="O464" i="1" s="1"/>
  <c r="M463" i="1"/>
  <c r="O463" i="1" s="1"/>
  <c r="M462" i="1"/>
  <c r="O462" i="1" s="1"/>
  <c r="M461" i="1"/>
  <c r="O461" i="1" s="1"/>
  <c r="M460" i="1"/>
  <c r="O460" i="1" s="1"/>
  <c r="M459" i="1"/>
  <c r="O459" i="1" s="1"/>
  <c r="M458" i="1"/>
  <c r="O458" i="1" s="1"/>
  <c r="M457" i="1"/>
  <c r="O457" i="1" s="1"/>
  <c r="M456" i="1"/>
  <c r="O456" i="1" s="1"/>
  <c r="M455" i="1"/>
  <c r="O455" i="1" s="1"/>
  <c r="M454" i="1"/>
  <c r="O454" i="1" s="1"/>
  <c r="M453" i="1"/>
  <c r="O453" i="1" s="1"/>
  <c r="M452" i="1"/>
  <c r="O452" i="1" s="1"/>
  <c r="M451" i="1"/>
  <c r="O451" i="1" s="1"/>
  <c r="M450" i="1"/>
  <c r="O450" i="1" s="1"/>
  <c r="M449" i="1"/>
  <c r="O449" i="1" s="1"/>
  <c r="M448" i="1"/>
  <c r="O448" i="1" s="1"/>
  <c r="M447" i="1"/>
  <c r="O447" i="1" s="1"/>
  <c r="M446" i="1"/>
  <c r="O446" i="1" s="1"/>
  <c r="M445" i="1"/>
  <c r="O445" i="1" s="1"/>
  <c r="M444" i="1"/>
  <c r="O444" i="1" s="1"/>
  <c r="M443" i="1"/>
  <c r="O443" i="1" s="1"/>
  <c r="M442" i="1"/>
  <c r="O442" i="1" s="1"/>
  <c r="M441" i="1"/>
  <c r="O441" i="1" s="1"/>
  <c r="M440" i="1"/>
  <c r="O440" i="1" s="1"/>
  <c r="M439" i="1"/>
  <c r="O439" i="1" s="1"/>
  <c r="M438" i="1"/>
  <c r="O438" i="1" s="1"/>
  <c r="M437" i="1"/>
  <c r="O437" i="1" s="1"/>
  <c r="M436" i="1"/>
  <c r="O436" i="1" s="1"/>
  <c r="M435" i="1"/>
  <c r="O435" i="1" s="1"/>
  <c r="M434" i="1"/>
  <c r="O434" i="1" s="1"/>
  <c r="M433" i="1"/>
  <c r="O433" i="1" s="1"/>
  <c r="M432" i="1"/>
  <c r="O432" i="1" s="1"/>
  <c r="M431" i="1"/>
  <c r="O431" i="1" s="1"/>
  <c r="M430" i="1"/>
  <c r="O430" i="1" s="1"/>
  <c r="M429" i="1"/>
  <c r="O429" i="1" s="1"/>
  <c r="M428" i="1"/>
  <c r="O428" i="1" s="1"/>
  <c r="M427" i="1"/>
  <c r="O427" i="1" s="1"/>
  <c r="M426" i="1"/>
  <c r="O426" i="1" s="1"/>
  <c r="M425" i="1"/>
  <c r="O425" i="1" s="1"/>
  <c r="M424" i="1"/>
  <c r="O424" i="1" s="1"/>
  <c r="M423" i="1"/>
  <c r="O423" i="1" s="1"/>
  <c r="M422" i="1"/>
  <c r="O422" i="1" s="1"/>
  <c r="M421" i="1"/>
  <c r="O421" i="1" s="1"/>
  <c r="M420" i="1"/>
  <c r="O420" i="1" s="1"/>
  <c r="M419" i="1"/>
  <c r="O419" i="1" s="1"/>
  <c r="M418" i="1"/>
  <c r="O418" i="1" s="1"/>
  <c r="M417" i="1"/>
  <c r="O417" i="1" s="1"/>
  <c r="M416" i="1"/>
  <c r="O416" i="1" s="1"/>
  <c r="M415" i="1"/>
  <c r="O415" i="1" s="1"/>
  <c r="M414" i="1"/>
  <c r="O414" i="1" s="1"/>
  <c r="M413" i="1"/>
  <c r="O413" i="1" s="1"/>
  <c r="M412" i="1"/>
  <c r="O412" i="1" s="1"/>
  <c r="M411" i="1"/>
  <c r="O411" i="1" s="1"/>
  <c r="M410" i="1"/>
  <c r="O410" i="1" s="1"/>
  <c r="M409" i="1"/>
  <c r="O409" i="1" s="1"/>
  <c r="M408" i="1"/>
  <c r="O408" i="1" s="1"/>
  <c r="M407" i="1"/>
  <c r="O407" i="1" s="1"/>
  <c r="M406" i="1"/>
  <c r="O406" i="1" s="1"/>
  <c r="M405" i="1"/>
  <c r="O405" i="1" s="1"/>
  <c r="M404" i="1"/>
  <c r="O404" i="1" s="1"/>
  <c r="M403" i="1"/>
  <c r="O403" i="1" s="1"/>
  <c r="M402" i="1"/>
  <c r="O402" i="1" s="1"/>
  <c r="M401" i="1"/>
  <c r="O401" i="1" s="1"/>
  <c r="M400" i="1"/>
  <c r="O400" i="1" s="1"/>
  <c r="M399" i="1"/>
  <c r="O399" i="1" s="1"/>
  <c r="M398" i="1"/>
  <c r="O398" i="1" s="1"/>
  <c r="M397" i="1"/>
  <c r="O397" i="1" s="1"/>
  <c r="M396" i="1"/>
  <c r="O396" i="1" s="1"/>
  <c r="M395" i="1"/>
  <c r="O395" i="1" s="1"/>
  <c r="M394" i="1"/>
  <c r="O394" i="1" s="1"/>
  <c r="M393" i="1"/>
  <c r="O393" i="1" s="1"/>
  <c r="M392" i="1"/>
  <c r="O392" i="1" s="1"/>
  <c r="M391" i="1"/>
  <c r="O391" i="1" s="1"/>
  <c r="M390" i="1"/>
  <c r="O390" i="1" s="1"/>
  <c r="M389" i="1"/>
  <c r="O389" i="1" s="1"/>
  <c r="M388" i="1"/>
  <c r="O388" i="1" s="1"/>
  <c r="M387" i="1"/>
  <c r="O387" i="1" s="1"/>
  <c r="M386" i="1"/>
  <c r="O386" i="1" s="1"/>
  <c r="M385" i="1"/>
  <c r="O385" i="1" s="1"/>
  <c r="M384" i="1"/>
  <c r="O384" i="1" s="1"/>
  <c r="M383" i="1"/>
  <c r="O383" i="1" s="1"/>
  <c r="M382" i="1"/>
  <c r="O382" i="1" s="1"/>
  <c r="M381" i="1"/>
  <c r="O381" i="1" s="1"/>
  <c r="M380" i="1"/>
  <c r="O380" i="1" s="1"/>
  <c r="M379" i="1"/>
  <c r="O379" i="1" s="1"/>
  <c r="M378" i="1"/>
  <c r="O378" i="1" s="1"/>
  <c r="M377" i="1"/>
  <c r="O377" i="1" s="1"/>
  <c r="M376" i="1"/>
  <c r="O376" i="1" s="1"/>
  <c r="M375" i="1"/>
  <c r="O375" i="1" s="1"/>
  <c r="M374" i="1"/>
  <c r="O374" i="1" s="1"/>
  <c r="M373" i="1"/>
  <c r="O373" i="1" s="1"/>
  <c r="M372" i="1"/>
  <c r="O372" i="1" s="1"/>
  <c r="M371" i="1"/>
  <c r="O371" i="1" s="1"/>
  <c r="M370" i="1"/>
  <c r="O370" i="1" s="1"/>
  <c r="M369" i="1"/>
  <c r="O369" i="1" s="1"/>
  <c r="M368" i="1"/>
  <c r="O368" i="1" s="1"/>
  <c r="M367" i="1"/>
  <c r="O367" i="1" s="1"/>
  <c r="M366" i="1"/>
  <c r="O366" i="1" s="1"/>
  <c r="M365" i="1"/>
  <c r="O365" i="1" s="1"/>
  <c r="M364" i="1"/>
  <c r="O364" i="1" s="1"/>
  <c r="M363" i="1"/>
  <c r="O363" i="1" s="1"/>
  <c r="M362" i="1"/>
  <c r="O362" i="1" s="1"/>
  <c r="M361" i="1"/>
  <c r="O361" i="1" s="1"/>
  <c r="M360" i="1"/>
  <c r="O360" i="1" s="1"/>
  <c r="M359" i="1"/>
  <c r="O359" i="1" s="1"/>
  <c r="M358" i="1"/>
  <c r="O358" i="1" s="1"/>
  <c r="M357" i="1"/>
  <c r="O357" i="1" s="1"/>
  <c r="M356" i="1"/>
  <c r="O356" i="1" s="1"/>
  <c r="M355" i="1"/>
  <c r="O355" i="1" s="1"/>
  <c r="M354" i="1"/>
  <c r="O354" i="1" s="1"/>
  <c r="M353" i="1"/>
  <c r="O353" i="1" s="1"/>
  <c r="M352" i="1"/>
  <c r="O352" i="1" s="1"/>
  <c r="M351" i="1"/>
  <c r="O351" i="1" s="1"/>
  <c r="M350" i="1"/>
  <c r="O350" i="1" s="1"/>
  <c r="M349" i="1"/>
  <c r="O349" i="1" s="1"/>
  <c r="M348" i="1"/>
  <c r="O348" i="1" s="1"/>
  <c r="M347" i="1"/>
  <c r="O347" i="1" s="1"/>
  <c r="M346" i="1"/>
  <c r="O346" i="1" s="1"/>
  <c r="M345" i="1"/>
  <c r="O345" i="1" s="1"/>
  <c r="M344" i="1"/>
  <c r="O344" i="1" s="1"/>
  <c r="M343" i="1"/>
  <c r="O343" i="1" s="1"/>
  <c r="M342" i="1"/>
  <c r="O342" i="1" s="1"/>
  <c r="M341" i="1"/>
  <c r="O341" i="1" s="1"/>
  <c r="M340" i="1"/>
  <c r="O340" i="1" s="1"/>
  <c r="M339" i="1"/>
  <c r="O339" i="1" s="1"/>
  <c r="M338" i="1"/>
  <c r="O338" i="1" s="1"/>
  <c r="M337" i="1"/>
  <c r="O337" i="1" s="1"/>
  <c r="M336" i="1"/>
  <c r="O336" i="1" s="1"/>
  <c r="M335" i="1"/>
  <c r="O335" i="1" s="1"/>
  <c r="M334" i="1"/>
  <c r="O334" i="1" s="1"/>
  <c r="M333" i="1"/>
  <c r="O333" i="1" s="1"/>
  <c r="M332" i="1"/>
  <c r="O332" i="1" s="1"/>
  <c r="M331" i="1"/>
  <c r="O331" i="1" s="1"/>
  <c r="M330" i="1"/>
  <c r="O330" i="1" s="1"/>
  <c r="M329" i="1"/>
  <c r="O329" i="1" s="1"/>
  <c r="M328" i="1"/>
  <c r="O328" i="1" s="1"/>
  <c r="M327" i="1"/>
  <c r="O327" i="1" s="1"/>
  <c r="M326" i="1"/>
  <c r="O326" i="1" s="1"/>
  <c r="M325" i="1"/>
  <c r="O325" i="1" s="1"/>
  <c r="M324" i="1"/>
  <c r="O324" i="1" s="1"/>
  <c r="M323" i="1"/>
  <c r="O323" i="1" s="1"/>
  <c r="M322" i="1"/>
  <c r="O322" i="1" s="1"/>
  <c r="M321" i="1"/>
  <c r="O321" i="1" s="1"/>
  <c r="M320" i="1"/>
  <c r="O320" i="1" s="1"/>
  <c r="M319" i="1"/>
  <c r="O319" i="1" s="1"/>
  <c r="M318" i="1"/>
  <c r="O318" i="1" s="1"/>
  <c r="M317" i="1"/>
  <c r="O317" i="1" s="1"/>
  <c r="M316" i="1"/>
  <c r="O316" i="1" s="1"/>
  <c r="M315" i="1"/>
  <c r="O315" i="1" s="1"/>
  <c r="M314" i="1"/>
  <c r="O314" i="1" s="1"/>
  <c r="M313" i="1"/>
  <c r="O313" i="1" s="1"/>
  <c r="M312" i="1"/>
  <c r="O312" i="1" s="1"/>
  <c r="M311" i="1"/>
  <c r="O311" i="1" s="1"/>
  <c r="M310" i="1"/>
  <c r="O310" i="1" s="1"/>
  <c r="M309" i="1"/>
  <c r="O309" i="1" s="1"/>
  <c r="M308" i="1"/>
  <c r="O308" i="1" s="1"/>
  <c r="M307" i="1"/>
  <c r="O307" i="1" s="1"/>
  <c r="M306" i="1"/>
  <c r="O306" i="1" s="1"/>
  <c r="M305" i="1"/>
  <c r="O305" i="1" s="1"/>
  <c r="M304" i="1"/>
  <c r="O304" i="1" s="1"/>
  <c r="M303" i="1"/>
  <c r="O303" i="1" s="1"/>
  <c r="M302" i="1"/>
  <c r="O302" i="1" s="1"/>
  <c r="M301" i="1"/>
  <c r="O301" i="1" s="1"/>
  <c r="M300" i="1"/>
  <c r="O300" i="1" s="1"/>
  <c r="M299" i="1"/>
  <c r="O299" i="1" s="1"/>
  <c r="M298" i="1"/>
  <c r="O298" i="1" s="1"/>
  <c r="M297" i="1"/>
  <c r="O297" i="1" s="1"/>
  <c r="M296" i="1"/>
  <c r="O296" i="1" s="1"/>
  <c r="M295" i="1"/>
  <c r="O295" i="1" s="1"/>
  <c r="M294" i="1"/>
  <c r="O294" i="1" s="1"/>
  <c r="M293" i="1"/>
  <c r="O293" i="1" s="1"/>
  <c r="M292" i="1"/>
  <c r="O292" i="1" s="1"/>
  <c r="M291" i="1"/>
  <c r="O291" i="1" s="1"/>
  <c r="M290" i="1"/>
  <c r="O290" i="1" s="1"/>
  <c r="M289" i="1"/>
  <c r="O289" i="1" s="1"/>
  <c r="M288" i="1"/>
  <c r="O288" i="1" s="1"/>
  <c r="M287" i="1"/>
  <c r="O287" i="1" s="1"/>
  <c r="M286" i="1"/>
  <c r="O286" i="1" s="1"/>
  <c r="M285" i="1"/>
  <c r="O285" i="1" s="1"/>
  <c r="M284" i="1"/>
  <c r="O284" i="1" s="1"/>
  <c r="M283" i="1"/>
  <c r="O283" i="1" s="1"/>
  <c r="M282" i="1"/>
  <c r="O282" i="1" s="1"/>
  <c r="M281" i="1"/>
  <c r="O281" i="1" s="1"/>
  <c r="M280" i="1"/>
  <c r="O280" i="1" s="1"/>
  <c r="M279" i="1"/>
  <c r="O279" i="1" s="1"/>
  <c r="M278" i="1"/>
  <c r="O278" i="1" s="1"/>
  <c r="M277" i="1"/>
  <c r="O277" i="1" s="1"/>
  <c r="M276" i="1"/>
  <c r="O276" i="1" s="1"/>
  <c r="M275" i="1"/>
  <c r="O275" i="1" s="1"/>
  <c r="M274" i="1"/>
  <c r="O274" i="1" s="1"/>
  <c r="M273" i="1"/>
  <c r="O273" i="1" s="1"/>
  <c r="M272" i="1"/>
  <c r="O272" i="1" s="1"/>
  <c r="M271" i="1"/>
  <c r="O271" i="1" s="1"/>
  <c r="M270" i="1"/>
  <c r="O270" i="1" s="1"/>
  <c r="M269" i="1"/>
  <c r="O269" i="1" s="1"/>
  <c r="M268" i="1"/>
  <c r="O268" i="1" s="1"/>
  <c r="M267" i="1"/>
  <c r="O267" i="1" s="1"/>
  <c r="M266" i="1"/>
  <c r="O266" i="1" s="1"/>
  <c r="M265" i="1"/>
  <c r="O265" i="1" s="1"/>
  <c r="M264" i="1"/>
  <c r="O264" i="1" s="1"/>
  <c r="M263" i="1"/>
  <c r="O263" i="1" s="1"/>
  <c r="M262" i="1"/>
  <c r="O262" i="1" s="1"/>
  <c r="M261" i="1"/>
  <c r="O261" i="1" s="1"/>
  <c r="M260" i="1"/>
  <c r="O260" i="1" s="1"/>
  <c r="M259" i="1"/>
  <c r="O259" i="1" s="1"/>
  <c r="M258" i="1"/>
  <c r="O258" i="1" s="1"/>
  <c r="M257" i="1"/>
  <c r="O257" i="1" s="1"/>
  <c r="M256" i="1"/>
  <c r="O256" i="1" s="1"/>
  <c r="M255" i="1"/>
  <c r="O255" i="1" s="1"/>
  <c r="M254" i="1"/>
  <c r="O254" i="1" s="1"/>
  <c r="M253" i="1"/>
  <c r="O253" i="1" s="1"/>
  <c r="M252" i="1"/>
  <c r="O252" i="1" s="1"/>
  <c r="M251" i="1"/>
  <c r="O251" i="1" s="1"/>
  <c r="M250" i="1"/>
  <c r="O250" i="1" s="1"/>
  <c r="M249" i="1"/>
  <c r="O249" i="1" s="1"/>
  <c r="M248" i="1"/>
  <c r="O248" i="1" s="1"/>
  <c r="M247" i="1"/>
  <c r="O247" i="1" s="1"/>
  <c r="M246" i="1"/>
  <c r="O246" i="1" s="1"/>
  <c r="M245" i="1"/>
  <c r="O245" i="1" s="1"/>
  <c r="M244" i="1"/>
  <c r="O244" i="1" s="1"/>
  <c r="M243" i="1"/>
  <c r="O243" i="1" s="1"/>
  <c r="M242" i="1"/>
  <c r="O242" i="1" s="1"/>
  <c r="M241" i="1"/>
  <c r="O241" i="1" s="1"/>
  <c r="M240" i="1"/>
  <c r="O240" i="1" s="1"/>
  <c r="M239" i="1"/>
  <c r="O239" i="1" s="1"/>
  <c r="M238" i="1"/>
  <c r="O238" i="1" s="1"/>
  <c r="M237" i="1"/>
  <c r="O237" i="1" s="1"/>
  <c r="M236" i="1"/>
  <c r="O236" i="1" s="1"/>
  <c r="M235" i="1"/>
  <c r="O235" i="1" s="1"/>
  <c r="M234" i="1"/>
  <c r="O234" i="1" s="1"/>
  <c r="M233" i="1"/>
  <c r="O233" i="1" s="1"/>
  <c r="M232" i="1"/>
  <c r="O232" i="1" s="1"/>
  <c r="M231" i="1"/>
  <c r="O231" i="1" s="1"/>
  <c r="M230" i="1"/>
  <c r="O230" i="1" s="1"/>
  <c r="M229" i="1"/>
  <c r="O229" i="1" s="1"/>
  <c r="M228" i="1"/>
  <c r="O228" i="1" s="1"/>
  <c r="M227" i="1"/>
  <c r="O227" i="1" s="1"/>
  <c r="M226" i="1"/>
  <c r="O226" i="1" s="1"/>
  <c r="M225" i="1"/>
  <c r="O225" i="1" s="1"/>
  <c r="M224" i="1"/>
  <c r="O224" i="1" s="1"/>
  <c r="M223" i="1"/>
  <c r="O223" i="1" s="1"/>
  <c r="M222" i="1"/>
  <c r="O222" i="1" s="1"/>
  <c r="M221" i="1"/>
  <c r="O221" i="1" s="1"/>
  <c r="M220" i="1"/>
  <c r="O220" i="1" s="1"/>
  <c r="M219" i="1"/>
  <c r="O219" i="1" s="1"/>
  <c r="M218" i="1"/>
  <c r="O218" i="1" s="1"/>
  <c r="M217" i="1"/>
  <c r="O217" i="1" s="1"/>
  <c r="M216" i="1"/>
  <c r="O216" i="1" s="1"/>
  <c r="M215" i="1"/>
  <c r="O215" i="1" s="1"/>
  <c r="M214" i="1"/>
  <c r="O214" i="1" s="1"/>
  <c r="M213" i="1"/>
  <c r="O213" i="1" s="1"/>
  <c r="M212" i="1"/>
  <c r="O212" i="1" s="1"/>
  <c r="M211" i="1"/>
  <c r="O211" i="1" s="1"/>
  <c r="M210" i="1"/>
  <c r="O210" i="1" s="1"/>
  <c r="M209" i="1"/>
  <c r="O209" i="1" s="1"/>
  <c r="M208" i="1"/>
  <c r="O208" i="1" s="1"/>
  <c r="M207" i="1"/>
  <c r="O207" i="1" s="1"/>
  <c r="M206" i="1"/>
  <c r="O206" i="1" s="1"/>
  <c r="M205" i="1"/>
  <c r="O205" i="1" s="1"/>
  <c r="M204" i="1"/>
  <c r="O204" i="1" s="1"/>
  <c r="M203" i="1"/>
  <c r="O203" i="1" s="1"/>
  <c r="M202" i="1"/>
  <c r="O202" i="1" s="1"/>
  <c r="M201" i="1"/>
  <c r="O201" i="1" s="1"/>
  <c r="M200" i="1"/>
  <c r="O200" i="1" s="1"/>
  <c r="M199" i="1"/>
  <c r="O199" i="1" s="1"/>
  <c r="M198" i="1"/>
  <c r="O198" i="1" s="1"/>
  <c r="M197" i="1"/>
  <c r="O197" i="1" s="1"/>
  <c r="M196" i="1"/>
  <c r="O196" i="1" s="1"/>
  <c r="M195" i="1"/>
  <c r="O195" i="1" s="1"/>
  <c r="M194" i="1"/>
  <c r="O194" i="1" s="1"/>
  <c r="M193" i="1"/>
  <c r="O193" i="1" s="1"/>
  <c r="M192" i="1"/>
  <c r="O192" i="1" s="1"/>
  <c r="M191" i="1"/>
  <c r="O191" i="1" s="1"/>
  <c r="M190" i="1"/>
  <c r="O190" i="1" s="1"/>
  <c r="M189" i="1"/>
  <c r="O189" i="1" s="1"/>
  <c r="M188" i="1"/>
  <c r="O188" i="1" s="1"/>
  <c r="M187" i="1"/>
  <c r="O187" i="1" s="1"/>
  <c r="M186" i="1"/>
  <c r="O186" i="1" s="1"/>
  <c r="M185" i="1"/>
  <c r="O185" i="1" s="1"/>
  <c r="M184" i="1"/>
  <c r="O184" i="1" s="1"/>
  <c r="M183" i="1"/>
  <c r="O183" i="1" s="1"/>
  <c r="M182" i="1"/>
  <c r="O182" i="1" s="1"/>
  <c r="M181" i="1"/>
  <c r="O181" i="1" s="1"/>
  <c r="M180" i="1"/>
  <c r="O180" i="1" s="1"/>
  <c r="M179" i="1"/>
  <c r="O179" i="1" s="1"/>
  <c r="M178" i="1"/>
  <c r="O178" i="1" s="1"/>
  <c r="M177" i="1"/>
  <c r="O177" i="1" s="1"/>
  <c r="M176" i="1"/>
  <c r="O176" i="1" s="1"/>
  <c r="M175" i="1"/>
  <c r="O175" i="1" s="1"/>
  <c r="M174" i="1"/>
  <c r="O174" i="1" s="1"/>
  <c r="M173" i="1"/>
  <c r="O173" i="1" s="1"/>
  <c r="M172" i="1"/>
  <c r="O172" i="1" s="1"/>
  <c r="M171" i="1"/>
  <c r="O171" i="1" s="1"/>
  <c r="M170" i="1"/>
  <c r="O170" i="1" s="1"/>
  <c r="M169" i="1"/>
  <c r="O169" i="1" s="1"/>
  <c r="M168" i="1"/>
  <c r="O168" i="1" s="1"/>
  <c r="M167" i="1"/>
  <c r="O167" i="1" s="1"/>
  <c r="M166" i="1"/>
  <c r="O166" i="1" s="1"/>
  <c r="M165" i="1"/>
  <c r="O165" i="1" s="1"/>
  <c r="M164" i="1"/>
  <c r="O164" i="1" s="1"/>
  <c r="M163" i="1"/>
  <c r="O163" i="1" s="1"/>
  <c r="M162" i="1"/>
  <c r="O162" i="1" s="1"/>
  <c r="M161" i="1"/>
  <c r="O161" i="1" s="1"/>
  <c r="M160" i="1"/>
  <c r="O160" i="1" s="1"/>
  <c r="M159" i="1"/>
  <c r="O159" i="1" s="1"/>
  <c r="M158" i="1"/>
  <c r="O158" i="1" s="1"/>
  <c r="M157" i="1"/>
  <c r="O157" i="1" s="1"/>
  <c r="M156" i="1"/>
  <c r="O156" i="1" s="1"/>
  <c r="M155" i="1"/>
  <c r="O155" i="1" s="1"/>
  <c r="M154" i="1"/>
  <c r="O154" i="1" s="1"/>
  <c r="M153" i="1"/>
  <c r="O153" i="1" s="1"/>
  <c r="M152" i="1"/>
  <c r="O152" i="1" s="1"/>
  <c r="M151" i="1"/>
  <c r="O151" i="1" s="1"/>
  <c r="M150" i="1"/>
  <c r="O150" i="1" s="1"/>
  <c r="M149" i="1"/>
  <c r="O149" i="1" s="1"/>
  <c r="M148" i="1"/>
  <c r="O148" i="1" s="1"/>
  <c r="M147" i="1"/>
  <c r="O147" i="1" s="1"/>
  <c r="M146" i="1"/>
  <c r="O146" i="1" s="1"/>
  <c r="M145" i="1"/>
  <c r="O145" i="1" s="1"/>
  <c r="M144" i="1"/>
  <c r="O144" i="1" s="1"/>
  <c r="M143" i="1"/>
  <c r="O143" i="1" s="1"/>
  <c r="M142" i="1"/>
  <c r="O142" i="1" s="1"/>
  <c r="M141" i="1"/>
  <c r="O141" i="1" s="1"/>
  <c r="M140" i="1"/>
  <c r="O140" i="1" s="1"/>
  <c r="M139" i="1"/>
  <c r="O139" i="1" s="1"/>
  <c r="M138" i="1"/>
  <c r="O138" i="1" s="1"/>
  <c r="M137" i="1"/>
  <c r="O137" i="1" s="1"/>
  <c r="M136" i="1"/>
  <c r="O136" i="1" s="1"/>
  <c r="M135" i="1"/>
  <c r="O135" i="1" s="1"/>
  <c r="M134" i="1"/>
  <c r="O134" i="1" s="1"/>
  <c r="M133" i="1"/>
  <c r="O133" i="1" s="1"/>
  <c r="M132" i="1"/>
  <c r="O132" i="1" s="1"/>
  <c r="M131" i="1"/>
  <c r="O131" i="1" s="1"/>
  <c r="M130" i="1"/>
  <c r="O130" i="1" s="1"/>
  <c r="M129" i="1"/>
  <c r="O129" i="1" s="1"/>
  <c r="M128" i="1"/>
  <c r="O128" i="1" s="1"/>
  <c r="M127" i="1"/>
  <c r="O127" i="1" s="1"/>
  <c r="M126" i="1"/>
  <c r="O126" i="1" s="1"/>
  <c r="M125" i="1"/>
  <c r="O125" i="1" s="1"/>
  <c r="M124" i="1"/>
  <c r="O124" i="1" s="1"/>
  <c r="M123" i="1"/>
  <c r="O123" i="1" s="1"/>
  <c r="M122" i="1"/>
  <c r="O122" i="1" s="1"/>
  <c r="M121" i="1"/>
  <c r="O121" i="1" s="1"/>
  <c r="M120" i="1"/>
  <c r="O120" i="1" s="1"/>
  <c r="M119" i="1"/>
  <c r="O119" i="1" s="1"/>
  <c r="M118" i="1"/>
  <c r="O118" i="1" s="1"/>
  <c r="M117" i="1"/>
  <c r="O117" i="1" s="1"/>
  <c r="M116" i="1"/>
  <c r="O116" i="1" s="1"/>
  <c r="M115" i="1"/>
  <c r="O115" i="1" s="1"/>
  <c r="M114" i="1"/>
  <c r="O114" i="1" s="1"/>
  <c r="M113" i="1"/>
  <c r="O113" i="1" s="1"/>
  <c r="M112" i="1"/>
  <c r="O112" i="1" s="1"/>
  <c r="M111" i="1"/>
  <c r="O111" i="1" s="1"/>
  <c r="M110" i="1"/>
  <c r="O110" i="1" s="1"/>
  <c r="M109" i="1"/>
  <c r="O109" i="1" s="1"/>
  <c r="M108" i="1"/>
  <c r="O108" i="1" s="1"/>
  <c r="M107" i="1"/>
  <c r="O107" i="1" s="1"/>
  <c r="M106" i="1"/>
  <c r="O106" i="1" s="1"/>
  <c r="M105" i="1"/>
  <c r="O105" i="1" s="1"/>
  <c r="M104" i="1"/>
  <c r="O104" i="1" s="1"/>
  <c r="M103" i="1"/>
  <c r="O103" i="1" s="1"/>
  <c r="M102" i="1"/>
  <c r="O102" i="1" s="1"/>
  <c r="M101" i="1"/>
  <c r="O101" i="1" s="1"/>
  <c r="M100" i="1"/>
  <c r="O100" i="1" s="1"/>
  <c r="M99" i="1"/>
  <c r="O99" i="1" s="1"/>
  <c r="M98" i="1"/>
  <c r="O98" i="1" s="1"/>
  <c r="M97" i="1"/>
  <c r="O97" i="1" s="1"/>
  <c r="M96" i="1"/>
  <c r="O96" i="1" s="1"/>
  <c r="M95" i="1"/>
  <c r="O95" i="1" s="1"/>
  <c r="M94" i="1"/>
  <c r="O94" i="1" s="1"/>
  <c r="M93" i="1"/>
  <c r="O93" i="1" s="1"/>
  <c r="M92" i="1"/>
  <c r="O92" i="1" s="1"/>
  <c r="M91" i="1"/>
  <c r="O91" i="1" s="1"/>
  <c r="M90" i="1"/>
  <c r="O90" i="1" s="1"/>
  <c r="M89" i="1"/>
  <c r="O89" i="1" s="1"/>
  <c r="M88" i="1"/>
  <c r="O88" i="1" s="1"/>
  <c r="M87" i="1"/>
  <c r="O87" i="1" s="1"/>
  <c r="M86" i="1"/>
  <c r="O86" i="1" s="1"/>
  <c r="M85" i="1"/>
  <c r="O85" i="1" s="1"/>
  <c r="M84" i="1"/>
  <c r="O84" i="1" s="1"/>
  <c r="M83" i="1"/>
  <c r="O83" i="1" s="1"/>
  <c r="M82" i="1"/>
  <c r="O82" i="1" s="1"/>
  <c r="M81" i="1"/>
  <c r="O81" i="1" s="1"/>
  <c r="M80" i="1"/>
  <c r="O80" i="1" s="1"/>
  <c r="M79" i="1"/>
  <c r="O79" i="1" s="1"/>
  <c r="M78" i="1"/>
  <c r="O78" i="1" s="1"/>
  <c r="M77" i="1"/>
  <c r="O77" i="1" s="1"/>
  <c r="M76" i="1"/>
  <c r="O76" i="1" s="1"/>
  <c r="M75" i="1"/>
  <c r="O75" i="1" s="1"/>
  <c r="M74" i="1"/>
  <c r="O74" i="1" s="1"/>
  <c r="M73" i="1"/>
  <c r="O73" i="1" s="1"/>
  <c r="M72" i="1"/>
  <c r="O72" i="1" s="1"/>
  <c r="M71" i="1"/>
  <c r="O71" i="1" s="1"/>
  <c r="M70" i="1"/>
  <c r="O70" i="1" s="1"/>
  <c r="M69" i="1"/>
  <c r="O69" i="1" s="1"/>
  <c r="M68" i="1"/>
  <c r="O68" i="1" s="1"/>
  <c r="M67" i="1"/>
  <c r="O67" i="1" s="1"/>
  <c r="M66" i="1"/>
  <c r="O66" i="1" s="1"/>
  <c r="M65" i="1"/>
  <c r="O65" i="1" s="1"/>
  <c r="M64" i="1"/>
  <c r="O64" i="1" s="1"/>
  <c r="M63" i="1"/>
  <c r="O63" i="1" s="1"/>
  <c r="M62" i="1"/>
  <c r="O62" i="1" s="1"/>
  <c r="M61" i="1"/>
  <c r="O61" i="1" s="1"/>
  <c r="M60" i="1"/>
  <c r="O60" i="1" s="1"/>
  <c r="M59" i="1"/>
  <c r="O59" i="1" s="1"/>
  <c r="M58" i="1"/>
  <c r="O58" i="1" s="1"/>
  <c r="M57" i="1"/>
  <c r="O57" i="1" s="1"/>
  <c r="M56" i="1"/>
  <c r="O56" i="1" s="1"/>
  <c r="M55" i="1"/>
  <c r="O55" i="1" s="1"/>
  <c r="M54" i="1"/>
  <c r="O54" i="1" s="1"/>
  <c r="M53" i="1"/>
  <c r="O53" i="1" s="1"/>
  <c r="M52" i="1"/>
  <c r="O52" i="1" s="1"/>
  <c r="M51" i="1"/>
  <c r="O51" i="1" s="1"/>
  <c r="M50" i="1"/>
  <c r="O50" i="1" s="1"/>
  <c r="M49" i="1"/>
  <c r="O49" i="1" s="1"/>
  <c r="M48" i="1"/>
  <c r="O48" i="1" s="1"/>
  <c r="M47" i="1"/>
  <c r="O47" i="1" s="1"/>
  <c r="M46" i="1"/>
  <c r="O46" i="1" s="1"/>
  <c r="M45" i="1"/>
  <c r="O45" i="1" s="1"/>
  <c r="M44" i="1"/>
  <c r="O44" i="1" s="1"/>
  <c r="M43" i="1"/>
  <c r="O43" i="1" s="1"/>
  <c r="M42" i="1"/>
  <c r="O42" i="1" s="1"/>
  <c r="M41" i="1"/>
  <c r="O41" i="1" s="1"/>
  <c r="M40" i="1"/>
  <c r="O40" i="1" s="1"/>
  <c r="M39" i="1"/>
  <c r="O39" i="1" s="1"/>
  <c r="M38" i="1"/>
  <c r="O38" i="1" s="1"/>
  <c r="M37" i="1"/>
  <c r="O37" i="1" s="1"/>
  <c r="M36" i="1"/>
  <c r="O36" i="1" s="1"/>
  <c r="M35" i="1"/>
  <c r="O35" i="1" s="1"/>
  <c r="M34" i="1"/>
  <c r="O34" i="1" s="1"/>
  <c r="M33" i="1"/>
  <c r="O33" i="1" s="1"/>
  <c r="M32" i="1"/>
  <c r="O32" i="1" s="1"/>
  <c r="M31" i="1"/>
  <c r="O31" i="1" s="1"/>
  <c r="M30" i="1"/>
  <c r="O30" i="1" s="1"/>
  <c r="M29" i="1"/>
  <c r="O29" i="1" s="1"/>
  <c r="M28" i="1"/>
  <c r="O28" i="1" s="1"/>
  <c r="M27" i="1"/>
  <c r="O27" i="1" s="1"/>
  <c r="M26" i="1"/>
  <c r="O26" i="1" s="1"/>
  <c r="M25" i="1"/>
  <c r="O25" i="1" s="1"/>
  <c r="M24" i="1"/>
  <c r="O24" i="1" s="1"/>
  <c r="M23" i="1"/>
  <c r="O23" i="1" s="1"/>
  <c r="M22" i="1"/>
  <c r="O22" i="1" s="1"/>
  <c r="M21" i="1"/>
  <c r="O21" i="1" s="1"/>
  <c r="M20" i="1"/>
  <c r="O20" i="1" s="1"/>
  <c r="M19" i="1"/>
  <c r="O19" i="1" s="1"/>
  <c r="M18" i="1"/>
  <c r="O18" i="1" s="1"/>
  <c r="M17" i="1"/>
  <c r="O17" i="1" s="1"/>
  <c r="M16" i="1"/>
  <c r="O16" i="1" s="1"/>
  <c r="M15" i="1"/>
  <c r="O15" i="1" s="1"/>
  <c r="M14" i="1"/>
  <c r="O14" i="1" s="1"/>
  <c r="M13" i="1"/>
  <c r="O13" i="1" s="1"/>
  <c r="M12" i="1"/>
  <c r="O12" i="1" s="1"/>
  <c r="M11" i="1"/>
  <c r="O11" i="1" s="1"/>
  <c r="M10" i="1"/>
  <c r="O10" i="1" s="1"/>
  <c r="M9" i="1"/>
  <c r="O9" i="1" s="1"/>
  <c r="M8" i="1"/>
  <c r="O8" i="1" s="1"/>
  <c r="M7" i="1"/>
  <c r="O7" i="1" s="1"/>
  <c r="M6" i="1"/>
  <c r="O6" i="1" s="1"/>
  <c r="M5" i="1"/>
  <c r="O5" i="1" s="1"/>
  <c r="M4" i="1"/>
  <c r="O4" i="1" s="1"/>
  <c r="M3" i="1"/>
  <c r="O3" i="1" s="1"/>
  <c r="M2" i="1"/>
  <c r="O2" i="1" s="1"/>
  <c r="E28" i="12"/>
  <c r="N28" i="12"/>
  <c r="H28" i="12"/>
  <c r="B28" i="12"/>
  <c r="K28" i="12"/>
  <c r="P1054" i="1" l="1"/>
  <c r="P1102" i="1"/>
  <c r="P2099" i="1"/>
  <c r="P1236" i="1"/>
  <c r="P2095" i="1"/>
  <c r="P2091" i="1"/>
  <c r="P2087" i="1"/>
  <c r="P2083" i="1"/>
  <c r="P2079" i="1"/>
  <c r="P2075" i="1"/>
  <c r="P2071" i="1"/>
  <c r="P2067" i="1"/>
  <c r="P2063" i="1"/>
  <c r="P2059" i="1"/>
  <c r="P2055" i="1"/>
  <c r="P2051" i="1"/>
  <c r="P2047" i="1"/>
  <c r="P2043" i="1"/>
  <c r="P2039" i="1"/>
  <c r="P2035" i="1"/>
  <c r="P2031" i="1"/>
  <c r="P2027" i="1"/>
  <c r="P2023" i="1"/>
  <c r="P2019" i="1"/>
  <c r="P2015" i="1"/>
  <c r="P2011" i="1"/>
  <c r="P2007" i="1"/>
  <c r="P2003" i="1"/>
  <c r="P1999" i="1"/>
  <c r="P1995" i="1"/>
  <c r="P1991" i="1"/>
  <c r="P1987" i="1"/>
  <c r="P1983" i="1"/>
  <c r="P1979" i="1"/>
  <c r="P1975" i="1"/>
  <c r="P1971" i="1"/>
  <c r="P1967" i="1"/>
  <c r="P1963" i="1"/>
  <c r="P1959" i="1"/>
  <c r="P1955" i="1"/>
  <c r="P1951" i="1"/>
  <c r="P1947" i="1"/>
  <c r="P1943" i="1"/>
  <c r="P1939" i="1"/>
  <c r="P1935" i="1"/>
  <c r="P1931" i="1"/>
  <c r="P1927" i="1"/>
  <c r="P1923" i="1"/>
  <c r="P1919" i="1"/>
  <c r="P1915" i="1"/>
  <c r="P1911" i="1"/>
  <c r="P1907" i="1"/>
  <c r="P1903" i="1"/>
  <c r="P1899" i="1"/>
  <c r="P1895" i="1"/>
  <c r="P1891" i="1"/>
  <c r="P1887" i="1"/>
  <c r="P1883" i="1"/>
  <c r="P1879" i="1"/>
  <c r="P1875" i="1"/>
  <c r="P1871" i="1"/>
  <c r="P1867" i="1"/>
  <c r="P1863" i="1"/>
  <c r="P1859" i="1"/>
  <c r="P1855" i="1"/>
  <c r="P1851" i="1"/>
  <c r="P1847" i="1"/>
  <c r="P1843" i="1"/>
  <c r="P1839" i="1"/>
  <c r="P1835" i="1"/>
  <c r="P1831" i="1"/>
  <c r="P1827" i="1"/>
  <c r="P1823" i="1"/>
  <c r="P1819" i="1"/>
  <c r="P1815" i="1"/>
  <c r="P1811" i="1"/>
  <c r="P1807" i="1"/>
  <c r="P1803" i="1"/>
  <c r="P1799" i="1"/>
  <c r="P1795" i="1"/>
  <c r="P1791" i="1"/>
  <c r="P1787" i="1"/>
  <c r="P1783" i="1"/>
  <c r="P1779" i="1"/>
  <c r="P1775" i="1"/>
  <c r="P1771" i="1"/>
  <c r="P1767" i="1"/>
  <c r="P1763" i="1"/>
  <c r="P1759" i="1"/>
  <c r="P1755" i="1"/>
  <c r="P1751" i="1"/>
  <c r="P1747" i="1"/>
  <c r="P1743" i="1"/>
  <c r="P1739" i="1"/>
  <c r="P1735" i="1"/>
  <c r="P1731" i="1"/>
  <c r="P1727" i="1"/>
  <c r="P1723" i="1"/>
  <c r="P1719" i="1"/>
  <c r="P1715" i="1"/>
  <c r="P1711" i="1"/>
  <c r="P1707" i="1"/>
  <c r="P1703" i="1"/>
  <c r="P1699" i="1"/>
  <c r="P1695" i="1"/>
  <c r="P1691" i="1"/>
  <c r="P1687" i="1"/>
  <c r="P1683" i="1"/>
  <c r="P1679" i="1"/>
  <c r="P1675" i="1"/>
  <c r="P1671" i="1"/>
  <c r="P1667" i="1"/>
  <c r="P1663" i="1"/>
  <c r="P1659" i="1"/>
  <c r="P1655" i="1"/>
  <c r="P1651" i="1"/>
  <c r="P1647" i="1"/>
  <c r="P1643" i="1"/>
  <c r="P1639" i="1"/>
  <c r="P1635" i="1"/>
  <c r="P1631" i="1"/>
  <c r="P1627" i="1"/>
  <c r="P1623" i="1"/>
  <c r="P1619" i="1"/>
  <c r="P1615" i="1"/>
  <c r="P1611" i="1"/>
  <c r="P1607" i="1"/>
  <c r="P1603" i="1"/>
  <c r="P1599" i="1"/>
  <c r="P1595" i="1"/>
  <c r="P1591" i="1"/>
  <c r="P1587" i="1"/>
  <c r="P1583" i="1"/>
  <c r="P1579" i="1"/>
  <c r="P1575" i="1"/>
  <c r="P1571" i="1"/>
  <c r="P1567" i="1"/>
  <c r="P1563" i="1"/>
  <c r="P1559" i="1"/>
  <c r="P1555" i="1"/>
  <c r="P1551" i="1"/>
  <c r="P1547" i="1"/>
  <c r="P1543" i="1"/>
  <c r="P1539" i="1"/>
  <c r="P1535" i="1"/>
  <c r="P1531" i="1"/>
  <c r="P1527" i="1"/>
  <c r="P1523" i="1"/>
  <c r="P1519" i="1"/>
  <c r="P1515" i="1"/>
  <c r="P1511" i="1"/>
  <c r="P1507" i="1"/>
  <c r="P1503" i="1"/>
  <c r="P1499" i="1"/>
  <c r="P1495" i="1"/>
  <c r="P1491" i="1"/>
  <c r="P1487" i="1"/>
  <c r="P1483" i="1"/>
  <c r="P1479" i="1"/>
  <c r="P1475" i="1"/>
  <c r="P1471" i="1"/>
  <c r="P1467" i="1"/>
  <c r="P1463" i="1"/>
  <c r="P1459" i="1"/>
  <c r="P1455" i="1"/>
  <c r="P1451" i="1"/>
  <c r="P1447" i="1"/>
  <c r="P1443" i="1"/>
  <c r="P1439" i="1"/>
  <c r="P1435" i="1"/>
  <c r="P1431" i="1"/>
  <c r="P1427" i="1"/>
  <c r="P1423" i="1"/>
  <c r="P1419" i="1"/>
  <c r="P1415" i="1"/>
  <c r="P1411" i="1"/>
  <c r="P1407" i="1"/>
  <c r="P1403" i="1"/>
  <c r="P1399" i="1"/>
  <c r="P1395" i="1"/>
  <c r="P1391" i="1"/>
  <c r="P1387" i="1"/>
  <c r="P1383" i="1"/>
  <c r="P1379" i="1"/>
  <c r="P1375" i="1"/>
  <c r="P1371" i="1"/>
  <c r="P1367" i="1"/>
  <c r="P1363" i="1"/>
  <c r="P1359" i="1"/>
  <c r="P1355" i="1"/>
  <c r="P2098" i="1"/>
  <c r="P2094" i="1"/>
  <c r="P2086" i="1"/>
  <c r="P2082" i="1"/>
  <c r="P2078" i="1"/>
  <c r="P2074" i="1"/>
  <c r="P2070" i="1"/>
  <c r="P2066" i="1"/>
  <c r="P2062" i="1"/>
  <c r="P2058" i="1"/>
  <c r="P2054" i="1"/>
  <c r="P2042" i="1"/>
  <c r="P2038" i="1"/>
  <c r="P2034" i="1"/>
  <c r="P2030" i="1"/>
  <c r="P2022" i="1"/>
  <c r="P2018" i="1"/>
  <c r="P2014" i="1"/>
  <c r="P2010" i="1"/>
  <c r="P2006" i="1"/>
  <c r="P2002" i="1"/>
  <c r="P1998" i="1"/>
  <c r="P1994" i="1"/>
  <c r="P1990" i="1"/>
  <c r="P1986" i="1"/>
  <c r="P1974" i="1"/>
  <c r="P1970" i="1"/>
  <c r="P1966" i="1"/>
  <c r="P1958" i="1"/>
  <c r="P1954" i="1"/>
  <c r="P1950" i="1"/>
  <c r="P1946" i="1"/>
  <c r="P1942" i="1"/>
  <c r="P1938" i="1"/>
  <c r="P1934" i="1"/>
  <c r="P1930" i="1"/>
  <c r="P1926" i="1"/>
  <c r="P1922" i="1"/>
  <c r="P1914" i="1"/>
  <c r="P1910" i="1"/>
  <c r="P1351" i="1"/>
  <c r="P1347" i="1"/>
  <c r="P1343" i="1"/>
  <c r="P1339" i="1"/>
  <c r="P1335" i="1"/>
  <c r="P1331" i="1"/>
  <c r="P1327" i="1"/>
  <c r="P1323" i="1"/>
  <c r="P1319" i="1"/>
  <c r="P1315" i="1"/>
  <c r="P1311" i="1"/>
  <c r="P1307" i="1"/>
  <c r="P1303" i="1"/>
  <c r="P1299" i="1"/>
  <c r="P1295" i="1"/>
  <c r="P1291" i="1"/>
  <c r="P1287" i="1"/>
  <c r="P1283" i="1"/>
  <c r="P1279" i="1"/>
  <c r="P1275" i="1"/>
  <c r="P1271" i="1"/>
  <c r="P1267" i="1"/>
  <c r="P1263" i="1"/>
  <c r="P1259" i="1"/>
  <c r="P1255" i="1"/>
  <c r="P1251" i="1"/>
  <c r="P1247" i="1"/>
  <c r="P1243" i="1"/>
  <c r="P1239" i="1"/>
  <c r="P1235" i="1"/>
  <c r="P1231" i="1"/>
  <c r="P1227" i="1"/>
  <c r="P1223" i="1"/>
  <c r="P1219" i="1"/>
  <c r="P1215" i="1"/>
  <c r="P1211" i="1"/>
  <c r="P1207" i="1"/>
  <c r="P1203" i="1"/>
  <c r="P1199" i="1"/>
  <c r="P1195" i="1"/>
  <c r="P1191" i="1"/>
  <c r="P1187" i="1"/>
  <c r="P1183" i="1"/>
  <c r="P1179" i="1"/>
  <c r="P1175" i="1"/>
  <c r="P1171" i="1"/>
  <c r="P1167" i="1"/>
  <c r="P1163" i="1"/>
  <c r="P1159" i="1"/>
  <c r="P1155" i="1"/>
  <c r="P1151" i="1"/>
  <c r="P1147" i="1"/>
  <c r="P1143" i="1"/>
  <c r="P1139" i="1"/>
  <c r="P1135" i="1"/>
  <c r="P1131" i="1"/>
  <c r="P1127" i="1"/>
  <c r="P1123" i="1"/>
  <c r="P1119" i="1"/>
  <c r="P1115" i="1"/>
  <c r="P1111" i="1"/>
  <c r="P1107" i="1"/>
  <c r="P1103" i="1"/>
  <c r="P1099" i="1"/>
  <c r="P1095" i="1"/>
  <c r="P1091" i="1"/>
  <c r="P1087" i="1"/>
  <c r="P1083" i="1"/>
  <c r="P1079" i="1"/>
  <c r="P1075" i="1"/>
  <c r="P1071" i="1"/>
  <c r="P1067" i="1"/>
  <c r="P1063" i="1"/>
  <c r="P1059" i="1"/>
  <c r="P1055" i="1"/>
  <c r="P1051" i="1"/>
  <c r="P1047" i="1"/>
  <c r="P1043" i="1"/>
  <c r="P1039" i="1"/>
  <c r="P1035" i="1"/>
  <c r="P1031" i="1"/>
  <c r="P1027" i="1"/>
  <c r="P1023" i="1"/>
  <c r="P1019" i="1"/>
  <c r="P1015" i="1"/>
  <c r="P1011" i="1"/>
  <c r="P1007" i="1"/>
  <c r="P1003" i="1"/>
  <c r="P999" i="1"/>
  <c r="P995" i="1"/>
  <c r="P991" i="1"/>
  <c r="P987" i="1"/>
  <c r="P983" i="1"/>
  <c r="P979" i="1"/>
  <c r="P975" i="1"/>
  <c r="P971" i="1"/>
  <c r="P967" i="1"/>
  <c r="P963" i="1"/>
  <c r="P959" i="1"/>
  <c r="P955" i="1"/>
  <c r="P951" i="1"/>
  <c r="P947" i="1"/>
  <c r="P943" i="1"/>
  <c r="P939" i="1"/>
  <c r="P935" i="1"/>
  <c r="P931" i="1"/>
  <c r="P927" i="1"/>
  <c r="P923" i="1"/>
  <c r="P919" i="1"/>
  <c r="P915" i="1"/>
  <c r="P911" i="1"/>
  <c r="P907" i="1"/>
  <c r="P903" i="1"/>
  <c r="P899" i="1"/>
  <c r="P895" i="1"/>
  <c r="P891" i="1"/>
  <c r="P887" i="1"/>
  <c r="P883" i="1"/>
  <c r="P879" i="1"/>
  <c r="P875" i="1"/>
  <c r="P871" i="1"/>
  <c r="P867" i="1"/>
  <c r="P863" i="1"/>
  <c r="P859" i="1"/>
  <c r="P855" i="1"/>
  <c r="P851" i="1"/>
  <c r="P847" i="1"/>
  <c r="P843" i="1"/>
  <c r="P839" i="1"/>
  <c r="P835" i="1"/>
  <c r="P831" i="1"/>
  <c r="P827" i="1"/>
  <c r="P823" i="1"/>
  <c r="P819" i="1"/>
  <c r="P815" i="1"/>
  <c r="P811" i="1"/>
  <c r="P807" i="1"/>
  <c r="P803" i="1"/>
  <c r="P799" i="1"/>
  <c r="P795" i="1"/>
  <c r="P791" i="1"/>
  <c r="P787" i="1"/>
  <c r="P783" i="1"/>
  <c r="P779" i="1"/>
  <c r="P775" i="1"/>
  <c r="P771" i="1"/>
  <c r="P767" i="1"/>
  <c r="P763" i="1"/>
  <c r="P759" i="1"/>
  <c r="P755" i="1"/>
  <c r="P751" i="1"/>
  <c r="P747" i="1"/>
  <c r="P743" i="1"/>
  <c r="P739" i="1"/>
  <c r="P735" i="1"/>
  <c r="P731" i="1"/>
  <c r="P727" i="1"/>
  <c r="P723" i="1"/>
  <c r="P719" i="1"/>
  <c r="P715" i="1"/>
  <c r="P711" i="1"/>
  <c r="P707" i="1"/>
  <c r="P703" i="1"/>
  <c r="P699" i="1"/>
  <c r="P695" i="1"/>
  <c r="P691" i="1"/>
  <c r="P687" i="1"/>
  <c r="P683" i="1"/>
  <c r="P679" i="1"/>
  <c r="P675" i="1"/>
  <c r="P671" i="1"/>
  <c r="P667" i="1"/>
  <c r="P663" i="1"/>
  <c r="P659" i="1"/>
  <c r="P655" i="1"/>
  <c r="P651" i="1"/>
  <c r="P647" i="1"/>
  <c r="P643" i="1"/>
  <c r="P639" i="1"/>
  <c r="P635" i="1"/>
  <c r="P631" i="1"/>
  <c r="P627" i="1"/>
  <c r="P623" i="1"/>
  <c r="P619" i="1"/>
  <c r="P615" i="1"/>
  <c r="P611" i="1"/>
  <c r="P607" i="1"/>
  <c r="P603" i="1"/>
  <c r="P599" i="1"/>
  <c r="P595" i="1"/>
  <c r="P591" i="1"/>
  <c r="P587" i="1"/>
  <c r="P583" i="1"/>
  <c r="P579" i="1"/>
  <c r="P575" i="1"/>
  <c r="P571" i="1"/>
  <c r="P567" i="1"/>
  <c r="P563" i="1"/>
  <c r="P559" i="1"/>
  <c r="P555" i="1"/>
  <c r="P551" i="1"/>
  <c r="P547" i="1"/>
  <c r="P543" i="1"/>
  <c r="P539" i="1"/>
  <c r="P535" i="1"/>
  <c r="P531" i="1"/>
  <c r="P527" i="1"/>
  <c r="P523" i="1"/>
  <c r="P519" i="1"/>
  <c r="P515" i="1"/>
  <c r="P511" i="1"/>
  <c r="P507" i="1"/>
  <c r="P503" i="1"/>
  <c r="P499" i="1"/>
  <c r="P495" i="1"/>
  <c r="P491" i="1"/>
  <c r="P487" i="1"/>
  <c r="P483" i="1"/>
  <c r="P479" i="1"/>
  <c r="P475" i="1"/>
  <c r="P471" i="1"/>
  <c r="P467" i="1"/>
  <c r="P463" i="1"/>
  <c r="P459" i="1"/>
  <c r="P455" i="1"/>
  <c r="P451" i="1"/>
  <c r="P447" i="1"/>
  <c r="P443" i="1"/>
  <c r="P439" i="1"/>
  <c r="P435" i="1"/>
  <c r="P431" i="1"/>
  <c r="P427" i="1"/>
  <c r="P423" i="1"/>
  <c r="P419" i="1"/>
  <c r="P415" i="1"/>
  <c r="P411" i="1"/>
  <c r="P407" i="1"/>
  <c r="P403" i="1"/>
  <c r="P399" i="1"/>
  <c r="P395" i="1"/>
  <c r="P391" i="1"/>
  <c r="P387" i="1"/>
  <c r="P383" i="1"/>
  <c r="P379" i="1"/>
  <c r="P375" i="1"/>
  <c r="P371" i="1"/>
  <c r="P367" i="1"/>
  <c r="P363" i="1"/>
  <c r="P359" i="1"/>
  <c r="P355" i="1"/>
  <c r="P351" i="1"/>
  <c r="P347" i="1"/>
  <c r="P2050" i="1"/>
  <c r="P1978" i="1"/>
  <c r="P1906" i="1"/>
  <c r="P1902" i="1"/>
  <c r="P1894" i="1"/>
  <c r="P1890" i="1"/>
  <c r="P1886" i="1"/>
  <c r="P1882" i="1"/>
  <c r="P1878" i="1"/>
  <c r="P1874" i="1"/>
  <c r="P1858" i="1"/>
  <c r="P1842" i="1"/>
  <c r="P1826" i="1"/>
  <c r="P1810" i="1"/>
  <c r="P1794" i="1"/>
  <c r="P1778" i="1"/>
  <c r="P1762" i="1"/>
  <c r="P1746" i="1"/>
  <c r="P1730" i="1"/>
  <c r="P1714" i="1"/>
  <c r="P1698" i="1"/>
  <c r="P1682" i="1"/>
  <c r="P1666" i="1"/>
  <c r="P1650" i="1"/>
  <c r="P1634" i="1"/>
  <c r="P1618" i="1"/>
  <c r="P1602" i="1"/>
  <c r="P1586" i="1"/>
  <c r="P1570" i="1"/>
  <c r="P343" i="1"/>
  <c r="P339" i="1"/>
  <c r="P335" i="1"/>
  <c r="P331" i="1"/>
  <c r="P327" i="1"/>
  <c r="P323" i="1"/>
  <c r="P319" i="1"/>
  <c r="P315" i="1"/>
  <c r="P311" i="1"/>
  <c r="P307" i="1"/>
  <c r="P303" i="1"/>
  <c r="P299" i="1"/>
  <c r="P295" i="1"/>
  <c r="P291" i="1"/>
  <c r="P287" i="1"/>
  <c r="P283" i="1"/>
  <c r="P279" i="1"/>
  <c r="P275" i="1"/>
  <c r="P271" i="1"/>
  <c r="P267" i="1"/>
  <c r="P263" i="1"/>
  <c r="P259" i="1"/>
  <c r="P255" i="1"/>
  <c r="P251" i="1"/>
  <c r="P247" i="1"/>
  <c r="P243" i="1"/>
  <c r="P239" i="1"/>
  <c r="P235" i="1"/>
  <c r="P231" i="1"/>
  <c r="P227" i="1"/>
  <c r="P223" i="1"/>
  <c r="P219" i="1"/>
  <c r="P215" i="1"/>
  <c r="P211" i="1"/>
  <c r="P207" i="1"/>
  <c r="P203" i="1"/>
  <c r="P199" i="1"/>
  <c r="P195" i="1"/>
  <c r="P191" i="1"/>
  <c r="P187" i="1"/>
  <c r="P183" i="1"/>
  <c r="P179" i="1"/>
  <c r="P175" i="1"/>
  <c r="P171" i="1"/>
  <c r="P167" i="1"/>
  <c r="P163" i="1"/>
  <c r="P159" i="1"/>
  <c r="P155" i="1"/>
  <c r="P151" i="1"/>
  <c r="P147" i="1"/>
  <c r="P143" i="1"/>
  <c r="P139" i="1"/>
  <c r="P135" i="1"/>
  <c r="P131" i="1"/>
  <c r="P127" i="1"/>
  <c r="P123" i="1"/>
  <c r="P119" i="1"/>
  <c r="P115" i="1"/>
  <c r="P111" i="1"/>
  <c r="P107" i="1"/>
  <c r="P103" i="1"/>
  <c r="P99" i="1"/>
  <c r="P95" i="1"/>
  <c r="P91" i="1"/>
  <c r="P87" i="1"/>
  <c r="P83" i="1"/>
  <c r="P79" i="1"/>
  <c r="P75" i="1"/>
  <c r="P71" i="1"/>
  <c r="P67" i="1"/>
  <c r="P63" i="1"/>
  <c r="P59" i="1"/>
  <c r="P55" i="1"/>
  <c r="P51" i="1"/>
  <c r="P47" i="1"/>
  <c r="P43" i="1"/>
  <c r="P39" i="1"/>
  <c r="P35" i="1"/>
  <c r="P31" i="1"/>
  <c r="P27" i="1"/>
  <c r="P23" i="1"/>
  <c r="P19" i="1"/>
  <c r="P15" i="1"/>
  <c r="P11" i="1"/>
  <c r="P7" i="1"/>
  <c r="P3" i="1"/>
  <c r="P1554" i="1"/>
  <c r="P1538" i="1"/>
  <c r="P1522" i="1"/>
  <c r="P1506" i="1"/>
  <c r="P1490" i="1"/>
  <c r="P1474" i="1"/>
  <c r="P1462" i="1"/>
  <c r="P1458" i="1"/>
  <c r="P1454" i="1"/>
  <c r="P1450" i="1"/>
  <c r="P1446" i="1"/>
  <c r="P1442" i="1"/>
  <c r="P1438" i="1"/>
  <c r="P1434" i="1"/>
  <c r="P1430" i="1"/>
  <c r="P1426" i="1"/>
  <c r="P1422" i="1"/>
  <c r="P1418" i="1"/>
  <c r="P1414" i="1"/>
  <c r="P1410" i="1"/>
  <c r="P1406" i="1"/>
  <c r="P1402" i="1"/>
  <c r="P1398" i="1"/>
  <c r="P1394" i="1"/>
  <c r="P1390" i="1"/>
  <c r="P1386" i="1"/>
  <c r="P1382" i="1"/>
  <c r="P1378" i="1"/>
  <c r="P1374" i="1"/>
  <c r="P1370" i="1"/>
  <c r="P1366" i="1"/>
  <c r="P1362" i="1"/>
  <c r="P1358" i="1"/>
  <c r="P1354" i="1"/>
  <c r="P1350" i="1"/>
  <c r="P1346" i="1"/>
  <c r="P1342" i="1"/>
  <c r="P1338" i="1"/>
  <c r="P1334" i="1"/>
  <c r="P1330" i="1"/>
  <c r="P1326" i="1"/>
  <c r="P1322" i="1"/>
  <c r="P1318" i="1"/>
  <c r="P1314" i="1"/>
  <c r="P1310" i="1"/>
  <c r="P1306" i="1"/>
  <c r="P1302" i="1"/>
  <c r="P1298" i="1"/>
  <c r="P1294" i="1"/>
  <c r="P1290" i="1"/>
  <c r="P1286" i="1"/>
  <c r="P1282" i="1"/>
  <c r="P1278" i="1"/>
  <c r="P1274" i="1"/>
  <c r="P1270" i="1"/>
  <c r="P1266" i="1"/>
  <c r="P1262" i="1"/>
  <c r="P1258" i="1"/>
  <c r="P1254" i="1"/>
  <c r="P1250" i="1"/>
  <c r="P1246" i="1"/>
  <c r="P1242" i="1"/>
  <c r="P1238" i="1"/>
  <c r="P1234" i="1"/>
  <c r="P1230" i="1"/>
  <c r="P1226" i="1"/>
  <c r="P1222" i="1"/>
  <c r="P1218" i="1"/>
  <c r="P1214" i="1"/>
  <c r="P1210" i="1"/>
  <c r="P130" i="1"/>
  <c r="P1206" i="1"/>
  <c r="P1202" i="1"/>
  <c r="P1198" i="1"/>
  <c r="P1194" i="1"/>
  <c r="P1190" i="1"/>
  <c r="P1186" i="1"/>
  <c r="P1182" i="1"/>
  <c r="P1178" i="1"/>
  <c r="P1174" i="1"/>
  <c r="P1170" i="1"/>
  <c r="P1166" i="1"/>
  <c r="P1162" i="1"/>
  <c r="P1158" i="1"/>
  <c r="P1154" i="1"/>
  <c r="P1150" i="1"/>
  <c r="P1146" i="1"/>
  <c r="P1142" i="1"/>
  <c r="P1138" i="1"/>
  <c r="P1134" i="1"/>
  <c r="P1130" i="1"/>
  <c r="P1126" i="1"/>
  <c r="P1122" i="1"/>
  <c r="P1118" i="1"/>
  <c r="P1114" i="1"/>
  <c r="P1110" i="1"/>
  <c r="P1106" i="1"/>
  <c r="P1098" i="1"/>
  <c r="P1094" i="1"/>
  <c r="P1070" i="1"/>
  <c r="P1022" i="1"/>
  <c r="P362" i="1"/>
  <c r="P1172" i="1"/>
  <c r="P2046" i="1"/>
  <c r="P1982" i="1"/>
  <c r="P1918" i="1"/>
  <c r="P2090" i="1"/>
  <c r="P2026" i="1"/>
  <c r="P1962" i="1"/>
  <c r="P1898" i="1"/>
  <c r="P2096" i="1"/>
  <c r="P2092" i="1"/>
  <c r="P2088" i="1"/>
  <c r="P2084" i="1"/>
  <c r="P2080" i="1"/>
  <c r="P2076" i="1"/>
  <c r="P2072" i="1"/>
  <c r="P2068" i="1"/>
  <c r="P2064" i="1"/>
  <c r="P2060" i="1"/>
  <c r="P2056" i="1"/>
  <c r="P2052" i="1"/>
  <c r="P2048" i="1"/>
  <c r="P2044" i="1"/>
  <c r="P2040" i="1"/>
  <c r="P2036" i="1"/>
  <c r="P2032" i="1"/>
  <c r="P2028" i="1"/>
  <c r="P2024" i="1"/>
  <c r="P2020" i="1"/>
  <c r="P2016" i="1"/>
  <c r="P2012" i="1"/>
  <c r="P2008" i="1"/>
  <c r="P2004" i="1"/>
  <c r="P2000" i="1"/>
  <c r="P1996" i="1"/>
  <c r="P1992" i="1"/>
  <c r="P1988" i="1"/>
  <c r="P1984" i="1"/>
  <c r="P1980" i="1"/>
  <c r="P1976" i="1"/>
  <c r="P1972" i="1"/>
  <c r="P1968" i="1"/>
  <c r="P1964" i="1"/>
  <c r="P1960" i="1"/>
  <c r="P1956" i="1"/>
  <c r="P1952" i="1"/>
  <c r="P1948" i="1"/>
  <c r="P1944" i="1"/>
  <c r="P1940" i="1"/>
  <c r="P1936" i="1"/>
  <c r="P1932" i="1"/>
  <c r="P1928" i="1"/>
  <c r="P1924" i="1"/>
  <c r="P1920" i="1"/>
  <c r="P1916" i="1"/>
  <c r="P1912" i="1"/>
  <c r="P1908" i="1"/>
  <c r="P1904" i="1"/>
  <c r="P1900" i="1"/>
  <c r="P1896" i="1"/>
  <c r="P1892" i="1"/>
  <c r="P1888" i="1"/>
  <c r="P1884" i="1"/>
  <c r="P1880" i="1"/>
  <c r="P1876" i="1"/>
  <c r="P1872" i="1"/>
  <c r="P1868" i="1"/>
  <c r="P1864" i="1"/>
  <c r="P1860" i="1"/>
  <c r="P1856" i="1"/>
  <c r="P1852" i="1"/>
  <c r="P1848" i="1"/>
  <c r="P1844" i="1"/>
  <c r="P1840" i="1"/>
  <c r="P1836" i="1"/>
  <c r="P1832" i="1"/>
  <c r="P1828" i="1"/>
  <c r="P1824" i="1"/>
  <c r="P1820" i="1"/>
  <c r="P1816" i="1"/>
  <c r="P1812" i="1"/>
  <c r="P1808" i="1"/>
  <c r="P1804" i="1"/>
  <c r="P1800" i="1"/>
  <c r="P1796" i="1"/>
  <c r="P1792" i="1"/>
  <c r="P1788" i="1"/>
  <c r="P1784" i="1"/>
  <c r="P1780" i="1"/>
  <c r="P1776" i="1"/>
  <c r="P1772" i="1"/>
  <c r="P1768" i="1"/>
  <c r="P1764" i="1"/>
  <c r="P1760" i="1"/>
  <c r="P1756" i="1"/>
  <c r="P1752" i="1"/>
  <c r="P1748" i="1"/>
  <c r="P1744" i="1"/>
  <c r="P1740" i="1"/>
  <c r="P1736" i="1"/>
  <c r="P1732" i="1"/>
  <c r="P1728" i="1"/>
  <c r="P1724" i="1"/>
  <c r="P1720" i="1"/>
  <c r="P1716" i="1"/>
  <c r="P1712" i="1"/>
  <c r="P1708" i="1"/>
  <c r="P1704" i="1"/>
  <c r="P1700" i="1"/>
  <c r="P1696" i="1"/>
  <c r="P1692" i="1"/>
  <c r="P1688" i="1"/>
  <c r="P1684" i="1"/>
  <c r="P1680" i="1"/>
  <c r="P1676" i="1"/>
  <c r="P1672" i="1"/>
  <c r="P1668" i="1"/>
  <c r="P1664" i="1"/>
  <c r="P1660" i="1"/>
  <c r="P1656" i="1"/>
  <c r="P1652" i="1"/>
  <c r="P1648" i="1"/>
  <c r="P1644" i="1"/>
  <c r="P1640" i="1"/>
  <c r="P1636" i="1"/>
  <c r="P1632" i="1"/>
  <c r="P1628" i="1"/>
  <c r="P1624" i="1"/>
  <c r="P1620" i="1"/>
  <c r="P1616" i="1"/>
  <c r="P1612" i="1"/>
  <c r="P1608" i="1"/>
  <c r="P1604" i="1"/>
  <c r="P1600" i="1"/>
  <c r="P1596" i="1"/>
  <c r="P1592" i="1"/>
  <c r="P1588" i="1"/>
  <c r="P1584" i="1"/>
  <c r="P1580" i="1"/>
  <c r="P1576" i="1"/>
  <c r="P1572" i="1"/>
  <c r="P1568" i="1"/>
  <c r="P1564" i="1"/>
  <c r="P1560" i="1"/>
  <c r="P1556" i="1"/>
  <c r="P1552" i="1"/>
  <c r="P1548" i="1"/>
  <c r="P1544" i="1"/>
  <c r="P1540" i="1"/>
  <c r="P1536" i="1"/>
  <c r="P1532" i="1"/>
  <c r="P1528" i="1"/>
  <c r="P1524" i="1"/>
  <c r="P1520" i="1"/>
  <c r="P1516" i="1"/>
  <c r="P1512" i="1"/>
  <c r="P1508" i="1"/>
  <c r="P1504" i="1"/>
  <c r="P1500" i="1"/>
  <c r="P1496" i="1"/>
  <c r="P1492" i="1"/>
  <c r="P1488" i="1"/>
  <c r="P1484" i="1"/>
  <c r="P1480" i="1"/>
  <c r="P1476" i="1"/>
  <c r="P1472" i="1"/>
  <c r="P1468" i="1"/>
  <c r="P1464" i="1"/>
  <c r="P1460" i="1"/>
  <c r="P1456" i="1"/>
  <c r="P1452" i="1"/>
  <c r="P1448" i="1"/>
  <c r="P1444" i="1"/>
  <c r="P1440" i="1"/>
  <c r="P1436" i="1"/>
  <c r="P1432" i="1"/>
  <c r="P1428" i="1"/>
  <c r="P1424" i="1"/>
  <c r="P1420" i="1"/>
  <c r="P1416" i="1"/>
  <c r="P1412" i="1"/>
  <c r="P1408" i="1"/>
  <c r="P1404" i="1"/>
  <c r="P1400" i="1"/>
  <c r="P1396" i="1"/>
  <c r="P1392" i="1"/>
  <c r="P1388" i="1"/>
  <c r="P1384" i="1"/>
  <c r="P1380" i="1"/>
  <c r="P1376" i="1"/>
  <c r="P1372" i="1"/>
  <c r="P1368" i="1"/>
  <c r="P1364" i="1"/>
  <c r="P1360" i="1"/>
  <c r="P1356" i="1"/>
  <c r="P1352" i="1"/>
  <c r="P1348" i="1"/>
  <c r="P1344" i="1"/>
  <c r="P1340" i="1"/>
  <c r="P1336" i="1"/>
  <c r="P1332" i="1"/>
  <c r="P1328" i="1"/>
  <c r="P1324" i="1"/>
  <c r="P1320" i="1"/>
  <c r="P1316" i="1"/>
  <c r="P1312" i="1"/>
  <c r="P1308" i="1"/>
  <c r="P1304" i="1"/>
  <c r="P1300" i="1"/>
  <c r="P1296" i="1"/>
  <c r="P1292" i="1"/>
  <c r="P1288" i="1"/>
  <c r="P1284" i="1"/>
  <c r="P1280" i="1"/>
  <c r="P1276" i="1"/>
  <c r="P1272" i="1"/>
  <c r="P1268" i="1"/>
  <c r="P1264" i="1"/>
  <c r="P1260" i="1"/>
  <c r="P1256" i="1"/>
  <c r="P1252" i="1"/>
  <c r="P1248" i="1"/>
  <c r="P1244" i="1"/>
  <c r="P1240" i="1"/>
  <c r="P1232" i="1"/>
  <c r="P1228" i="1"/>
  <c r="P1224" i="1"/>
  <c r="P1220" i="1"/>
  <c r="P1216" i="1"/>
  <c r="P1212" i="1"/>
  <c r="P1208" i="1"/>
  <c r="P1204" i="1"/>
  <c r="P1200" i="1"/>
  <c r="P1196" i="1"/>
  <c r="P1192" i="1"/>
  <c r="P1188" i="1"/>
  <c r="P1184" i="1"/>
  <c r="P1180" i="1"/>
  <c r="P1176" i="1"/>
  <c r="P1168" i="1"/>
  <c r="P1164" i="1"/>
  <c r="P1160" i="1"/>
  <c r="P1156" i="1"/>
  <c r="P1152" i="1"/>
  <c r="P1148" i="1"/>
  <c r="P1144" i="1"/>
  <c r="P1140" i="1"/>
  <c r="P1136" i="1"/>
  <c r="P1132" i="1"/>
  <c r="P1128" i="1"/>
  <c r="P1124" i="1"/>
  <c r="P1120" i="1"/>
  <c r="P1116" i="1"/>
  <c r="P1112" i="1"/>
  <c r="P1108" i="1"/>
  <c r="P1104" i="1"/>
  <c r="P1100" i="1"/>
  <c r="P1096" i="1"/>
  <c r="P1092" i="1"/>
  <c r="P1088" i="1"/>
  <c r="P1084" i="1"/>
  <c r="P1080" i="1"/>
  <c r="P1076" i="1"/>
  <c r="P1072" i="1"/>
  <c r="P1068" i="1"/>
  <c r="P1064" i="1"/>
  <c r="P1060" i="1"/>
  <c r="P1056" i="1"/>
  <c r="P1052" i="1"/>
  <c r="P1048" i="1"/>
  <c r="P1044" i="1"/>
  <c r="P1040" i="1"/>
  <c r="P1036" i="1"/>
  <c r="P1032" i="1"/>
  <c r="P1028" i="1"/>
  <c r="P1024" i="1"/>
  <c r="P1020" i="1"/>
  <c r="P1016" i="1"/>
  <c r="P1012" i="1"/>
  <c r="P1008" i="1"/>
  <c r="P1004" i="1"/>
  <c r="P1000" i="1"/>
  <c r="P996" i="1"/>
  <c r="P992" i="1"/>
  <c r="P988" i="1"/>
  <c r="P984" i="1"/>
  <c r="P980" i="1"/>
  <c r="P976" i="1"/>
  <c r="P972" i="1"/>
  <c r="P968" i="1"/>
  <c r="P964" i="1"/>
  <c r="P960" i="1"/>
  <c r="P956" i="1"/>
  <c r="P952" i="1"/>
  <c r="P948" i="1"/>
  <c r="P944" i="1"/>
  <c r="P940" i="1"/>
  <c r="P936" i="1"/>
  <c r="P932" i="1"/>
  <c r="P928" i="1"/>
  <c r="P924" i="1"/>
  <c r="P920" i="1"/>
  <c r="P916" i="1"/>
  <c r="P912" i="1"/>
  <c r="P908" i="1"/>
  <c r="P904" i="1"/>
  <c r="P900" i="1"/>
  <c r="P896" i="1"/>
  <c r="P892" i="1"/>
  <c r="P888" i="1"/>
  <c r="P884" i="1"/>
  <c r="P880" i="1"/>
  <c r="P876" i="1"/>
  <c r="P872" i="1"/>
  <c r="P868" i="1"/>
  <c r="P864" i="1"/>
  <c r="P860" i="1"/>
  <c r="P856" i="1"/>
  <c r="P852" i="1"/>
  <c r="P848" i="1"/>
  <c r="P844" i="1"/>
  <c r="P840" i="1"/>
  <c r="P836" i="1"/>
  <c r="P832" i="1"/>
  <c r="P828" i="1"/>
  <c r="P824" i="1"/>
  <c r="P820" i="1"/>
  <c r="P816" i="1"/>
  <c r="P812" i="1"/>
  <c r="P808" i="1"/>
  <c r="P804" i="1"/>
  <c r="P800" i="1"/>
  <c r="P796" i="1"/>
  <c r="P792" i="1"/>
  <c r="P788" i="1"/>
  <c r="P784" i="1"/>
  <c r="P780" i="1"/>
  <c r="P776" i="1"/>
  <c r="P772" i="1"/>
  <c r="P768" i="1"/>
  <c r="P764" i="1"/>
  <c r="P760" i="1"/>
  <c r="P756" i="1"/>
  <c r="P752" i="1"/>
  <c r="P748" i="1"/>
  <c r="P744" i="1"/>
  <c r="P740" i="1"/>
  <c r="P736" i="1"/>
  <c r="P732" i="1"/>
  <c r="P728" i="1"/>
  <c r="P724" i="1"/>
  <c r="P720" i="1"/>
  <c r="P716" i="1"/>
  <c r="P712" i="1"/>
  <c r="P708" i="1"/>
  <c r="P704" i="1"/>
  <c r="P700" i="1"/>
  <c r="P696" i="1"/>
  <c r="P692" i="1"/>
  <c r="P688" i="1"/>
  <c r="P684" i="1"/>
  <c r="P680" i="1"/>
  <c r="P676" i="1"/>
  <c r="P672" i="1"/>
  <c r="P668" i="1"/>
  <c r="P664" i="1"/>
  <c r="P660" i="1"/>
  <c r="P656" i="1"/>
  <c r="P652" i="1"/>
  <c r="P648" i="1"/>
  <c r="P644" i="1"/>
  <c r="P640" i="1"/>
  <c r="P636" i="1"/>
  <c r="P632" i="1"/>
  <c r="P628" i="1"/>
  <c r="P624" i="1"/>
  <c r="P620" i="1"/>
  <c r="P616" i="1"/>
  <c r="P612" i="1"/>
  <c r="P608" i="1"/>
  <c r="P604" i="1"/>
  <c r="P600" i="1"/>
  <c r="P596" i="1"/>
  <c r="P592" i="1"/>
  <c r="P588" i="1"/>
  <c r="P584" i="1"/>
  <c r="P580" i="1"/>
  <c r="P576" i="1"/>
  <c r="P572" i="1"/>
  <c r="P568" i="1"/>
  <c r="P564" i="1"/>
  <c r="P560" i="1"/>
  <c r="P556" i="1"/>
  <c r="P552" i="1"/>
  <c r="P548" i="1"/>
  <c r="P544" i="1"/>
  <c r="P540" i="1"/>
  <c r="P536" i="1"/>
  <c r="P532" i="1"/>
  <c r="P528" i="1"/>
  <c r="P524" i="1"/>
  <c r="P520" i="1"/>
  <c r="P516" i="1"/>
  <c r="P512" i="1"/>
  <c r="P508" i="1"/>
  <c r="P504" i="1"/>
  <c r="P500" i="1"/>
  <c r="P496" i="1"/>
  <c r="P492" i="1"/>
  <c r="P488" i="1"/>
  <c r="P484" i="1"/>
  <c r="P480" i="1"/>
  <c r="P476" i="1"/>
  <c r="P472" i="1"/>
  <c r="P468" i="1"/>
  <c r="P464" i="1"/>
  <c r="P460" i="1"/>
  <c r="P456" i="1"/>
  <c r="P452" i="1"/>
  <c r="P448" i="1"/>
  <c r="P444" i="1"/>
  <c r="P440" i="1"/>
  <c r="P436" i="1"/>
  <c r="P432" i="1"/>
  <c r="P428" i="1"/>
  <c r="P424" i="1"/>
  <c r="P420" i="1"/>
  <c r="P416" i="1"/>
  <c r="P412" i="1"/>
  <c r="P408" i="1"/>
  <c r="P404" i="1"/>
  <c r="P400" i="1"/>
  <c r="P396" i="1"/>
  <c r="P392" i="1"/>
  <c r="P388" i="1"/>
  <c r="P384" i="1"/>
  <c r="P380" i="1"/>
  <c r="P376" i="1"/>
  <c r="P372" i="1"/>
  <c r="P368" i="1"/>
  <c r="P364" i="1"/>
  <c r="P360" i="1"/>
  <c r="P356" i="1"/>
  <c r="P352" i="1"/>
  <c r="P348" i="1"/>
  <c r="P344" i="1"/>
  <c r="P340" i="1"/>
  <c r="P336" i="1"/>
  <c r="P332" i="1"/>
  <c r="P328" i="1"/>
  <c r="P324" i="1"/>
  <c r="P320" i="1"/>
  <c r="P316" i="1"/>
  <c r="P312" i="1"/>
  <c r="P308" i="1"/>
  <c r="P304" i="1"/>
  <c r="P300" i="1"/>
  <c r="P296" i="1"/>
  <c r="P292" i="1"/>
  <c r="P288" i="1"/>
  <c r="P284" i="1"/>
  <c r="P280" i="1"/>
  <c r="P276" i="1"/>
  <c r="P272" i="1"/>
  <c r="P268" i="1"/>
  <c r="P264" i="1"/>
  <c r="P260" i="1"/>
  <c r="P256" i="1"/>
  <c r="P252" i="1"/>
  <c r="P248" i="1"/>
  <c r="P244" i="1"/>
  <c r="P240" i="1"/>
  <c r="P236" i="1"/>
  <c r="P232" i="1"/>
  <c r="P228" i="1"/>
  <c r="P1870" i="1"/>
  <c r="P1862" i="1"/>
  <c r="P1850" i="1"/>
  <c r="P1834" i="1"/>
  <c r="P1822" i="1"/>
  <c r="P1814" i="1"/>
  <c r="P1806" i="1"/>
  <c r="P1798" i="1"/>
  <c r="P1790" i="1"/>
  <c r="P1782" i="1"/>
  <c r="P1774" i="1"/>
  <c r="P1766" i="1"/>
  <c r="P1754" i="1"/>
  <c r="P1738" i="1"/>
  <c r="P1722" i="1"/>
  <c r="P1706" i="1"/>
  <c r="P1690" i="1"/>
  <c r="P1674" i="1"/>
  <c r="P1658" i="1"/>
  <c r="P1642" i="1"/>
  <c r="P1626" i="1"/>
  <c r="P1610" i="1"/>
  <c r="P1594" i="1"/>
  <c r="P1578" i="1"/>
  <c r="P1562" i="1"/>
  <c r="P1546" i="1"/>
  <c r="P1530" i="1"/>
  <c r="P1514" i="1"/>
  <c r="P1498" i="1"/>
  <c r="P1482" i="1"/>
  <c r="P1466" i="1"/>
  <c r="P1866" i="1"/>
  <c r="P1854" i="1"/>
  <c r="P1846" i="1"/>
  <c r="P1838" i="1"/>
  <c r="P1830" i="1"/>
  <c r="P1818" i="1"/>
  <c r="P1802" i="1"/>
  <c r="P1786" i="1"/>
  <c r="P1770" i="1"/>
  <c r="P1758" i="1"/>
  <c r="P1750" i="1"/>
  <c r="P1742" i="1"/>
  <c r="P1734" i="1"/>
  <c r="P1726" i="1"/>
  <c r="P1718" i="1"/>
  <c r="P1710" i="1"/>
  <c r="P1702" i="1"/>
  <c r="P1694" i="1"/>
  <c r="P1686" i="1"/>
  <c r="P1678" i="1"/>
  <c r="P1670" i="1"/>
  <c r="P1662" i="1"/>
  <c r="P1654" i="1"/>
  <c r="P1646" i="1"/>
  <c r="P1638" i="1"/>
  <c r="P1630" i="1"/>
  <c r="P1622" i="1"/>
  <c r="P1614" i="1"/>
  <c r="P1606" i="1"/>
  <c r="P1598" i="1"/>
  <c r="P1590" i="1"/>
  <c r="P1582" i="1"/>
  <c r="P1574" i="1"/>
  <c r="P1566" i="1"/>
  <c r="P1558" i="1"/>
  <c r="P1550" i="1"/>
  <c r="P1542" i="1"/>
  <c r="P1534" i="1"/>
  <c r="P1526" i="1"/>
  <c r="P1518" i="1"/>
  <c r="P1510" i="1"/>
  <c r="P1502" i="1"/>
  <c r="P1494" i="1"/>
  <c r="P1486" i="1"/>
  <c r="P1478" i="1"/>
  <c r="P1470" i="1"/>
  <c r="P2097" i="1"/>
  <c r="P2093" i="1"/>
  <c r="P2089" i="1"/>
  <c r="P2085" i="1"/>
  <c r="P2081" i="1"/>
  <c r="P2077" i="1"/>
  <c r="P2073" i="1"/>
  <c r="P2069" i="1"/>
  <c r="P2065" i="1"/>
  <c r="P2061" i="1"/>
  <c r="P2057" i="1"/>
  <c r="P2053" i="1"/>
  <c r="P2049" i="1"/>
  <c r="P2045" i="1"/>
  <c r="P2041" i="1"/>
  <c r="P2037" i="1"/>
  <c r="P2033" i="1"/>
  <c r="P2029" i="1"/>
  <c r="P2025" i="1"/>
  <c r="P2021" i="1"/>
  <c r="P2017" i="1"/>
  <c r="P2013" i="1"/>
  <c r="P2009" i="1"/>
  <c r="P2005" i="1"/>
  <c r="P2001" i="1"/>
  <c r="P1997" i="1"/>
  <c r="P1993" i="1"/>
  <c r="P1989" i="1"/>
  <c r="P1985" i="1"/>
  <c r="P1981" i="1"/>
  <c r="P1977" i="1"/>
  <c r="P1973" i="1"/>
  <c r="P1969" i="1"/>
  <c r="P1965" i="1"/>
  <c r="P1961" i="1"/>
  <c r="P1957" i="1"/>
  <c r="P1953" i="1"/>
  <c r="P1949" i="1"/>
  <c r="P1945" i="1"/>
  <c r="P1941" i="1"/>
  <c r="P1937" i="1"/>
  <c r="P1933" i="1"/>
  <c r="P1929" i="1"/>
  <c r="P1925" i="1"/>
  <c r="P1921" i="1"/>
  <c r="P1917" i="1"/>
  <c r="P1913" i="1"/>
  <c r="P1909" i="1"/>
  <c r="P1905" i="1"/>
  <c r="P1901" i="1"/>
  <c r="P1897" i="1"/>
  <c r="P1893" i="1"/>
  <c r="P1889" i="1"/>
  <c r="P1885" i="1"/>
  <c r="P1881" i="1"/>
  <c r="P1877" i="1"/>
  <c r="P1873" i="1"/>
  <c r="P1869" i="1"/>
  <c r="P1865" i="1"/>
  <c r="P1861" i="1"/>
  <c r="P1857" i="1"/>
  <c r="P1853" i="1"/>
  <c r="P1849" i="1"/>
  <c r="P1845" i="1"/>
  <c r="P1841" i="1"/>
  <c r="P1837" i="1"/>
  <c r="P1833" i="1"/>
  <c r="P1829" i="1"/>
  <c r="P1825" i="1"/>
  <c r="P1821" i="1"/>
  <c r="P1817" i="1"/>
  <c r="P1813" i="1"/>
  <c r="P1809" i="1"/>
  <c r="P1805" i="1"/>
  <c r="P1801" i="1"/>
  <c r="P1797" i="1"/>
  <c r="P1793" i="1"/>
  <c r="P1789" i="1"/>
  <c r="P1785" i="1"/>
  <c r="P1781" i="1"/>
  <c r="P1777" i="1"/>
  <c r="P1773" i="1"/>
  <c r="P1769" i="1"/>
  <c r="P1765" i="1"/>
  <c r="P1761" i="1"/>
  <c r="P1757" i="1"/>
  <c r="P1753" i="1"/>
  <c r="P1749" i="1"/>
  <c r="P1745" i="1"/>
  <c r="P1741" i="1"/>
  <c r="P1737" i="1"/>
  <c r="P1733" i="1"/>
  <c r="P1729" i="1"/>
  <c r="P1725" i="1"/>
  <c r="P1721" i="1"/>
  <c r="P1717" i="1"/>
  <c r="P1713" i="1"/>
  <c r="P1709" i="1"/>
  <c r="P1705" i="1"/>
  <c r="P1701" i="1"/>
  <c r="P1697" i="1"/>
  <c r="P1693" i="1"/>
  <c r="P1689" i="1"/>
  <c r="P1685" i="1"/>
  <c r="P1681" i="1"/>
  <c r="P1677" i="1"/>
  <c r="P1673" i="1"/>
  <c r="P1669" i="1"/>
  <c r="P1665" i="1"/>
  <c r="P1661" i="1"/>
  <c r="P1657" i="1"/>
  <c r="P1653" i="1"/>
  <c r="P1649" i="1"/>
  <c r="P1645" i="1"/>
  <c r="P1641" i="1"/>
  <c r="P1637" i="1"/>
  <c r="P1633" i="1"/>
  <c r="P1629" i="1"/>
  <c r="P1625" i="1"/>
  <c r="P1621" i="1"/>
  <c r="P1617" i="1"/>
  <c r="P1613" i="1"/>
  <c r="P1609" i="1"/>
  <c r="P1605" i="1"/>
  <c r="P1601" i="1"/>
  <c r="P1597" i="1"/>
  <c r="P1593" i="1"/>
  <c r="P1589" i="1"/>
  <c r="P1585" i="1"/>
  <c r="P1581" i="1"/>
  <c r="P1577" i="1"/>
  <c r="P1573" i="1"/>
  <c r="P1569" i="1"/>
  <c r="P1565" i="1"/>
  <c r="P1561" i="1"/>
  <c r="P1557" i="1"/>
  <c r="P1553" i="1"/>
  <c r="P1549" i="1"/>
  <c r="P1545" i="1"/>
  <c r="P1541" i="1"/>
  <c r="P1537" i="1"/>
  <c r="P1533" i="1"/>
  <c r="P1529" i="1"/>
  <c r="P1525" i="1"/>
  <c r="P1521" i="1"/>
  <c r="P1517" i="1"/>
  <c r="P1513" i="1"/>
  <c r="P1509" i="1"/>
  <c r="P1505" i="1"/>
  <c r="P1501" i="1"/>
  <c r="P1497" i="1"/>
  <c r="P1493" i="1"/>
  <c r="P1489" i="1"/>
  <c r="P1485" i="1"/>
  <c r="P1481" i="1"/>
  <c r="P1477" i="1"/>
  <c r="P1473" i="1"/>
  <c r="P1469" i="1"/>
  <c r="P1465" i="1"/>
  <c r="P1461" i="1"/>
  <c r="P1457" i="1"/>
  <c r="P1453" i="1"/>
  <c r="P1449" i="1"/>
  <c r="P1445" i="1"/>
  <c r="P1441" i="1"/>
  <c r="P1437" i="1"/>
  <c r="P1433" i="1"/>
  <c r="P1429" i="1"/>
  <c r="P1425" i="1"/>
  <c r="P1421" i="1"/>
  <c r="P1417" i="1"/>
  <c r="P1413" i="1"/>
  <c r="P1409" i="1"/>
  <c r="P1405" i="1"/>
  <c r="P1401" i="1"/>
  <c r="P1397" i="1"/>
  <c r="P1393" i="1"/>
  <c r="P1389" i="1"/>
  <c r="P1385" i="1"/>
  <c r="P1381" i="1"/>
  <c r="P1377" i="1"/>
  <c r="P1373" i="1"/>
  <c r="P1369" i="1"/>
  <c r="P1365" i="1"/>
  <c r="P1361" i="1"/>
  <c r="P1357" i="1"/>
  <c r="P1353" i="1"/>
  <c r="P1349" i="1"/>
  <c r="P1345" i="1"/>
  <c r="P1341" i="1"/>
  <c r="P1337" i="1"/>
  <c r="P1333" i="1"/>
  <c r="P1329" i="1"/>
  <c r="P1325" i="1"/>
  <c r="P1321" i="1"/>
  <c r="P1317" i="1"/>
  <c r="P1313" i="1"/>
  <c r="P1309" i="1"/>
  <c r="P1305" i="1"/>
  <c r="P1301" i="1"/>
  <c r="P1297" i="1"/>
  <c r="P1293" i="1"/>
  <c r="P1289" i="1"/>
  <c r="P1285" i="1"/>
  <c r="P1281" i="1"/>
  <c r="P1277" i="1"/>
  <c r="P1273" i="1"/>
  <c r="P1269" i="1"/>
  <c r="P1265" i="1"/>
  <c r="P1261" i="1"/>
  <c r="P1257" i="1"/>
  <c r="P1253" i="1"/>
  <c r="P1249" i="1"/>
  <c r="P1245" i="1"/>
  <c r="P1241" i="1"/>
  <c r="P1237" i="1"/>
  <c r="P1233" i="1"/>
  <c r="P1229" i="1"/>
  <c r="P1225" i="1"/>
  <c r="P1221" i="1"/>
  <c r="P1217" i="1"/>
  <c r="P1213" i="1"/>
  <c r="P1209" i="1"/>
  <c r="P1205" i="1"/>
  <c r="P1201" i="1"/>
  <c r="P1197" i="1"/>
  <c r="P1193" i="1"/>
  <c r="P1189" i="1"/>
  <c r="P1185" i="1"/>
  <c r="P1181" i="1"/>
  <c r="P1177" i="1"/>
  <c r="P1173" i="1"/>
  <c r="P1169" i="1"/>
  <c r="P1165" i="1"/>
  <c r="P1161" i="1"/>
  <c r="P1157" i="1"/>
  <c r="P1153" i="1"/>
  <c r="P1149" i="1"/>
  <c r="P1145" i="1"/>
  <c r="P1141" i="1"/>
  <c r="P1137" i="1"/>
  <c r="P1133" i="1"/>
  <c r="P1129" i="1"/>
  <c r="P1125" i="1"/>
  <c r="P1121" i="1"/>
  <c r="P1117" i="1"/>
  <c r="P1113" i="1"/>
  <c r="P1109" i="1"/>
  <c r="P1105" i="1"/>
  <c r="P1101" i="1"/>
  <c r="P1097" i="1"/>
  <c r="P1093" i="1"/>
  <c r="P1089" i="1"/>
  <c r="P1085" i="1"/>
  <c r="P1081" i="1"/>
  <c r="P1077" i="1"/>
  <c r="P1073" i="1"/>
  <c r="P1069" i="1"/>
  <c r="P1065" i="1"/>
  <c r="P1061" i="1"/>
  <c r="P1057" i="1"/>
  <c r="P1053" i="1"/>
  <c r="P1049" i="1"/>
  <c r="P1045" i="1"/>
  <c r="P1041" i="1"/>
  <c r="P1037" i="1"/>
  <c r="P1033" i="1"/>
  <c r="P1029" i="1"/>
  <c r="P1025" i="1"/>
  <c r="P1021" i="1"/>
  <c r="P1017" i="1"/>
  <c r="P1013" i="1"/>
  <c r="P1009" i="1"/>
  <c r="P1005" i="1"/>
  <c r="P1001" i="1"/>
  <c r="P997" i="1"/>
  <c r="P993" i="1"/>
  <c r="P989" i="1"/>
  <c r="P985" i="1"/>
  <c r="P981" i="1"/>
  <c r="P977" i="1"/>
  <c r="P973" i="1"/>
  <c r="P969" i="1"/>
  <c r="P965" i="1"/>
  <c r="P961" i="1"/>
  <c r="P957" i="1"/>
  <c r="P953" i="1"/>
  <c r="P949" i="1"/>
  <c r="P945" i="1"/>
  <c r="P941" i="1"/>
  <c r="P937" i="1"/>
  <c r="P933" i="1"/>
  <c r="P929" i="1"/>
  <c r="P925" i="1"/>
  <c r="P921" i="1"/>
  <c r="P917" i="1"/>
  <c r="P913" i="1"/>
  <c r="P909" i="1"/>
  <c r="P905" i="1"/>
  <c r="P901" i="1"/>
  <c r="P897" i="1"/>
  <c r="P893" i="1"/>
  <c r="P889" i="1"/>
  <c r="P885" i="1"/>
  <c r="P881" i="1"/>
  <c r="P877" i="1"/>
  <c r="P873" i="1"/>
  <c r="P869" i="1"/>
  <c r="P865" i="1"/>
  <c r="P861" i="1"/>
  <c r="P857" i="1"/>
  <c r="P853" i="1"/>
  <c r="P849" i="1"/>
  <c r="P845" i="1"/>
  <c r="P841" i="1"/>
  <c r="P837" i="1"/>
  <c r="P833" i="1"/>
  <c r="P829" i="1"/>
  <c r="P825" i="1"/>
  <c r="P821" i="1"/>
  <c r="P817" i="1"/>
  <c r="P813" i="1"/>
  <c r="P809" i="1"/>
  <c r="P805" i="1"/>
  <c r="P801" i="1"/>
  <c r="P797" i="1"/>
  <c r="P793" i="1"/>
  <c r="P789" i="1"/>
  <c r="P785" i="1"/>
  <c r="P781" i="1"/>
  <c r="P777" i="1"/>
  <c r="P773" i="1"/>
  <c r="P769" i="1"/>
  <c r="P765" i="1"/>
  <c r="P761" i="1"/>
  <c r="P757" i="1"/>
  <c r="P753" i="1"/>
  <c r="P749" i="1"/>
  <c r="P745" i="1"/>
  <c r="P741" i="1"/>
  <c r="P737" i="1"/>
  <c r="P733" i="1"/>
  <c r="P729" i="1"/>
  <c r="P725" i="1"/>
  <c r="P721" i="1"/>
  <c r="P717" i="1"/>
  <c r="P713" i="1"/>
  <c r="P709" i="1"/>
  <c r="P705" i="1"/>
  <c r="P701" i="1"/>
  <c r="P697" i="1"/>
  <c r="P693" i="1"/>
  <c r="P689" i="1"/>
  <c r="P685" i="1"/>
  <c r="P681" i="1"/>
  <c r="P677" i="1"/>
  <c r="P673" i="1"/>
  <c r="P669" i="1"/>
  <c r="P665" i="1"/>
  <c r="P661" i="1"/>
  <c r="P657" i="1"/>
  <c r="P653" i="1"/>
  <c r="P649" i="1"/>
  <c r="P645" i="1"/>
  <c r="P641" i="1"/>
  <c r="P637" i="1"/>
  <c r="P633" i="1"/>
  <c r="P629" i="1"/>
  <c r="P625" i="1"/>
  <c r="P621" i="1"/>
  <c r="P617" i="1"/>
  <c r="P613" i="1"/>
  <c r="P609" i="1"/>
  <c r="P605" i="1"/>
  <c r="P601" i="1"/>
  <c r="P597" i="1"/>
  <c r="P593" i="1"/>
  <c r="P589" i="1"/>
  <c r="P585" i="1"/>
  <c r="P581" i="1"/>
  <c r="P577" i="1"/>
  <c r="P573" i="1"/>
  <c r="P569" i="1"/>
  <c r="P565" i="1"/>
  <c r="P561" i="1"/>
  <c r="P557" i="1"/>
  <c r="P553" i="1"/>
  <c r="P549" i="1"/>
  <c r="P545" i="1"/>
  <c r="P541" i="1"/>
  <c r="P537" i="1"/>
  <c r="P533" i="1"/>
  <c r="P529" i="1"/>
  <c r="P525" i="1"/>
  <c r="P521" i="1"/>
  <c r="P517" i="1"/>
  <c r="P513" i="1"/>
  <c r="P509" i="1"/>
  <c r="P505" i="1"/>
  <c r="P501" i="1"/>
  <c r="P497" i="1"/>
  <c r="P493" i="1"/>
  <c r="P489" i="1"/>
  <c r="P485" i="1"/>
  <c r="P481" i="1"/>
  <c r="P477" i="1"/>
  <c r="P473" i="1"/>
  <c r="P469" i="1"/>
  <c r="P465" i="1"/>
  <c r="P461" i="1"/>
  <c r="P457" i="1"/>
  <c r="P453" i="1"/>
  <c r="P449" i="1"/>
  <c r="P445" i="1"/>
  <c r="P441" i="1"/>
  <c r="P437" i="1"/>
  <c r="P433" i="1"/>
  <c r="P429" i="1"/>
  <c r="P425" i="1"/>
  <c r="P421" i="1"/>
  <c r="P417" i="1"/>
  <c r="P413" i="1"/>
  <c r="P409" i="1"/>
  <c r="P405" i="1"/>
  <c r="P401" i="1"/>
  <c r="P397" i="1"/>
  <c r="P393" i="1"/>
  <c r="P389" i="1"/>
  <c r="P385" i="1"/>
  <c r="P381" i="1"/>
  <c r="P377" i="1"/>
  <c r="P373" i="1"/>
  <c r="P369" i="1"/>
  <c r="P365" i="1"/>
  <c r="P361" i="1"/>
  <c r="P357" i="1"/>
  <c r="P353" i="1"/>
  <c r="P349" i="1"/>
  <c r="P345" i="1"/>
  <c r="P341" i="1"/>
  <c r="P337" i="1"/>
  <c r="P333" i="1"/>
  <c r="P329" i="1"/>
  <c r="P325" i="1"/>
  <c r="P321" i="1"/>
  <c r="P317" i="1"/>
  <c r="P313" i="1"/>
  <c r="P309" i="1"/>
  <c r="P305" i="1"/>
  <c r="P301" i="1"/>
  <c r="P297" i="1"/>
  <c r="P293" i="1"/>
  <c r="P289" i="1"/>
  <c r="P285" i="1"/>
  <c r="P281" i="1"/>
  <c r="P277" i="1"/>
  <c r="P273" i="1"/>
  <c r="P269" i="1"/>
  <c r="P265" i="1"/>
  <c r="P261" i="1"/>
  <c r="P257" i="1"/>
  <c r="P253" i="1"/>
  <c r="P249" i="1"/>
  <c r="P245" i="1"/>
  <c r="P241" i="1"/>
  <c r="P237" i="1"/>
  <c r="P233" i="1"/>
  <c r="P229" i="1"/>
  <c r="P225" i="1"/>
  <c r="P221" i="1"/>
  <c r="P217" i="1"/>
  <c r="P213" i="1"/>
  <c r="P209" i="1"/>
  <c r="P205" i="1"/>
  <c r="P201" i="1"/>
  <c r="P197" i="1"/>
  <c r="P193" i="1"/>
  <c r="P189" i="1"/>
  <c r="P185" i="1"/>
  <c r="P181" i="1"/>
  <c r="P177" i="1"/>
  <c r="P173" i="1"/>
  <c r="P169" i="1"/>
  <c r="P165" i="1"/>
  <c r="P161" i="1"/>
  <c r="P157" i="1"/>
  <c r="P153" i="1"/>
  <c r="P149" i="1"/>
  <c r="P145" i="1"/>
  <c r="P141" i="1"/>
  <c r="P137" i="1"/>
  <c r="P133" i="1"/>
  <c r="P129" i="1"/>
  <c r="P125" i="1"/>
  <c r="P121" i="1"/>
  <c r="P117" i="1"/>
  <c r="P113" i="1"/>
  <c r="P109" i="1"/>
  <c r="P105" i="1"/>
  <c r="P101" i="1"/>
  <c r="P97" i="1"/>
  <c r="P93" i="1"/>
  <c r="P89" i="1"/>
  <c r="P85" i="1"/>
  <c r="P81" i="1"/>
  <c r="P77" i="1"/>
  <c r="P73" i="1"/>
  <c r="P69" i="1"/>
  <c r="P65" i="1"/>
  <c r="P61" i="1"/>
  <c r="P57" i="1"/>
  <c r="P53" i="1"/>
  <c r="P49" i="1"/>
  <c r="P45" i="1"/>
  <c r="P41" i="1"/>
  <c r="P37" i="1"/>
  <c r="P33" i="1"/>
  <c r="P29" i="1"/>
  <c r="P25" i="1"/>
  <c r="P21" i="1"/>
  <c r="P17" i="1"/>
  <c r="P13" i="1"/>
  <c r="P9" i="1"/>
  <c r="P5" i="1"/>
  <c r="P1090" i="1"/>
  <c r="P1086" i="1"/>
  <c r="P1082" i="1"/>
  <c r="P1078" i="1"/>
  <c r="P1074" i="1"/>
  <c r="P1066" i="1"/>
  <c r="P1062" i="1"/>
  <c r="P1058" i="1"/>
  <c r="P1050" i="1"/>
  <c r="P1046" i="1"/>
  <c r="P1042" i="1"/>
  <c r="P1038" i="1"/>
  <c r="P1034" i="1"/>
  <c r="P1030" i="1"/>
  <c r="P1026" i="1"/>
  <c r="P1018" i="1"/>
  <c r="P1014" i="1"/>
  <c r="P1010" i="1"/>
  <c r="P1006" i="1"/>
  <c r="P1002" i="1"/>
  <c r="P998" i="1"/>
  <c r="P994" i="1"/>
  <c r="P990" i="1"/>
  <c r="P986" i="1"/>
  <c r="P982" i="1"/>
  <c r="P978" i="1"/>
  <c r="P974" i="1"/>
  <c r="P970" i="1"/>
  <c r="P966" i="1"/>
  <c r="P962" i="1"/>
  <c r="P958" i="1"/>
  <c r="P954" i="1"/>
  <c r="P950" i="1"/>
  <c r="P946" i="1"/>
  <c r="P942" i="1"/>
  <c r="P938" i="1"/>
  <c r="P934" i="1"/>
  <c r="P930" i="1"/>
  <c r="P926" i="1"/>
  <c r="P922" i="1"/>
  <c r="P918" i="1"/>
  <c r="P914" i="1"/>
  <c r="P910" i="1"/>
  <c r="P906" i="1"/>
  <c r="P902" i="1"/>
  <c r="P898" i="1"/>
  <c r="P894" i="1"/>
  <c r="P890" i="1"/>
  <c r="P886" i="1"/>
  <c r="P882" i="1"/>
  <c r="P878" i="1"/>
  <c r="P874" i="1"/>
  <c r="P870" i="1"/>
  <c r="P866" i="1"/>
  <c r="P862" i="1"/>
  <c r="P858" i="1"/>
  <c r="P854" i="1"/>
  <c r="P850" i="1"/>
  <c r="P846" i="1"/>
  <c r="P842" i="1"/>
  <c r="P838" i="1"/>
  <c r="P834" i="1"/>
  <c r="P830" i="1"/>
  <c r="P826" i="1"/>
  <c r="P822" i="1"/>
  <c r="P818" i="1"/>
  <c r="P814" i="1"/>
  <c r="P810" i="1"/>
  <c r="P806" i="1"/>
  <c r="P802" i="1"/>
  <c r="P798" i="1"/>
  <c r="P794" i="1"/>
  <c r="P790" i="1"/>
  <c r="P786" i="1"/>
  <c r="P782" i="1"/>
  <c r="P778" i="1"/>
  <c r="P774" i="1"/>
  <c r="P770" i="1"/>
  <c r="P766" i="1"/>
  <c r="P762" i="1"/>
  <c r="P758" i="1"/>
  <c r="P754" i="1"/>
  <c r="P750" i="1"/>
  <c r="P746" i="1"/>
  <c r="P742" i="1"/>
  <c r="P738" i="1"/>
  <c r="P734" i="1"/>
  <c r="P730" i="1"/>
  <c r="P726" i="1"/>
  <c r="P722" i="1"/>
  <c r="P718" i="1"/>
  <c r="P714" i="1"/>
  <c r="P710" i="1"/>
  <c r="P706" i="1"/>
  <c r="P702" i="1"/>
  <c r="P698" i="1"/>
  <c r="P694" i="1"/>
  <c r="P690" i="1"/>
  <c r="P686" i="1"/>
  <c r="P682" i="1"/>
  <c r="P678" i="1"/>
  <c r="P674" i="1"/>
  <c r="P670" i="1"/>
  <c r="P666" i="1"/>
  <c r="P662" i="1"/>
  <c r="P658" i="1"/>
  <c r="P654" i="1"/>
  <c r="P650" i="1"/>
  <c r="P646" i="1"/>
  <c r="P642" i="1"/>
  <c r="P638" i="1"/>
  <c r="P634" i="1"/>
  <c r="P630" i="1"/>
  <c r="P626" i="1"/>
  <c r="P622" i="1"/>
  <c r="P618" i="1"/>
  <c r="P614" i="1"/>
  <c r="P610" i="1"/>
  <c r="P606" i="1"/>
  <c r="P602" i="1"/>
  <c r="P598" i="1"/>
  <c r="P594" i="1"/>
  <c r="P590" i="1"/>
  <c r="P586" i="1"/>
  <c r="P582" i="1"/>
  <c r="P578" i="1"/>
  <c r="P574" i="1"/>
  <c r="P570" i="1"/>
  <c r="P566" i="1"/>
  <c r="P562" i="1"/>
  <c r="P558" i="1"/>
  <c r="P554" i="1"/>
  <c r="P550" i="1"/>
  <c r="P546" i="1"/>
  <c r="P542" i="1"/>
  <c r="P538" i="1"/>
  <c r="P534" i="1"/>
  <c r="P530" i="1"/>
  <c r="P526" i="1"/>
  <c r="P522" i="1"/>
  <c r="P518" i="1"/>
  <c r="P514" i="1"/>
  <c r="P510" i="1"/>
  <c r="P506" i="1"/>
  <c r="P502" i="1"/>
  <c r="P498" i="1"/>
  <c r="P494" i="1"/>
  <c r="P490" i="1"/>
  <c r="P486" i="1"/>
  <c r="P482" i="1"/>
  <c r="P478" i="1"/>
  <c r="P474" i="1"/>
  <c r="P470" i="1"/>
  <c r="P466" i="1"/>
  <c r="P462" i="1"/>
  <c r="P458" i="1"/>
  <c r="P454" i="1"/>
  <c r="P450" i="1"/>
  <c r="P446" i="1"/>
  <c r="P442" i="1"/>
  <c r="P438" i="1"/>
  <c r="P434" i="1"/>
  <c r="P430" i="1"/>
  <c r="P426" i="1"/>
  <c r="P422" i="1"/>
  <c r="P418" i="1"/>
  <c r="P414" i="1"/>
  <c r="P410" i="1"/>
  <c r="P406" i="1"/>
  <c r="P402" i="1"/>
  <c r="P398" i="1"/>
  <c r="P394" i="1"/>
  <c r="P390" i="1"/>
  <c r="P386" i="1"/>
  <c r="P382" i="1"/>
  <c r="P378" i="1"/>
  <c r="P374" i="1"/>
  <c r="P370" i="1"/>
  <c r="P366" i="1"/>
  <c r="P358" i="1"/>
  <c r="P354" i="1"/>
  <c r="P350" i="1"/>
  <c r="P346" i="1"/>
  <c r="P342" i="1"/>
  <c r="P338" i="1"/>
  <c r="P334" i="1"/>
  <c r="P330" i="1"/>
  <c r="P326" i="1"/>
  <c r="P322" i="1"/>
  <c r="P318" i="1"/>
  <c r="P314" i="1"/>
  <c r="P310" i="1"/>
  <c r="P306" i="1"/>
  <c r="P302" i="1"/>
  <c r="P298" i="1"/>
  <c r="P294" i="1"/>
  <c r="P290" i="1"/>
  <c r="P286" i="1"/>
  <c r="P282" i="1"/>
  <c r="P278" i="1"/>
  <c r="P274" i="1"/>
  <c r="P270" i="1"/>
  <c r="P266" i="1"/>
  <c r="P262" i="1"/>
  <c r="P258" i="1"/>
  <c r="P254" i="1"/>
  <c r="P250" i="1"/>
  <c r="P246" i="1"/>
  <c r="P242" i="1"/>
  <c r="P238" i="1"/>
  <c r="P234" i="1"/>
  <c r="P230" i="1"/>
  <c r="P226" i="1"/>
  <c r="P222" i="1"/>
  <c r="P218" i="1"/>
  <c r="P214" i="1"/>
  <c r="P210" i="1"/>
  <c r="P206" i="1"/>
  <c r="P202" i="1"/>
  <c r="P198" i="1"/>
  <c r="P194" i="1"/>
  <c r="P190" i="1"/>
  <c r="P186" i="1"/>
  <c r="P182" i="1"/>
  <c r="P178" i="1"/>
  <c r="P174" i="1"/>
  <c r="P170" i="1"/>
  <c r="P166" i="1"/>
  <c r="P162" i="1"/>
  <c r="P158" i="1"/>
  <c r="P154" i="1"/>
  <c r="P150" i="1"/>
  <c r="P146" i="1"/>
  <c r="P142" i="1"/>
  <c r="P138" i="1"/>
  <c r="P134" i="1"/>
  <c r="P126" i="1"/>
  <c r="P122" i="1"/>
  <c r="P118" i="1"/>
  <c r="P114" i="1"/>
  <c r="P110" i="1"/>
  <c r="P106" i="1"/>
  <c r="P102" i="1"/>
  <c r="P98" i="1"/>
  <c r="P94" i="1"/>
  <c r="P90" i="1"/>
  <c r="P86" i="1"/>
  <c r="P82" i="1"/>
  <c r="P78" i="1"/>
  <c r="P74" i="1"/>
  <c r="P70" i="1"/>
  <c r="P66" i="1"/>
  <c r="P62" i="1"/>
  <c r="P58" i="1"/>
  <c r="P54" i="1"/>
  <c r="P50" i="1"/>
  <c r="P46" i="1"/>
  <c r="P42" i="1"/>
  <c r="P38" i="1"/>
  <c r="P34" i="1"/>
  <c r="P30" i="1"/>
  <c r="P26" i="1"/>
  <c r="P22" i="1"/>
  <c r="P18" i="1"/>
  <c r="P14" i="1"/>
  <c r="P10" i="1"/>
  <c r="P6" i="1"/>
  <c r="P2" i="1"/>
  <c r="P224" i="1"/>
  <c r="P220" i="1"/>
  <c r="P216" i="1"/>
  <c r="P212" i="1"/>
  <c r="P208" i="1"/>
  <c r="P204" i="1"/>
  <c r="P200" i="1"/>
  <c r="P196" i="1"/>
  <c r="P192" i="1"/>
  <c r="P188" i="1"/>
  <c r="P184" i="1"/>
  <c r="P180" i="1"/>
  <c r="P176" i="1"/>
  <c r="P172" i="1"/>
  <c r="P168" i="1"/>
  <c r="P164" i="1"/>
  <c r="P160" i="1"/>
  <c r="P156" i="1"/>
  <c r="P152" i="1"/>
  <c r="P148" i="1"/>
  <c r="P144" i="1"/>
  <c r="P140" i="1"/>
  <c r="P136" i="1"/>
  <c r="P132" i="1"/>
  <c r="P128" i="1"/>
  <c r="P124" i="1"/>
  <c r="P120" i="1"/>
  <c r="P116" i="1"/>
  <c r="P112" i="1"/>
  <c r="P108" i="1"/>
  <c r="P104" i="1"/>
  <c r="P100" i="1"/>
  <c r="P96" i="1"/>
  <c r="P92" i="1"/>
  <c r="P88" i="1"/>
  <c r="P84" i="1"/>
  <c r="P80" i="1"/>
  <c r="P76" i="1"/>
  <c r="P72" i="1"/>
  <c r="P68" i="1"/>
  <c r="P64" i="1"/>
  <c r="P60" i="1"/>
  <c r="P56" i="1"/>
  <c r="P52" i="1"/>
  <c r="P48" i="1"/>
  <c r="P44" i="1"/>
  <c r="P40" i="1"/>
  <c r="P36" i="1"/>
  <c r="P32" i="1"/>
  <c r="P28" i="1"/>
  <c r="P24" i="1"/>
  <c r="P20" i="1"/>
  <c r="P16" i="1"/>
  <c r="P12" i="1"/>
  <c r="P8" i="1"/>
  <c r="P4" i="1"/>
  <c r="P2100" i="1" l="1"/>
</calcChain>
</file>

<file path=xl/sharedStrings.xml><?xml version="1.0" encoding="utf-8"?>
<sst xmlns="http://schemas.openxmlformats.org/spreadsheetml/2006/main" count="29453" uniqueCount="74">
  <si>
    <t>Date</t>
  </si>
  <si>
    <t>Region</t>
  </si>
  <si>
    <t>City</t>
  </si>
  <si>
    <t>Customer Type</t>
  </si>
  <si>
    <t>Channel</t>
  </si>
  <si>
    <t>Product</t>
  </si>
  <si>
    <t>Category</t>
  </si>
  <si>
    <t>Unit Price</t>
  </si>
  <si>
    <t>Quantity</t>
  </si>
  <si>
    <t>Sales Rep</t>
  </si>
  <si>
    <t>Cost Price</t>
  </si>
  <si>
    <t>West</t>
  </si>
  <si>
    <t>Port Harcourt</t>
  </si>
  <si>
    <t>Retail</t>
  </si>
  <si>
    <t>Online</t>
  </si>
  <si>
    <t>Office Chair Pro</t>
  </si>
  <si>
    <t>Furniture</t>
  </si>
  <si>
    <t>Chidinma</t>
  </si>
  <si>
    <t>East</t>
  </si>
  <si>
    <t>Lagos</t>
  </si>
  <si>
    <t>Store</t>
  </si>
  <si>
    <t>Blender B10</t>
  </si>
  <si>
    <t>Home Appliances</t>
  </si>
  <si>
    <t>Corporate</t>
  </si>
  <si>
    <t>David</t>
  </si>
  <si>
    <t>South</t>
  </si>
  <si>
    <t>Kano</t>
  </si>
  <si>
    <t>Microwave M20</t>
  </si>
  <si>
    <t>Musa</t>
  </si>
  <si>
    <t>North</t>
  </si>
  <si>
    <t>Desktop PC D21</t>
  </si>
  <si>
    <t>Electronics</t>
  </si>
  <si>
    <t>Abuja</t>
  </si>
  <si>
    <t>Air Conditioner X2</t>
  </si>
  <si>
    <t>Sofa Classic</t>
  </si>
  <si>
    <t>Peter</t>
  </si>
  <si>
    <t>Printer P50</t>
  </si>
  <si>
    <t>Aisha</t>
  </si>
  <si>
    <t>Laptop A13</t>
  </si>
  <si>
    <t>Grace</t>
  </si>
  <si>
    <t>Smartphone Z10</t>
  </si>
  <si>
    <t>Refrigerator R55</t>
  </si>
  <si>
    <t>Revenue</t>
  </si>
  <si>
    <t>COGS</t>
  </si>
  <si>
    <t>Profit</t>
  </si>
  <si>
    <t>Customer</t>
  </si>
  <si>
    <t>Sum of Profit</t>
  </si>
  <si>
    <t>Row Labels</t>
  </si>
  <si>
    <t>Sum of Revenue</t>
  </si>
  <si>
    <t>Month</t>
  </si>
  <si>
    <t>May</t>
  </si>
  <si>
    <t>Feb</t>
  </si>
  <si>
    <t>Jan</t>
  </si>
  <si>
    <t>Mar</t>
  </si>
  <si>
    <t>Apr</t>
  </si>
  <si>
    <t>Sum of COGS</t>
  </si>
  <si>
    <t>Count of Customer</t>
  </si>
  <si>
    <t>Sum of Quantity</t>
  </si>
  <si>
    <t>Executive Summary</t>
  </si>
  <si>
    <t>Total</t>
  </si>
  <si>
    <t>Recommendations</t>
  </si>
  <si>
    <t>Key Insights &amp; Findings</t>
  </si>
  <si>
    <t>Analyze the factors driving Laptop A13’s strong profitability and prioritize its availability, marketing, and sales efforts. At the same time, review Blender’s pricing, sales volume, and cost structure to identify opportunities to improve its profitability or determine whether resources should be redirected to higher-performing products</t>
  </si>
  <si>
    <t>Identify and replicate the strategies, customer segments, and sales practices contributing to Peter’s strong performance across the wider sales team. Lower-performing representatives should also be assessed to identify specific performance gaps and opportunities for targeted support</t>
  </si>
  <si>
    <t>Investigate the key drivers of COGS in Lagos and Kano, including procurement, logistics, and operating costs, and identify opportunities to reduce costs without negatively affecting sales or customer service</t>
  </si>
  <si>
    <t>Investigate the factors behind the sharp decline in revenue after the March peak, including changes in demand, product availability, pricing, promotions, and sales activity. Management should identify the underlying cause and develop strategies to stabilize monthly revenue and prevent similar declines</t>
  </si>
  <si>
    <t>The sales performance analysis reveals strong profitability from key products and sales representatives, alongside significant cost concentration and a sharp decline in monthly revenue. Laptop A13 was the most profitable product, contributing 22.6% of total profit, while Peter was the top-performing sales representative, generating $434.8M in revenue. Lagos and Kano jointly accounted for 52% of total COGS, highlighting opportunities for cost optimization. Revenue peaked at $633.4M in March before falling to $13.3M in May, representing a 97.9% decline.</t>
  </si>
  <si>
    <t>To improve overall performance, the business should prioritize high-profit products, leverage successful sales practices across the team, investigate cost drivers in Lagos and Kano, and identify the causes of the sharp revenue decline to develop strategies for stabilizing future revenue.</t>
  </si>
  <si>
    <t>Analysis Scope:</t>
  </si>
  <si>
    <t>The findings and recommendations presented are based on the overall dataset with no filters applied. Dashboard filters can be used to explore performance across specific regions, products, categories, and other segments.</t>
  </si>
  <si>
    <r>
      <t xml:space="preserve">Laptop A13 contributed </t>
    </r>
    <r>
      <rPr>
        <b/>
        <sz val="12"/>
        <color theme="1"/>
        <rFont val="Calibri"/>
        <family val="2"/>
        <scheme val="minor"/>
      </rPr>
      <t>22.6%</t>
    </r>
    <r>
      <rPr>
        <sz val="12"/>
        <color theme="1"/>
        <rFont val="Calibri"/>
        <family val="2"/>
        <scheme val="minor"/>
      </rPr>
      <t xml:space="preserve"> of total profit making it the most profitable product, while Blender contributed the lowest share </t>
    </r>
    <r>
      <rPr>
        <b/>
        <sz val="12"/>
        <color theme="1"/>
        <rFont val="Calibri"/>
        <family val="2"/>
        <scheme val="minor"/>
      </rPr>
      <t>1.5%</t>
    </r>
    <r>
      <rPr>
        <sz val="12"/>
        <color theme="1"/>
        <rFont val="Calibri"/>
        <family val="2"/>
        <scheme val="minor"/>
      </rPr>
      <t xml:space="preserve"> of overall profit</t>
    </r>
  </si>
  <si>
    <r>
      <t xml:space="preserve">Peter was the highest-performing sales representative, generating $434.8 million in revenue and contributing </t>
    </r>
    <r>
      <rPr>
        <b/>
        <sz val="12"/>
        <color theme="1"/>
        <rFont val="Calibri"/>
        <family val="2"/>
        <scheme val="minor"/>
      </rPr>
      <t>18.6%</t>
    </r>
    <r>
      <rPr>
        <sz val="12"/>
        <color theme="1"/>
        <rFont val="Calibri"/>
        <family val="2"/>
        <scheme val="minor"/>
      </rPr>
      <t xml:space="preserve"> of the company's total revenue of $2.3 billion</t>
    </r>
  </si>
  <si>
    <r>
      <t xml:space="preserve">Lagos and Kano each accounted for </t>
    </r>
    <r>
      <rPr>
        <b/>
        <sz val="12"/>
        <color theme="1"/>
        <rFont val="Calibri"/>
        <family val="2"/>
        <scheme val="minor"/>
      </rPr>
      <t>26%</t>
    </r>
    <r>
      <rPr>
        <sz val="12"/>
        <color theme="1"/>
        <rFont val="Calibri"/>
        <family val="2"/>
        <scheme val="minor"/>
      </rPr>
      <t xml:space="preserve"> of total COGS, jointly representing  </t>
    </r>
    <r>
      <rPr>
        <b/>
        <sz val="12"/>
        <color theme="1"/>
        <rFont val="Calibri"/>
        <family val="2"/>
        <scheme val="minor"/>
      </rPr>
      <t>52%</t>
    </r>
    <r>
      <rPr>
        <sz val="12"/>
        <color theme="1"/>
        <rFont val="Calibri"/>
        <family val="2"/>
        <scheme val="minor"/>
      </rPr>
      <t xml:space="preserve"> of the company's Cost of Goods Sold making them the largest cost-contributing cities</t>
    </r>
  </si>
  <si>
    <r>
      <t xml:space="preserve">Revenue peaked in March at $633.4 million before declining to $13.3 million in May, representing a </t>
    </r>
    <r>
      <rPr>
        <b/>
        <sz val="12"/>
        <color theme="1"/>
        <rFont val="Calibri"/>
        <family val="2"/>
        <scheme val="minor"/>
      </rPr>
      <t>97.9%</t>
    </r>
    <r>
      <rPr>
        <sz val="12"/>
        <color theme="1"/>
        <rFont val="Calibri"/>
        <family val="2"/>
        <scheme val="minor"/>
      </rPr>
      <t xml:space="preserve"> decline from the March peak.This indicates a significant deterioration in monthly revenue performance</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</si>
</sst>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3">
    <numFmt numFmtId="44" formatCode="_(&quot;$&quot;* #,##0.00_);_(&quot;$&quot;* \(#,##0.00\);_(&quot;$&quot;* &quot;-&quot;??_);_(@_)"/>
    <numFmt numFmtId="164" formatCode="_(&quot;$&quot;* #,##0_);_(&quot;$&quot;* \(#,##0\);_(&quot;$&quot;* &quot;-&quot;??_);_(@_)"/>
    <numFmt numFmtId="165" formatCode="&quot;$&quot;#,##0"/>
  </numFmts>
  <fonts count="10" x14ac:knownFonts="1">
    <font>
      <sz val="11"/>
      <color theme="1"/>
      <name val="Calibri"/>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scheme val="minor"/>
    </font>
    <font>
      <sz val="11"/>
      <name val="Calibri"/>
      <family val="2"/>
      <scheme val="minor"/>
    </font>
    <font>
      <b/>
      <sz val="11"/>
      <color theme="1"/>
      <name val="Calibri"/>
      <family val="2"/>
      <scheme val="minor"/>
    </font>
    <font>
      <b/>
      <sz val="12"/>
      <color theme="1"/>
      <name val="Calibri"/>
      <family val="2"/>
      <scheme val="minor"/>
    </font>
    <font>
      <b/>
      <sz val="16"/>
      <color theme="1"/>
      <name val="Calibri"/>
      <family val="2"/>
      <scheme val="minor"/>
    </font>
    <font>
      <sz val="12"/>
      <color theme="1"/>
      <name val="Calibri"/>
      <family val="2"/>
      <scheme val="minor"/>
    </font>
  </fonts>
  <fills count="5">
    <fill>
      <patternFill patternType="none"/>
    </fill>
    <fill>
      <patternFill patternType="gray125"/>
    </fill>
    <fill>
      <patternFill patternType="solid">
        <fgColor theme="0"/>
        <bgColor indexed="64"/>
      </patternFill>
    </fill>
    <fill>
      <patternFill patternType="solid">
        <fgColor theme="0"/>
        <bgColor theme="1"/>
      </patternFill>
    </fill>
    <fill>
      <patternFill patternType="solid">
        <fgColor theme="0"/>
        <bgColor theme="0" tint="-0.14999847407452621"/>
      </patternFill>
    </fill>
  </fills>
  <borders count="2">
    <border>
      <left/>
      <right/>
      <top/>
      <bottom/>
      <diagonal/>
    </border>
    <border>
      <left/>
      <right/>
      <top style="thin">
        <color theme="1"/>
      </top>
      <bottom/>
      <diagonal/>
    </border>
  </borders>
  <cellStyleXfs count="2">
    <xf numFmtId="0" fontId="0" fillId="0" borderId="0"/>
    <xf numFmtId="44" fontId="4" fillId="0" borderId="0" applyFont="0" applyFill="0" applyBorder="0" applyAlignment="0" applyProtection="0"/>
  </cellStyleXfs>
  <cellXfs count="42">
    <xf numFmtId="0" fontId="0" fillId="0" borderId="0" xfId="0"/>
    <xf numFmtId="0" fontId="5" fillId="0" borderId="0" xfId="0" applyFont="1"/>
    <xf numFmtId="0" fontId="6" fillId="0" borderId="0" xfId="0" applyFont="1"/>
    <xf numFmtId="0" fontId="0" fillId="0" borderId="0" xfId="0" applyAlignment="1">
      <alignment horizontal="left"/>
    </xf>
    <xf numFmtId="164" fontId="0" fillId="0" borderId="0" xfId="0" applyNumberFormat="1"/>
    <xf numFmtId="0" fontId="0" fillId="0" borderId="0" xfId="0" pivotButton="1"/>
    <xf numFmtId="44" fontId="0" fillId="0" borderId="0" xfId="1" applyFont="1"/>
    <xf numFmtId="165" fontId="0" fillId="0" borderId="0" xfId="1" applyNumberFormat="1" applyFont="1"/>
    <xf numFmtId="165" fontId="0" fillId="0" borderId="0" xfId="0" applyNumberFormat="1"/>
    <xf numFmtId="1" fontId="0" fillId="0" borderId="0" xfId="0" applyNumberFormat="1"/>
    <xf numFmtId="14" fontId="0" fillId="0" borderId="0" xfId="0" applyNumberFormat="1"/>
    <xf numFmtId="14" fontId="3" fillId="0" borderId="0" xfId="0" applyNumberFormat="1" applyFont="1"/>
    <xf numFmtId="14" fontId="2" fillId="4" borderId="1" xfId="0" applyNumberFormat="1" applyFont="1" applyFill="1" applyBorder="1"/>
    <xf numFmtId="0" fontId="2" fillId="4" borderId="1" xfId="0" applyFont="1" applyFill="1" applyBorder="1"/>
    <xf numFmtId="164" fontId="2" fillId="4" borderId="1" xfId="1" applyNumberFormat="1" applyFont="1" applyFill="1" applyBorder="1"/>
    <xf numFmtId="165" fontId="2" fillId="4" borderId="1" xfId="1" applyNumberFormat="1" applyFont="1" applyFill="1" applyBorder="1"/>
    <xf numFmtId="165" fontId="5" fillId="4" borderId="1" xfId="1" applyNumberFormat="1" applyFont="1" applyFill="1" applyBorder="1"/>
    <xf numFmtId="14" fontId="2" fillId="2" borderId="0" xfId="0" applyNumberFormat="1" applyFont="1" applyFill="1"/>
    <xf numFmtId="0" fontId="2" fillId="2" borderId="0" xfId="0" applyFont="1" applyFill="1"/>
    <xf numFmtId="164" fontId="2" fillId="2" borderId="0" xfId="1" applyNumberFormat="1" applyFont="1" applyFill="1" applyBorder="1"/>
    <xf numFmtId="165" fontId="2" fillId="2" borderId="0" xfId="1" applyNumberFormat="1" applyFont="1" applyFill="1" applyBorder="1"/>
    <xf numFmtId="165" fontId="5" fillId="2" borderId="0" xfId="1" applyNumberFormat="1" applyFont="1" applyFill="1" applyBorder="1"/>
    <xf numFmtId="14" fontId="2" fillId="4" borderId="0" xfId="0" applyNumberFormat="1" applyFont="1" applyFill="1"/>
    <xf numFmtId="0" fontId="2" fillId="4" borderId="0" xfId="0" applyFont="1" applyFill="1"/>
    <xf numFmtId="164" fontId="2" fillId="4" borderId="0" xfId="1" applyNumberFormat="1" applyFont="1" applyFill="1" applyBorder="1"/>
    <xf numFmtId="165" fontId="2" fillId="4" borderId="0" xfId="1" applyNumberFormat="1" applyFont="1" applyFill="1" applyBorder="1"/>
    <xf numFmtId="165" fontId="5" fillId="4" borderId="0" xfId="1" applyNumberFormat="1" applyFont="1" applyFill="1" applyBorder="1"/>
    <xf numFmtId="0" fontId="6" fillId="3" borderId="0" xfId="0" applyFont="1" applyFill="1"/>
    <xf numFmtId="14" fontId="6" fillId="3" borderId="0" xfId="0" applyNumberFormat="1" applyFont="1" applyFill="1"/>
    <xf numFmtId="0" fontId="1" fillId="0" borderId="0" xfId="0" applyFont="1"/>
    <xf numFmtId="0" fontId="1" fillId="2" borderId="0" xfId="0" applyFont="1" applyFill="1"/>
    <xf numFmtId="0" fontId="5" fillId="2" borderId="0" xfId="0" applyFont="1" applyFill="1"/>
    <xf numFmtId="165" fontId="1" fillId="2" borderId="0" xfId="0" applyNumberFormat="1" applyFont="1" applyFill="1"/>
    <xf numFmtId="0" fontId="8" fillId="0" borderId="0" xfId="0" applyFont="1" applyAlignment="1">
      <alignment horizontal="center"/>
    </xf>
    <xf numFmtId="0" fontId="0" fillId="0" borderId="0" xfId="0" applyAlignment="1">
      <alignment vertical="center" wrapText="1"/>
    </xf>
    <xf numFmtId="0" fontId="0" fillId="0" borderId="0" xfId="0" applyAlignment="1">
      <alignment vertical="top" wrapText="1"/>
    </xf>
    <xf numFmtId="0" fontId="8" fillId="0" borderId="0" xfId="0" applyFont="1" applyAlignment="1">
      <alignment horizontal="center" vertical="center"/>
    </xf>
    <xf numFmtId="0" fontId="1" fillId="0" borderId="0" xfId="0" applyFont="1" applyAlignment="1">
      <alignment wrapText="1"/>
    </xf>
    <xf numFmtId="0" fontId="6" fillId="0" borderId="0" xfId="0" applyFont="1" applyAlignment="1">
      <alignment wrapText="1"/>
    </xf>
    <xf numFmtId="0" fontId="9" fillId="0" borderId="0" xfId="0" applyFont="1" applyAlignment="1">
      <alignment wrapText="1"/>
    </xf>
    <xf numFmtId="0" fontId="9" fillId="0" borderId="0" xfId="0" applyFont="1"/>
    <xf numFmtId="0" fontId="0" fillId="0" borderId="0" xfId="0"/>
  </cellXfs>
  <cellStyles count="2">
    <cellStyle name="Currency" xfId="1" builtinId="4"/>
    <cellStyle name="Normal" xfId="0" builtinId="0"/>
  </cellStyles>
  <dxfs count="103">
    <dxf>
      <numFmt numFmtId="1" formatCode="0"/>
    </dxf>
    <dxf>
      <numFmt numFmtId="1" formatCode="0"/>
    </dxf>
    <dxf>
      <numFmt numFmtId="1" formatCode="0"/>
    </dxf>
    <dxf>
      <numFmt numFmtId="165" formatCode="&quot;$&quot;#,##0"/>
    </dxf>
    <dxf>
      <numFmt numFmtId="1" formatCode="0"/>
    </dxf>
    <dxf>
      <numFmt numFmtId="165" formatCode="&quot;$&quot;#,##0"/>
    </dxf>
    <dxf>
      <numFmt numFmtId="165" formatCode="&quot;$&quot;#,##0"/>
    </dxf>
    <dxf>
      <numFmt numFmtId="165" formatCode="&quot;$&quot;#,##0"/>
    </dxf>
    <dxf>
      <numFmt numFmtId="165" formatCode="&quot;$&quot;#,##0"/>
    </dxf>
    <dxf>
      <numFmt numFmtId="1" formatCode="0"/>
    </dxf>
    <dxf>
      <numFmt numFmtId="165" formatCode="&quot;$&quot;#,##0"/>
    </dxf>
    <dxf>
      <numFmt numFmtId="165" formatCode="&quot;$&quot;#,##0"/>
    </dxf>
    <dxf>
      <numFmt numFmtId="165" formatCode="&quot;$&quot;#,##0"/>
    </dxf>
    <dxf>
      <numFmt numFmtId="165" formatCode="&quot;$&quot;#,##0"/>
    </dxf>
    <dxf>
      <numFmt numFmtId="165" formatCode="&quot;$&quot;#,##0"/>
    </dxf>
    <dxf>
      <numFmt numFmtId="165" formatCode="&quot;$&quot;#,##0"/>
    </dxf>
    <dxf>
      <numFmt numFmtId="1" formatCode="0"/>
    </dxf>
    <dxf>
      <numFmt numFmtId="1" formatCode="0"/>
    </dxf>
    <dxf>
      <numFmt numFmtId="1" formatCode="0"/>
    </dxf>
    <dxf>
      <numFmt numFmtId="165" formatCode="&quot;$&quot;#,##0"/>
    </dxf>
    <dxf>
      <numFmt numFmtId="1" formatCode="0"/>
    </dxf>
    <dxf>
      <numFmt numFmtId="165" formatCode="&quot;$&quot;#,##0"/>
    </dxf>
    <dxf>
      <numFmt numFmtId="165" formatCode="&quot;$&quot;#,##0"/>
    </dxf>
    <dxf>
      <numFmt numFmtId="165" formatCode="&quot;$&quot;#,##0"/>
    </dxf>
    <dxf>
      <numFmt numFmtId="165" formatCode="&quot;$&quot;#,##0"/>
    </dxf>
    <dxf>
      <numFmt numFmtId="1" formatCode="0"/>
    </dxf>
    <dxf>
      <numFmt numFmtId="165" formatCode="&quot;$&quot;#,##0"/>
    </dxf>
    <dxf>
      <numFmt numFmtId="165" formatCode="&quot;$&quot;#,##0"/>
    </dxf>
    <dxf>
      <numFmt numFmtId="165" formatCode="&quot;$&quot;#,##0"/>
    </dxf>
    <dxf>
      <numFmt numFmtId="165" formatCode="&quot;$&quot;#,##0"/>
    </dxf>
    <dxf>
      <numFmt numFmtId="165" formatCode="&quot;$&quot;#,##0"/>
    </dxf>
    <dxf>
      <numFmt numFmtId="165" formatCode="&quot;$&quot;#,##0"/>
    </dxf>
    <dxf>
      <numFmt numFmtId="165" formatCode="&quot;$&quot;#,##0"/>
    </dxf>
    <dxf>
      <numFmt numFmtId="165" formatCode="&quot;$&quot;#,##0"/>
    </dxf>
    <dxf>
      <numFmt numFmtId="165" formatCode="&quot;$&quot;#,##0"/>
    </dxf>
    <dxf>
      <numFmt numFmtId="165" formatCode="&quot;$&quot;#,##0"/>
    </dxf>
    <dxf>
      <numFmt numFmtId="1" formatCode="0"/>
    </dxf>
    <dxf>
      <numFmt numFmtId="165" formatCode="&quot;$&quot;#,##0"/>
    </dxf>
    <dxf>
      <numFmt numFmtId="1" formatCode="0"/>
    </dxf>
    <dxf>
      <numFmt numFmtId="165" formatCode="&quot;$&quot;#,##0"/>
    </dxf>
    <dxf>
      <numFmt numFmtId="165" formatCode="&quot;$&quot;#,##0"/>
    </dxf>
    <dxf>
      <numFmt numFmtId="165" formatCode="&quot;$&quot;#,##0"/>
    </dxf>
    <dxf>
      <numFmt numFmtId="165" formatCode="&quot;$&quot;#,##0"/>
    </dxf>
    <dxf>
      <numFmt numFmtId="165" formatCode="&quot;$&quot;#,##0"/>
    </dxf>
    <dxf>
      <numFmt numFmtId="165" formatCode="&quot;$&quot;#,##0"/>
    </dxf>
    <dxf>
      <numFmt numFmtId="1" formatCode="0"/>
    </dxf>
    <dxf>
      <numFmt numFmtId="1" formatCode="0"/>
    </dxf>
    <dxf>
      <numFmt numFmtId="1" formatCode="0"/>
    </dxf>
    <dxf>
      <font>
        <b val="0"/>
        <i val="0"/>
        <strike val="0"/>
        <condense val="0"/>
        <extend val="0"/>
        <outline val="0"/>
        <shadow val="0"/>
        <u val="none"/>
        <vertAlign val="baseline"/>
        <sz val="11"/>
        <color theme="1"/>
        <name val="Calibri"/>
        <family val="2"/>
        <scheme val="minor"/>
      </font>
      <fill>
        <patternFill patternType="solid">
          <fgColor indexed="64"/>
          <bgColor theme="0"/>
        </patternFill>
      </fill>
    </dxf>
    <dxf>
      <font>
        <b val="0"/>
        <i val="0"/>
        <strike val="0"/>
        <condense val="0"/>
        <extend val="0"/>
        <outline val="0"/>
        <shadow val="0"/>
        <u val="none"/>
        <vertAlign val="baseline"/>
        <sz val="11"/>
        <color theme="1"/>
        <name val="Calibri"/>
        <family val="2"/>
        <scheme val="minor"/>
      </font>
      <numFmt numFmtId="165" formatCode="&quot;$&quot;#,##0"/>
      <fill>
        <patternFill patternType="solid">
          <fgColor indexed="64"/>
          <bgColor theme="0"/>
        </patternFill>
      </fill>
    </dxf>
    <dxf>
      <font>
        <b val="0"/>
        <i val="0"/>
        <strike val="0"/>
        <condense val="0"/>
        <extend val="0"/>
        <outline val="0"/>
        <shadow val="0"/>
        <u val="none"/>
        <vertAlign val="baseline"/>
        <sz val="11"/>
        <color auto="1"/>
        <name val="Calibri"/>
        <family val="2"/>
        <scheme val="minor"/>
      </font>
      <fill>
        <patternFill patternType="solid">
          <fgColor indexed="64"/>
          <bgColor theme="0"/>
        </patternFill>
      </fill>
    </dxf>
    <dxf>
      <font>
        <b val="0"/>
        <i val="0"/>
        <strike val="0"/>
        <condense val="0"/>
        <extend val="0"/>
        <outline val="0"/>
        <shadow val="0"/>
        <u val="none"/>
        <vertAlign val="baseline"/>
        <sz val="11"/>
        <color auto="1"/>
        <name val="Calibri"/>
        <family val="2"/>
        <scheme val="minor"/>
      </font>
      <numFmt numFmtId="165" formatCode="&quot;$&quot;#,##0"/>
      <fill>
        <patternFill patternType="solid">
          <fgColor indexed="64"/>
          <bgColor theme="0"/>
        </patternFill>
      </fill>
    </dxf>
    <dxf>
      <font>
        <b val="0"/>
        <i val="0"/>
        <strike val="0"/>
        <condense val="0"/>
        <extend val="0"/>
        <outline val="0"/>
        <shadow val="0"/>
        <u val="none"/>
        <vertAlign val="baseline"/>
        <sz val="11"/>
        <color theme="1"/>
        <name val="Calibri"/>
        <family val="2"/>
        <scheme val="minor"/>
      </font>
      <numFmt numFmtId="0" formatCode="General"/>
      <fill>
        <patternFill patternType="solid">
          <fgColor indexed="64"/>
          <bgColor theme="0"/>
        </patternFill>
      </fill>
    </dxf>
    <dxf>
      <font>
        <b val="0"/>
        <i val="0"/>
        <strike val="0"/>
        <condense val="0"/>
        <extend val="0"/>
        <outline val="0"/>
        <shadow val="0"/>
        <u val="none"/>
        <vertAlign val="baseline"/>
        <sz val="11"/>
        <color theme="1"/>
        <name val="Calibri"/>
        <family val="2"/>
        <scheme val="minor"/>
      </font>
      <numFmt numFmtId="165" formatCode="&quot;$&quot;#,##0"/>
      <fill>
        <patternFill patternType="solid">
          <fgColor indexed="64"/>
          <bgColor theme="0"/>
        </patternFill>
      </fill>
    </dxf>
    <dxf>
      <font>
        <b val="0"/>
        <i val="0"/>
        <strike val="0"/>
        <condense val="0"/>
        <extend val="0"/>
        <outline val="0"/>
        <shadow val="0"/>
        <u val="none"/>
        <vertAlign val="baseline"/>
        <sz val="11"/>
        <color theme="1"/>
        <name val="Calibri"/>
        <family val="2"/>
        <scheme val="minor"/>
      </font>
      <fill>
        <patternFill patternType="solid">
          <fgColor indexed="64"/>
          <bgColor theme="0"/>
        </patternFill>
      </fill>
    </dxf>
    <dxf>
      <font>
        <b val="0"/>
        <i val="0"/>
        <strike val="0"/>
        <condense val="0"/>
        <extend val="0"/>
        <outline val="0"/>
        <shadow val="0"/>
        <u val="none"/>
        <vertAlign val="baseline"/>
        <sz val="11"/>
        <color theme="1"/>
        <name val="Calibri"/>
        <family val="2"/>
        <scheme val="minor"/>
      </font>
      <numFmt numFmtId="165" formatCode="&quot;$&quot;#,##0"/>
      <fill>
        <patternFill patternType="solid">
          <fgColor indexed="64"/>
          <bgColor theme="0"/>
        </patternFill>
      </fill>
    </dxf>
    <dxf>
      <font>
        <b val="0"/>
        <i val="0"/>
        <strike val="0"/>
        <condense val="0"/>
        <extend val="0"/>
        <outline val="0"/>
        <shadow val="0"/>
        <u val="none"/>
        <vertAlign val="baseline"/>
        <sz val="11"/>
        <color theme="1"/>
        <name val="Calibri"/>
        <family val="2"/>
        <scheme val="minor"/>
      </font>
      <fill>
        <patternFill patternType="solid">
          <fgColor indexed="64"/>
          <bgColor theme="0"/>
        </patternFill>
      </fill>
    </dxf>
    <dxf>
      <font>
        <b val="0"/>
        <i val="0"/>
        <strike val="0"/>
        <condense val="0"/>
        <extend val="0"/>
        <outline val="0"/>
        <shadow val="0"/>
        <u val="none"/>
        <vertAlign val="baseline"/>
        <sz val="11"/>
        <color theme="1"/>
        <name val="Calibri"/>
        <family val="2"/>
        <scheme val="minor"/>
      </font>
      <fill>
        <patternFill patternType="solid">
          <fgColor indexed="64"/>
          <bgColor theme="0"/>
        </patternFill>
      </fill>
    </dxf>
    <dxf>
      <font>
        <b val="0"/>
        <i val="0"/>
        <strike val="0"/>
        <condense val="0"/>
        <extend val="0"/>
        <outline val="0"/>
        <shadow val="0"/>
        <u val="none"/>
        <vertAlign val="baseline"/>
        <sz val="11"/>
        <color theme="1"/>
        <name val="Calibri"/>
        <family val="2"/>
        <scheme val="minor"/>
      </font>
      <fill>
        <patternFill patternType="solid">
          <fgColor indexed="64"/>
          <bgColor theme="0"/>
        </patternFill>
      </fill>
    </dxf>
    <dxf>
      <font>
        <b val="0"/>
        <i val="0"/>
        <strike val="0"/>
        <condense val="0"/>
        <extend val="0"/>
        <outline val="0"/>
        <shadow val="0"/>
        <u val="none"/>
        <vertAlign val="baseline"/>
        <sz val="11"/>
        <color theme="1"/>
        <name val="Calibri"/>
        <family val="2"/>
        <scheme val="minor"/>
      </font>
      <fill>
        <patternFill patternType="solid">
          <fgColor indexed="64"/>
          <bgColor theme="0"/>
        </patternFill>
      </fill>
    </dxf>
    <dxf>
      <font>
        <b val="0"/>
        <i val="0"/>
        <strike val="0"/>
        <condense val="0"/>
        <extend val="0"/>
        <outline val="0"/>
        <shadow val="0"/>
        <u val="none"/>
        <vertAlign val="baseline"/>
        <sz val="11"/>
        <color theme="1"/>
        <name val="Calibri"/>
        <family val="2"/>
        <scheme val="minor"/>
      </font>
      <fill>
        <patternFill patternType="solid">
          <fgColor indexed="64"/>
          <bgColor theme="0"/>
        </patternFill>
      </fill>
    </dxf>
    <dxf>
      <font>
        <b val="0"/>
        <i val="0"/>
        <strike val="0"/>
        <condense val="0"/>
        <extend val="0"/>
        <outline val="0"/>
        <shadow val="0"/>
        <u val="none"/>
        <vertAlign val="baseline"/>
        <sz val="11"/>
        <color theme="1"/>
        <name val="Calibri"/>
        <family val="2"/>
        <scheme val="minor"/>
      </font>
      <numFmt numFmtId="164" formatCode="_(&quot;$&quot;* #,##0_);_(&quot;$&quot;* \(#,##0\);_(&quot;$&quot;* &quot;-&quot;??_);_(@_)"/>
      <fill>
        <patternFill patternType="solid">
          <fgColor indexed="64"/>
          <bgColor theme="0"/>
        </patternFill>
      </fill>
    </dxf>
    <dxf>
      <font>
        <b val="0"/>
        <i val="0"/>
        <strike val="0"/>
        <condense val="0"/>
        <extend val="0"/>
        <outline val="0"/>
        <shadow val="0"/>
        <u val="none"/>
        <vertAlign val="baseline"/>
        <sz val="11"/>
        <color theme="1"/>
        <name val="Calibri"/>
        <family val="2"/>
        <scheme val="minor"/>
      </font>
      <fill>
        <patternFill patternType="solid">
          <fgColor indexed="64"/>
          <bgColor theme="0"/>
        </patternFill>
      </fill>
    </dxf>
    <dxf>
      <font>
        <b val="0"/>
        <i val="0"/>
        <strike val="0"/>
        <condense val="0"/>
        <extend val="0"/>
        <outline val="0"/>
        <shadow val="0"/>
        <u val="none"/>
        <vertAlign val="baseline"/>
        <sz val="11"/>
        <color theme="1"/>
        <name val="Calibri"/>
        <family val="2"/>
        <scheme val="minor"/>
      </font>
      <fill>
        <patternFill patternType="solid">
          <fgColor indexed="64"/>
          <bgColor theme="0"/>
        </patternFill>
      </fill>
    </dxf>
    <dxf>
      <font>
        <b val="0"/>
        <i val="0"/>
        <strike val="0"/>
        <condense val="0"/>
        <extend val="0"/>
        <outline val="0"/>
        <shadow val="0"/>
        <u val="none"/>
        <vertAlign val="baseline"/>
        <sz val="11"/>
        <color theme="1"/>
        <name val="Calibri"/>
        <family val="2"/>
        <scheme val="minor"/>
      </font>
      <fill>
        <patternFill patternType="solid">
          <fgColor indexed="64"/>
          <bgColor theme="0"/>
        </patternFill>
      </fill>
    </dxf>
    <dxf>
      <font>
        <b val="0"/>
        <i val="0"/>
        <strike val="0"/>
        <condense val="0"/>
        <extend val="0"/>
        <outline val="0"/>
        <shadow val="0"/>
        <u val="none"/>
        <vertAlign val="baseline"/>
        <sz val="11"/>
        <color theme="1"/>
        <name val="Calibri"/>
        <family val="2"/>
        <scheme val="minor"/>
      </font>
      <fill>
        <patternFill patternType="solid">
          <fgColor indexed="64"/>
          <bgColor theme="0"/>
        </patternFill>
      </fill>
    </dxf>
    <dxf>
      <font>
        <b val="0"/>
        <i val="0"/>
        <strike val="0"/>
        <condense val="0"/>
        <extend val="0"/>
        <outline val="0"/>
        <shadow val="0"/>
        <u val="none"/>
        <vertAlign val="baseline"/>
        <sz val="11"/>
        <color theme="1"/>
        <name val="Calibri"/>
        <family val="2"/>
        <scheme val="minor"/>
      </font>
      <fill>
        <patternFill patternType="solid">
          <fgColor indexed="64"/>
          <bgColor theme="0"/>
        </patternFill>
      </fill>
    </dxf>
    <dxf>
      <font>
        <b val="0"/>
        <i val="0"/>
        <strike val="0"/>
        <condense val="0"/>
        <extend val="0"/>
        <outline val="0"/>
        <shadow val="0"/>
        <u val="none"/>
        <vertAlign val="baseline"/>
        <sz val="11"/>
        <color theme="1"/>
        <name val="Calibri"/>
        <family val="2"/>
        <scheme val="minor"/>
      </font>
      <fill>
        <patternFill patternType="solid">
          <fgColor indexed="64"/>
          <bgColor theme="0"/>
        </patternFill>
      </fill>
    </dxf>
    <dxf>
      <font>
        <b val="0"/>
        <i val="0"/>
        <strike val="0"/>
        <condense val="0"/>
        <extend val="0"/>
        <outline val="0"/>
        <shadow val="0"/>
        <u val="none"/>
        <vertAlign val="baseline"/>
        <sz val="11"/>
        <color theme="1"/>
        <name val="Calibri"/>
        <family val="2"/>
        <scheme val="minor"/>
      </font>
      <fill>
        <patternFill patternType="solid">
          <fgColor indexed="64"/>
          <bgColor theme="0"/>
        </patternFill>
      </fill>
    </dxf>
    <dxf>
      <font>
        <b val="0"/>
        <i val="0"/>
        <strike val="0"/>
        <condense val="0"/>
        <extend val="0"/>
        <outline val="0"/>
        <shadow val="0"/>
        <u val="none"/>
        <vertAlign val="baseline"/>
        <sz val="11"/>
        <color theme="1"/>
        <name val="Calibri"/>
        <family val="2"/>
        <scheme val="minor"/>
      </font>
      <fill>
        <patternFill patternType="solid">
          <fgColor indexed="64"/>
          <bgColor theme="0"/>
        </patternFill>
      </fill>
    </dxf>
    <dxf>
      <font>
        <b val="0"/>
        <i val="0"/>
        <strike val="0"/>
        <condense val="0"/>
        <extend val="0"/>
        <outline val="0"/>
        <shadow val="0"/>
        <u val="none"/>
        <vertAlign val="baseline"/>
        <sz val="11"/>
        <color theme="1"/>
        <name val="Calibri"/>
        <family val="2"/>
        <scheme val="minor"/>
      </font>
      <fill>
        <patternFill patternType="solid">
          <fgColor indexed="64"/>
          <bgColor theme="0"/>
        </patternFill>
      </fill>
    </dxf>
    <dxf>
      <font>
        <b val="0"/>
        <i val="0"/>
        <strike val="0"/>
        <condense val="0"/>
        <extend val="0"/>
        <outline val="0"/>
        <shadow val="0"/>
        <u val="none"/>
        <vertAlign val="baseline"/>
        <sz val="11"/>
        <color theme="1"/>
        <name val="Calibri"/>
        <family val="2"/>
        <scheme val="minor"/>
      </font>
      <fill>
        <patternFill patternType="solid">
          <fgColor indexed="64"/>
          <bgColor theme="0"/>
        </patternFill>
      </fill>
    </dxf>
    <dxf>
      <font>
        <b val="0"/>
        <i val="0"/>
        <strike val="0"/>
        <condense val="0"/>
        <extend val="0"/>
        <outline val="0"/>
        <shadow val="0"/>
        <u val="none"/>
        <vertAlign val="baseline"/>
        <sz val="11"/>
        <color theme="1"/>
        <name val="Calibri"/>
        <family val="2"/>
        <scheme val="minor"/>
      </font>
      <fill>
        <patternFill patternType="solid">
          <fgColor indexed="64"/>
          <bgColor theme="0"/>
        </patternFill>
      </fill>
    </dxf>
    <dxf>
      <font>
        <b val="0"/>
        <i val="0"/>
        <strike val="0"/>
        <condense val="0"/>
        <extend val="0"/>
        <outline val="0"/>
        <shadow val="0"/>
        <u val="none"/>
        <vertAlign val="baseline"/>
        <sz val="11"/>
        <color theme="1"/>
        <name val="Calibri"/>
        <family val="2"/>
        <scheme val="minor"/>
      </font>
      <fill>
        <patternFill patternType="solid">
          <fgColor indexed="64"/>
          <bgColor theme="0"/>
        </patternFill>
      </fill>
    </dxf>
    <dxf>
      <font>
        <b val="0"/>
        <i val="0"/>
        <strike val="0"/>
        <condense val="0"/>
        <extend val="0"/>
        <outline val="0"/>
        <shadow val="0"/>
        <u val="none"/>
        <vertAlign val="baseline"/>
        <sz val="11"/>
        <color theme="1"/>
        <name val="Calibri"/>
        <family val="2"/>
        <scheme val="minor"/>
      </font>
      <fill>
        <patternFill patternType="solid">
          <fgColor indexed="64"/>
          <bgColor theme="0"/>
        </patternFill>
      </fill>
    </dxf>
    <dxf>
      <font>
        <b val="0"/>
        <i val="0"/>
        <strike val="0"/>
        <condense val="0"/>
        <extend val="0"/>
        <outline val="0"/>
        <shadow val="0"/>
        <u val="none"/>
        <vertAlign val="baseline"/>
        <sz val="11"/>
        <color theme="1"/>
        <name val="Calibri"/>
        <family val="2"/>
        <scheme val="minor"/>
      </font>
      <fill>
        <patternFill patternType="solid">
          <fgColor indexed="64"/>
          <bgColor theme="0"/>
        </patternFill>
      </fill>
    </dxf>
    <dxf>
      <font>
        <b val="0"/>
        <i val="0"/>
        <strike val="0"/>
        <condense val="0"/>
        <extend val="0"/>
        <outline val="0"/>
        <shadow val="0"/>
        <u val="none"/>
        <vertAlign val="baseline"/>
        <sz val="11"/>
        <color theme="1"/>
        <name val="Calibri"/>
        <family val="2"/>
        <scheme val="minor"/>
      </font>
      <fill>
        <patternFill patternType="solid">
          <fgColor indexed="64"/>
          <bgColor theme="0"/>
        </patternFill>
      </fill>
    </dxf>
    <dxf>
      <font>
        <b val="0"/>
        <i val="0"/>
        <strike val="0"/>
        <condense val="0"/>
        <extend val="0"/>
        <outline val="0"/>
        <shadow val="0"/>
        <u val="none"/>
        <vertAlign val="baseline"/>
        <sz val="11"/>
        <color theme="1"/>
        <name val="Calibri"/>
        <family val="2"/>
        <scheme val="minor"/>
      </font>
      <numFmt numFmtId="19" formatCode="m/d/yyyy"/>
      <fill>
        <patternFill patternType="solid">
          <fgColor indexed="64"/>
          <bgColor theme="0"/>
        </patternFill>
      </fill>
    </dxf>
    <dxf>
      <font>
        <b val="0"/>
        <i val="0"/>
        <strike val="0"/>
        <condense val="0"/>
        <extend val="0"/>
        <outline val="0"/>
        <shadow val="0"/>
        <u val="none"/>
        <vertAlign val="baseline"/>
        <sz val="11"/>
        <color theme="1"/>
        <name val="Calibri"/>
        <family val="2"/>
        <scheme val="minor"/>
      </font>
      <fill>
        <patternFill patternType="solid">
          <fgColor indexed="64"/>
          <bgColor theme="0"/>
        </patternFill>
      </fill>
    </dxf>
    <dxf>
      <font>
        <b val="0"/>
        <i val="0"/>
        <strike val="0"/>
        <condense val="0"/>
        <extend val="0"/>
        <outline val="0"/>
        <shadow val="0"/>
        <u val="none"/>
        <vertAlign val="baseline"/>
        <sz val="11"/>
        <color theme="1"/>
        <name val="Calibri"/>
        <family val="2"/>
        <scheme val="minor"/>
      </font>
      <fill>
        <patternFill patternType="solid">
          <fgColor indexed="64"/>
          <bgColor theme="0"/>
        </patternFill>
      </fill>
    </dxf>
    <dxf>
      <border outline="0">
        <left style="thin">
          <color theme="1"/>
        </left>
        <right style="thin">
          <color theme="1"/>
        </right>
        <top style="thin">
          <color theme="1"/>
        </top>
        <bottom style="thin">
          <color theme="1"/>
        </bottom>
      </border>
    </dxf>
    <dxf>
      <font>
        <b val="0"/>
        <i val="0"/>
        <strike val="0"/>
        <condense val="0"/>
        <extend val="0"/>
        <outline val="0"/>
        <shadow val="0"/>
        <u val="none"/>
        <vertAlign val="baseline"/>
        <sz val="11"/>
        <color theme="1"/>
        <name val="Calibri"/>
        <family val="2"/>
        <scheme val="minor"/>
      </font>
      <fill>
        <patternFill patternType="solid">
          <fgColor indexed="64"/>
          <bgColor theme="0"/>
        </patternFill>
      </fill>
    </dxf>
    <dxf>
      <font>
        <b/>
        <i val="0"/>
        <strike val="0"/>
        <condense val="0"/>
        <extend val="0"/>
        <outline val="0"/>
        <shadow val="0"/>
        <u val="none"/>
        <vertAlign val="baseline"/>
        <sz val="11"/>
        <color theme="1"/>
        <name val="Calibri"/>
        <family val="2"/>
        <scheme val="minor"/>
      </font>
      <numFmt numFmtId="19" formatCode="m/d/yyyy"/>
      <fill>
        <patternFill patternType="solid">
          <fgColor theme="1"/>
          <bgColor theme="0"/>
        </patternFill>
      </fill>
    </dxf>
    <dxf>
      <font>
        <b/>
        <i val="0"/>
        <sz val="8"/>
        <color theme="0" tint="-0.24994659260841701"/>
        <name val="Calibri"/>
        <family val="2"/>
        <scheme val="minor"/>
      </font>
    </dxf>
    <dxf>
      <fill>
        <patternFill>
          <bgColor theme="0"/>
        </patternFill>
      </fill>
    </dxf>
    <dxf>
      <fill>
        <patternFill>
          <bgColor theme="0"/>
        </patternFill>
      </fill>
    </dxf>
    <dxf>
      <font>
        <color theme="0"/>
      </font>
      <fill>
        <patternFill>
          <bgColor theme="4" tint="-0.499984740745262"/>
        </patternFill>
      </fill>
    </dxf>
    <dxf>
      <font>
        <b val="0"/>
        <i val="0"/>
        <color theme="1"/>
      </font>
      <fill>
        <patternFill>
          <bgColor theme="0"/>
        </patternFill>
      </fill>
    </dxf>
    <dxf>
      <font>
        <color theme="1"/>
      </font>
      <fill>
        <patternFill>
          <bgColor theme="0"/>
        </patternFill>
      </fill>
    </dxf>
    <dxf>
      <font>
        <color theme="1"/>
      </font>
      <fill>
        <patternFill>
          <bgColor theme="0"/>
        </patternFill>
      </fill>
    </dxf>
    <dxf>
      <font>
        <b/>
        <i val="0"/>
        <color theme="0"/>
      </font>
      <fill>
        <patternFill>
          <fgColor theme="4" tint="-0.499984740745262"/>
          <bgColor theme="4" tint="-0.499984740745262"/>
        </patternFill>
      </fill>
    </dxf>
    <dxf>
      <font>
        <color theme="1"/>
      </font>
      <fill>
        <patternFill>
          <fgColor theme="0"/>
          <bgColor theme="0"/>
        </patternFill>
      </fill>
    </dxf>
    <dxf>
      <font>
        <b/>
        <i val="0"/>
        <sz val="12"/>
        <color theme="0"/>
        <name val="Calibri"/>
        <family val="2"/>
        <scheme val="major"/>
      </font>
      <fill>
        <patternFill>
          <bgColor rgb="FF002060"/>
        </patternFill>
      </fill>
    </dxf>
    <dxf>
      <font>
        <sz val="9"/>
      </font>
      <fill>
        <patternFill>
          <bgColor theme="2" tint="-4.9989318521683403E-2"/>
        </patternFill>
      </fill>
    </dxf>
    <dxf>
      <font>
        <color theme="1"/>
      </font>
      <fill>
        <patternFill>
          <bgColor theme="2" tint="-0.34998626667073579"/>
        </patternFill>
      </fill>
    </dxf>
    <dxf>
      <font>
        <sz val="14"/>
        <color theme="0"/>
      </font>
      <fill>
        <patternFill>
          <bgColor theme="0"/>
        </patternFill>
      </fill>
    </dxf>
    <dxf>
      <fill>
        <patternFill patternType="solid">
          <fgColor rgb="FFDBE5F1"/>
          <bgColor rgb="FFDBE5F1"/>
        </patternFill>
      </fill>
    </dxf>
    <dxf>
      <fill>
        <patternFill patternType="solid">
          <fgColor rgb="FFB8CCE4"/>
          <bgColor rgb="FFB8CCE4"/>
        </patternFill>
      </fill>
    </dxf>
    <dxf>
      <fill>
        <patternFill patternType="solid">
          <fgColor theme="4"/>
          <bgColor theme="4"/>
        </patternFill>
      </fill>
    </dxf>
    <dxf>
      <font>
        <b/>
        <i val="0"/>
        <color theme="0"/>
      </font>
      <fill>
        <patternFill>
          <bgColor rgb="FF002060"/>
        </patternFill>
      </fill>
      <border diagonalUp="0" diagonalDown="0">
        <left/>
        <right/>
        <top/>
        <bottom/>
        <vertical/>
        <horizontal/>
      </border>
    </dxf>
    <dxf>
      <font>
        <b/>
        <i val="0"/>
        <color theme="0"/>
      </font>
    </dxf>
    <dxf>
      <font>
        <color theme="0"/>
      </font>
      <fill>
        <patternFill>
          <bgColor rgb="FF002060"/>
        </patternFill>
      </fill>
    </dxf>
    <dxf>
      <fill>
        <patternFill>
          <bgColor rgb="FF002060"/>
        </patternFill>
      </fill>
    </dxf>
  </dxfs>
  <tableStyles count="14" defaultTableStyle="Table Style 3" defaultPivotStyle="PivotStyleLight16">
    <tableStyle name="PivotTable Style 1" table="0" count="0" xr9:uid="{962E87C2-1C46-40A0-922C-DC3FB73701DA}"/>
    <tableStyle name="PivotTable Style 2" table="0" count="1" xr9:uid="{0BE4B6C1-CEBF-44B3-989B-59B451C26412}">
      <tableStyleElement type="headerRow" dxfId="102"/>
    </tableStyle>
    <tableStyle name="PivotTable Style 3" table="0" count="1" xr9:uid="{0AD19F1F-0EB5-4C5D-BA1F-B1F991390A25}">
      <tableStyleElement type="headerRow" dxfId="101"/>
    </tableStyle>
    <tableStyle name="PivotTable Style 4" table="0" count="1" xr9:uid="{8AB9ECE1-59C0-4959-B016-BF7BF1ED522D}">
      <tableStyleElement type="headerRow" dxfId="100"/>
    </tableStyle>
    <tableStyle name="PivotTable Style 5" table="0" count="1" xr9:uid="{C2B68371-1A92-4DA6-82DD-8CE48A7D05E6}">
      <tableStyleElement type="headerRow" dxfId="99"/>
    </tableStyle>
    <tableStyle name="Sales Data-style" pivot="0" count="3" xr9:uid="{00000000-0011-0000-FFFF-FFFF00000000}">
      <tableStyleElement type="headerRow" dxfId="98"/>
      <tableStyleElement type="firstRowStripe" dxfId="97"/>
      <tableStyleElement type="secondRowStripe" dxfId="96"/>
    </tableStyle>
    <tableStyle name="Slicer Style 1" pivot="0" table="0" count="0" xr9:uid="{93B7ADDF-5FF5-42AB-91ED-25FF45061625}"/>
    <tableStyle name="Slicer Style 10" pivot="0" table="0" count="6" xr9:uid="{FED4BF9F-F39F-4B00-A5EE-0BD25E4AF60C}">
      <tableStyleElement type="wholeTable" dxfId="95"/>
      <tableStyleElement type="headerRow" dxfId="94"/>
    </tableStyle>
    <tableStyle name="Slicer Style 2" pivot="0" table="0" count="3" xr9:uid="{F0755AB1-4BAD-4427-B537-CA0AD229724A}">
      <tableStyleElement type="wholeTable" dxfId="93"/>
      <tableStyleElement type="headerRow" dxfId="92"/>
    </tableStyle>
    <tableStyle name="Table Style 1" pivot="0" count="0" xr9:uid="{ED05F153-7823-4EC6-9739-BD6511C9DF04}"/>
    <tableStyle name="Table Style 2" pivot="0" count="0" xr9:uid="{D344C8B2-DD2D-481F-A11D-A351089627D4}"/>
    <tableStyle name="Table Style 3" pivot="0" count="4" xr9:uid="{7BE32D84-DF76-47EA-81C6-222A2D663344}">
      <tableStyleElement type="wholeTable" dxfId="91"/>
      <tableStyleElement type="headerRow" dxfId="90"/>
      <tableStyleElement type="firstRowStripe" dxfId="89"/>
      <tableStyleElement type="secondRowStripe" dxfId="88"/>
    </tableStyle>
    <tableStyle name="Table Style 4" pivot="0" count="4" xr9:uid="{E4F897EE-4996-4085-91C0-091A56B0BF25}">
      <tableStyleElement type="wholeTable" dxfId="87"/>
      <tableStyleElement type="headerRow" dxfId="86"/>
      <tableStyleElement type="firstColumnStripe" dxfId="85"/>
      <tableStyleElement type="secondColumnStripe" dxfId="84"/>
    </tableStyle>
    <tableStyle name="Timeline Style 1" pivot="0" table="0" count="7" xr9:uid="{0DA95699-0D03-4237-AB8D-D20E9376C047}">
      <tableStyleElement type="headerRow" dxfId="83"/>
    </tableStyle>
  </tableStyles>
  <colors>
    <mruColors>
      <color rgb="FFEAEAEA"/>
    </mruColors>
  </colors>
  <extLst>
    <ext xmlns:x14="http://schemas.microsoft.com/office/spreadsheetml/2009/9/main" uri="{46F421CA-312F-682f-3DD2-61675219B42D}">
      <x14:dxfs count="5">
        <dxf>
          <font>
            <sz val="9"/>
          </font>
        </dxf>
        <dxf>
          <font>
            <color theme="1"/>
          </font>
        </dxf>
        <dxf>
          <font>
            <color theme="1"/>
          </font>
        </dxf>
        <dxf>
          <font>
            <color theme="1"/>
          </font>
          <fill>
            <patternFill>
              <bgColor theme="0"/>
            </patternFill>
          </fill>
        </dxf>
        <dxf>
          <font>
            <color theme="1"/>
          </font>
          <fill>
            <patternFill>
              <bgColor theme="0"/>
            </patternFill>
          </fill>
        </dxf>
      </x14:dxfs>
    </ext>
    <ext xmlns:x14="http://schemas.microsoft.com/office/spreadsheetml/2009/9/main" uri="{EB79DEF2-80B8-43e5-95BD-54CBDDF9020C}">
      <x14:slicerStyles defaultSlicerStyle="Slicer Style 10">
        <x14:slicerStyle name="Slicer Style 1"/>
        <x14:slicerStyle name="Slicer Style 10">
          <x14:slicerStyleElements>
            <x14:slicerStyleElement type="unselectedItemWithData" dxfId="4"/>
            <x14:slicerStyleElement type="selectedItemWithData" dxfId="3"/>
            <x14:slicerStyleElement type="hoveredUnselectedItemWithData" dxfId="2"/>
            <x14:slicerStyleElement type="hoveredSelectedItemWithData" dxfId="1"/>
          </x14:slicerStyleElements>
        </x14:slicerStyle>
        <x14:slicerStyle name="Slicer Style 2">
          <x14:slicerStyleElements>
            <x14:slicerStyleElement type="unselectedItemWithData" dxfId="0"/>
          </x14:slicerStyleElements>
        </x14:slicerStyle>
      </x14:slicerStyles>
    </ext>
    <ext xmlns:x15="http://schemas.microsoft.com/office/spreadsheetml/2010/11/main" uri="{A0A4C193-F2C1-4fcb-8827-314CF55A85BB}">
      <x15:dxfs count="6">
        <dxf>
          <fill>
            <patternFill patternType="solid">
              <fgColor theme="0" tint="-0.14990691854609822"/>
              <bgColor theme="4" tint="-0.499984740745262"/>
            </patternFill>
          </fill>
        </dxf>
        <dxf>
          <fill>
            <patternFill patternType="solid">
              <fgColor theme="0"/>
              <bgColor theme="0" tint="-0.24994659260841701"/>
            </patternFill>
          </fill>
        </dxf>
        <dxf>
          <font>
            <sz val="9"/>
            <color theme="1" tint="0.499984740745262"/>
          </font>
        </dxf>
        <dxf>
          <font>
            <sz val="10"/>
            <color theme="1"/>
            <name val="Calibri"/>
            <family val="2"/>
            <scheme val="minor"/>
          </font>
        </dxf>
        <dxf>
          <font>
            <sz val="8"/>
            <color theme="1"/>
          </font>
        </dxf>
        <dxf>
          <font>
            <sz val="9"/>
          </font>
        </dxf>
      </x15:dxfs>
    </ext>
    <ext xmlns:x15="http://schemas.microsoft.com/office/spreadsheetml/2010/11/main" uri="{9260A510-F301-46a8-8635-F512D64BE5F5}">
      <x15:timelineStyles defaultTimelineStyle="TimeSlicerStyleLight1">
        <x15:timelineStyle name="Timeline Style 1">
          <x15:timelineStyleElements>
            <x15:timelineStyleElement type="selectionLabel" dxfId="5"/>
            <x15:timelineStyleElement type="timeLevel" dxfId="4"/>
            <x15:timelineStyleElement type="periodLabel1" dxfId="3"/>
            <x15:timelineStyleElement type="periodLabel2" dxfId="2"/>
            <x15:timelineStyleElement type="selectedTimeBlock" dxfId="1"/>
            <x15:timelineStyleElement type="unselectedTimeBlock" dxfId="0"/>
          </x15:timelineStyleElements>
        </x15:timelineStyle>
      </x15:timelineStyles>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2.xml"/><Relationship Id="rId3" Type="http://schemas.openxmlformats.org/officeDocument/2006/relationships/worksheet" Target="worksheets/sheet3.xml"/><Relationship Id="rId7" Type="http://schemas.microsoft.com/office/2007/relationships/slicerCache" Target="slicerCaches/slicerCache1.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[Excel_Sales_Analysis­.xlsx]Pivot Table &amp; Chart!PivotTable3</c:name>
    <c:fmtId val="1"/>
  </c:pivotSource>
  <c:chart>
    <c:autoTitleDeleted val="1"/>
    <c:pivotFmts>
      <c:pivotFmt>
        <c:idx val="0"/>
        <c:spPr>
          <a:solidFill>
            <a:schemeClr val="accent1">
              <a:lumMod val="50000"/>
            </a:schemeClr>
          </a:solidFill>
          <a:ln>
            <a:noFill/>
          </a:ln>
          <a:effectLst/>
        </c:spPr>
        <c:marker>
          <c:symbol val="none"/>
        </c:marker>
        <c:dLbl>
          <c:idx val="0"/>
          <c:numFmt formatCode="&quot;$&quot;#,##0" sourceLinked="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bg1">
                      <a:lumMod val="5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 &amp; Chart'!$B$15</c:f>
              <c:strCache>
                <c:ptCount val="1"/>
                <c:pt idx="0">
                  <c:v>Total</c:v>
                </c:pt>
              </c:strCache>
            </c:strRef>
          </c:tx>
          <c:spPr>
            <a:solidFill>
              <a:schemeClr val="accent1">
                <a:lumMod val="50000"/>
              </a:schemeClr>
            </a:solidFill>
            <a:ln>
              <a:noFill/>
            </a:ln>
            <a:effectLst/>
          </c:spPr>
          <c:invertIfNegative val="0"/>
          <c:dLbls>
            <c:numFmt formatCode="&quot;$&quot;#,##0" sourceLinked="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bg1">
                        <a:lumMod val="50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 &amp; Chart'!$A$16:$A$21</c:f>
              <c:strCache>
                <c:ptCount val="6"/>
                <c:pt idx="0">
                  <c:v>Peter</c:v>
                </c:pt>
                <c:pt idx="1">
                  <c:v>Musa</c:v>
                </c:pt>
                <c:pt idx="2">
                  <c:v>David</c:v>
                </c:pt>
                <c:pt idx="3">
                  <c:v>Aisha</c:v>
                </c:pt>
                <c:pt idx="4">
                  <c:v>Chidinma</c:v>
                </c:pt>
                <c:pt idx="5">
                  <c:v>Grace</c:v>
                </c:pt>
              </c:strCache>
            </c:strRef>
          </c:cat>
          <c:val>
            <c:numRef>
              <c:f>'Pivot Table &amp; Chart'!$B$16:$B$21</c:f>
              <c:numCache>
                <c:formatCode>"$"#,##0</c:formatCode>
                <c:ptCount val="6"/>
                <c:pt idx="0">
                  <c:v>434805000</c:v>
                </c:pt>
                <c:pt idx="1">
                  <c:v>397665000</c:v>
                </c:pt>
                <c:pt idx="2">
                  <c:v>378660000</c:v>
                </c:pt>
                <c:pt idx="3">
                  <c:v>378035000</c:v>
                </c:pt>
                <c:pt idx="4">
                  <c:v>371370000</c:v>
                </c:pt>
                <c:pt idx="5">
                  <c:v>367835000</c:v>
                </c:pt>
              </c:numCache>
            </c:numRef>
          </c:val>
          <c:extLst>
            <c:ext xmlns:c16="http://schemas.microsoft.com/office/drawing/2014/chart" uri="{C3380CC4-5D6E-409C-BE32-E72D297353CC}">
              <c16:uniqueId val="{00000004-0BE1-4DC6-8A8D-2C6244FA4CA0}"/>
            </c:ext>
          </c:extLst>
        </c:ser>
        <c:dLbls>
          <c:dLblPos val="outEnd"/>
          <c:showLegendKey val="0"/>
          <c:showVal val="1"/>
          <c:showCatName val="0"/>
          <c:showSerName val="0"/>
          <c:showPercent val="0"/>
          <c:showBubbleSize val="0"/>
        </c:dLbls>
        <c:gapWidth val="30"/>
        <c:axId val="1211021792"/>
        <c:axId val="1210996832"/>
      </c:barChart>
      <c:catAx>
        <c:axId val="1211021792"/>
        <c:scaling>
          <c:orientation val="maxMin"/>
        </c:scaling>
        <c:delete val="0"/>
        <c:axPos val="l"/>
        <c:numFmt formatCode="&quot;$&quot;#,##0" sourceLinked="0"/>
        <c:majorTickMark val="none"/>
        <c:minorTickMark val="none"/>
        <c:tickLblPos val="nextTo"/>
        <c:spPr>
          <a:noFill/>
          <a:ln w="9525" cap="flat" cmpd="sng" algn="ctr">
            <a:no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10996832"/>
        <c:crosses val="autoZero"/>
        <c:auto val="1"/>
        <c:lblAlgn val="ctr"/>
        <c:lblOffset val="100"/>
        <c:noMultiLvlLbl val="0"/>
      </c:catAx>
      <c:valAx>
        <c:axId val="1210996832"/>
        <c:scaling>
          <c:orientation val="minMax"/>
        </c:scaling>
        <c:delete val="1"/>
        <c:axPos val="t"/>
        <c:numFmt formatCode="&quot;$&quot;#,##0" sourceLinked="1"/>
        <c:majorTickMark val="out"/>
        <c:minorTickMark val="none"/>
        <c:tickLblPos val="nextTo"/>
        <c:crossAx val="121102179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[Excel_Sales_Analysis­.xlsx]Pivot Table &amp; Chart!PivotTable1</c:name>
    <c:fmtId val="2"/>
  </c:pivotSource>
  <c:chart>
    <c:autoTitleDeleted val="1"/>
    <c:pivotFmts>
      <c:pivotFmt>
        <c:idx val="0"/>
        <c:spPr>
          <a:solidFill>
            <a:schemeClr val="accent1">
              <a:lumMod val="50000"/>
            </a:schemeClr>
          </a:solidFill>
          <a:ln>
            <a:noFill/>
          </a:ln>
          <a:effectLst/>
        </c:spPr>
        <c:marker>
          <c:symbol val="none"/>
        </c:marker>
        <c:dLbl>
          <c:idx val="0"/>
          <c:numFmt formatCode="&quot;$&quot;#,##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lumMod val="5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 &amp; Chart'!$B$1</c:f>
              <c:strCache>
                <c:ptCount val="1"/>
                <c:pt idx="0">
                  <c:v>Total</c:v>
                </c:pt>
              </c:strCache>
            </c:strRef>
          </c:tx>
          <c:spPr>
            <a:solidFill>
              <a:schemeClr val="accent1">
                <a:lumMod val="50000"/>
              </a:schemeClr>
            </a:solidFill>
            <a:ln>
              <a:noFill/>
            </a:ln>
            <a:effectLst/>
          </c:spPr>
          <c:invertIfNegative val="0"/>
          <c:dLbls>
            <c:numFmt formatCode="&quot;$&quot;#,##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lumMod val="50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 &amp; Chart'!$A$2:$A$11</c:f>
              <c:strCache>
                <c:ptCount val="10"/>
                <c:pt idx="0">
                  <c:v>Laptop A13</c:v>
                </c:pt>
                <c:pt idx="1">
                  <c:v>Sofa Classic</c:v>
                </c:pt>
                <c:pt idx="2">
                  <c:v>Desktop PC D21</c:v>
                </c:pt>
                <c:pt idx="3">
                  <c:v>Smartphone Z10</c:v>
                </c:pt>
                <c:pt idx="4">
                  <c:v>Refrigerator R55</c:v>
                </c:pt>
                <c:pt idx="5">
                  <c:v>Air Conditioner X2</c:v>
                </c:pt>
                <c:pt idx="6">
                  <c:v>Printer P50</c:v>
                </c:pt>
                <c:pt idx="7">
                  <c:v>Office Chair Pro</c:v>
                </c:pt>
                <c:pt idx="8">
                  <c:v>Microwave M20</c:v>
                </c:pt>
                <c:pt idx="9">
                  <c:v>Blender B10</c:v>
                </c:pt>
              </c:strCache>
            </c:strRef>
          </c:cat>
          <c:val>
            <c:numRef>
              <c:f>'Pivot Table &amp; Chart'!$B$2:$B$11</c:f>
              <c:numCache>
                <c:formatCode>"$"#,##0</c:formatCode>
                <c:ptCount val="10"/>
                <c:pt idx="0">
                  <c:v>105336000</c:v>
                </c:pt>
                <c:pt idx="1">
                  <c:v>69248000</c:v>
                </c:pt>
                <c:pt idx="2">
                  <c:v>68640000</c:v>
                </c:pt>
                <c:pt idx="3">
                  <c:v>51950000</c:v>
                </c:pt>
                <c:pt idx="4">
                  <c:v>48312000</c:v>
                </c:pt>
                <c:pt idx="5">
                  <c:v>44964000</c:v>
                </c:pt>
                <c:pt idx="6">
                  <c:v>38850000</c:v>
                </c:pt>
                <c:pt idx="7">
                  <c:v>18088000</c:v>
                </c:pt>
                <c:pt idx="8">
                  <c:v>13416000</c:v>
                </c:pt>
                <c:pt idx="9">
                  <c:v>6870000</c:v>
                </c:pt>
              </c:numCache>
            </c:numRef>
          </c:val>
          <c:extLst>
            <c:ext xmlns:c16="http://schemas.microsoft.com/office/drawing/2014/chart" uri="{C3380CC4-5D6E-409C-BE32-E72D297353CC}">
              <c16:uniqueId val="{00000006-875D-4E96-A702-556548408805}"/>
            </c:ext>
          </c:extLst>
        </c:ser>
        <c:dLbls>
          <c:dLblPos val="outEnd"/>
          <c:showLegendKey val="0"/>
          <c:showVal val="1"/>
          <c:showCatName val="0"/>
          <c:showSerName val="0"/>
          <c:showPercent val="0"/>
          <c:showBubbleSize val="0"/>
        </c:dLbls>
        <c:gapWidth val="30"/>
        <c:axId val="1211061632"/>
        <c:axId val="1211060672"/>
      </c:barChart>
      <c:catAx>
        <c:axId val="1211061632"/>
        <c:scaling>
          <c:orientation val="maxMin"/>
        </c:scaling>
        <c:delete val="0"/>
        <c:axPos val="l"/>
        <c:numFmt formatCode="General" sourceLinked="1"/>
        <c:majorTickMark val="out"/>
        <c:minorTickMark val="none"/>
        <c:tickLblPos val="nextTo"/>
        <c:spPr>
          <a:noFill/>
          <a:ln w="9525" cap="flat" cmpd="sng" algn="ctr">
            <a:no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alpha val="98000"/>
                  </a:schemeClr>
                </a:solidFill>
                <a:latin typeface="+mn-lt"/>
                <a:ea typeface="+mn-ea"/>
                <a:cs typeface="+mn-cs"/>
              </a:defRPr>
            </a:pPr>
            <a:endParaRPr lang="en-US"/>
          </a:p>
        </c:txPr>
        <c:crossAx val="1211060672"/>
        <c:crosses val="autoZero"/>
        <c:auto val="1"/>
        <c:lblAlgn val="ctr"/>
        <c:lblOffset val="100"/>
        <c:noMultiLvlLbl val="0"/>
      </c:catAx>
      <c:valAx>
        <c:axId val="1211060672"/>
        <c:scaling>
          <c:orientation val="minMax"/>
        </c:scaling>
        <c:delete val="1"/>
        <c:axPos val="t"/>
        <c:numFmt formatCode="&quot;$&quot;#,##0" sourceLinked="1"/>
        <c:majorTickMark val="out"/>
        <c:minorTickMark val="none"/>
        <c:tickLblPos val="nextTo"/>
        <c:crossAx val="121106163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[Excel_Sales_Analysis­.xlsx]Pivot Table &amp; Chart!PivotTable7</c:name>
    <c:fmtId val="5"/>
  </c:pivotSource>
  <c:chart>
    <c:autoTitleDeleted val="1"/>
    <c:pivotFmts>
      <c:pivotFmt>
        <c:idx val="0"/>
        <c:spPr>
          <a:solidFill>
            <a:schemeClr val="accent1"/>
          </a:solidFill>
          <a:ln w="28575" cap="rnd">
            <a:solidFill>
              <a:schemeClr val="accent1">
                <a:lumMod val="50000"/>
              </a:schemeClr>
            </a:solidFill>
            <a:round/>
          </a:ln>
          <a:effectLst/>
        </c:spPr>
        <c:marker>
          <c:symbol val="none"/>
        </c:marker>
        <c:dLbl>
          <c:idx val="0"/>
          <c:numFmt formatCode="#,##0" sourceLinked="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bg1">
                      <a:lumMod val="50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2.7842240942319792E-2"/>
          <c:y val="7.3701803663037677E-2"/>
          <c:w val="0.93194118880766275"/>
          <c:h val="0.77086599883090057"/>
        </c:manualLayout>
      </c:layout>
      <c:lineChart>
        <c:grouping val="standard"/>
        <c:varyColors val="0"/>
        <c:ser>
          <c:idx val="0"/>
          <c:order val="0"/>
          <c:tx>
            <c:strRef>
              <c:f>'Pivot Table &amp; Chart'!$M$16</c:f>
              <c:strCache>
                <c:ptCount val="1"/>
                <c:pt idx="0">
                  <c:v>Total</c:v>
                </c:pt>
              </c:strCache>
            </c:strRef>
          </c:tx>
          <c:spPr>
            <a:ln w="28575" cap="rnd">
              <a:solidFill>
                <a:schemeClr val="accent1"/>
              </a:solidFill>
              <a:round/>
            </a:ln>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 &amp; Chart'!$L$17:$L$21</c:f>
              <c:strCache>
                <c:ptCount val="5"/>
                <c:pt idx="0">
                  <c:v>Jan</c:v>
                </c:pt>
                <c:pt idx="1">
                  <c:v>Feb</c:v>
                </c:pt>
                <c:pt idx="2">
                  <c:v>Mar</c:v>
                </c:pt>
                <c:pt idx="3">
                  <c:v>Apr</c:v>
                </c:pt>
                <c:pt idx="4">
                  <c:v>May</c:v>
                </c:pt>
              </c:strCache>
            </c:strRef>
          </c:cat>
          <c:val>
            <c:numRef>
              <c:f>'Pivot Table &amp; Chart'!$M$17:$M$21</c:f>
              <c:numCache>
                <c:formatCode>0</c:formatCode>
                <c:ptCount val="5"/>
                <c:pt idx="0">
                  <c:v>547065000</c:v>
                </c:pt>
                <c:pt idx="1">
                  <c:v>552405000</c:v>
                </c:pt>
                <c:pt idx="2">
                  <c:v>633440000</c:v>
                </c:pt>
                <c:pt idx="3">
                  <c:v>582155000</c:v>
                </c:pt>
                <c:pt idx="4">
                  <c:v>13305000</c:v>
                </c:pt>
              </c:numCache>
            </c:numRef>
          </c:val>
          <c:smooth val="0"/>
          <c:extLst>
            <c:ext xmlns:c16="http://schemas.microsoft.com/office/drawing/2014/chart" uri="{C3380CC4-5D6E-409C-BE32-E72D297353CC}">
              <c16:uniqueId val="{00000001-C43F-4B3C-805D-3719D0BE0986}"/>
            </c:ext>
          </c:extLst>
        </c:ser>
        <c:dLbls>
          <c:dLblPos val="t"/>
          <c:showLegendKey val="0"/>
          <c:showVal val="1"/>
          <c:showCatName val="0"/>
          <c:showSerName val="0"/>
          <c:showPercent val="0"/>
          <c:showBubbleSize val="0"/>
        </c:dLbls>
        <c:smooth val="0"/>
        <c:axId val="1306658576"/>
        <c:axId val="1306663376"/>
      </c:lineChart>
      <c:catAx>
        <c:axId val="1306658576"/>
        <c:scaling>
          <c:orientation val="minMax"/>
        </c:scaling>
        <c:delete val="0"/>
        <c:axPos val="b"/>
        <c:numFmt formatCode="General" sourceLinked="1"/>
        <c:majorTickMark val="none"/>
        <c:minorTickMark val="none"/>
        <c:tickLblPos val="nextTo"/>
        <c:spPr>
          <a:noFill/>
          <a:ln w="9525" cap="flat" cmpd="sng" algn="ctr">
            <a:no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06663376"/>
        <c:crosses val="autoZero"/>
        <c:auto val="1"/>
        <c:lblAlgn val="ctr"/>
        <c:lblOffset val="100"/>
        <c:noMultiLvlLbl val="0"/>
      </c:catAx>
      <c:valAx>
        <c:axId val="1306663376"/>
        <c:scaling>
          <c:orientation val="minMax"/>
        </c:scaling>
        <c:delete val="1"/>
        <c:axPos val="l"/>
        <c:numFmt formatCode="0" sourceLinked="1"/>
        <c:majorTickMark val="none"/>
        <c:minorTickMark val="none"/>
        <c:tickLblPos val="nextTo"/>
        <c:crossAx val="130665857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[Excel_Sales_Analysis­.xlsx]Pivot Table &amp; Chart!PivotTable5</c:name>
    <c:fmtId val="2"/>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s>
    <c:plotArea>
      <c:layout/>
      <c:doughnutChart>
        <c:varyColors val="1"/>
        <c:ser>
          <c:idx val="0"/>
          <c:order val="0"/>
          <c:tx>
            <c:strRef>
              <c:f>'Pivot Table &amp; Chart'!$M$2</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4155-42B8-98D7-43E00B5C1900}"/>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4155-42B8-98D7-43E00B5C1900}"/>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4155-42B8-98D7-43E00B5C1900}"/>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4155-42B8-98D7-43E00B5C1900}"/>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Table &amp; Chart'!$L$3:$L$6</c:f>
              <c:strCache>
                <c:ptCount val="4"/>
                <c:pt idx="0">
                  <c:v>Abuja</c:v>
                </c:pt>
                <c:pt idx="1">
                  <c:v>Kano</c:v>
                </c:pt>
                <c:pt idx="2">
                  <c:v>Lagos</c:v>
                </c:pt>
                <c:pt idx="3">
                  <c:v>Port Harcourt</c:v>
                </c:pt>
              </c:strCache>
            </c:strRef>
          </c:cat>
          <c:val>
            <c:numRef>
              <c:f>'Pivot Table &amp; Chart'!$M$3:$M$6</c:f>
              <c:numCache>
                <c:formatCode>"$"#,##0</c:formatCode>
                <c:ptCount val="4"/>
                <c:pt idx="0">
                  <c:v>423312000</c:v>
                </c:pt>
                <c:pt idx="1">
                  <c:v>486788000</c:v>
                </c:pt>
                <c:pt idx="2">
                  <c:v>493812000</c:v>
                </c:pt>
                <c:pt idx="3">
                  <c:v>458784000</c:v>
                </c:pt>
              </c:numCache>
            </c:numRef>
          </c:val>
          <c:extLst>
            <c:ext xmlns:c16="http://schemas.microsoft.com/office/drawing/2014/chart" uri="{C3380CC4-5D6E-409C-BE32-E72D297353CC}">
              <c16:uniqueId val="{0000000C-D319-4CDA-BFDE-86BD749C9108}"/>
            </c:ext>
          </c:extLst>
        </c:ser>
        <c:dLbls>
          <c:showLegendKey val="0"/>
          <c:showVal val="0"/>
          <c:showCatName val="0"/>
          <c:showSerName val="0"/>
          <c:showPercent val="1"/>
          <c:showBubbleSize val="0"/>
          <c:showLeaderLines val="1"/>
        </c:dLbls>
        <c:firstSliceAng val="0"/>
        <c:holeSize val="3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Categories val="1"/>
      </c14:pivotOptions>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[Excel_Sales_Analysis­.xlsx]Pivot Table &amp; Chart!PivotTable1</c:name>
    <c:fmtId val="9"/>
  </c:pivotSource>
  <c:chart>
    <c:autoTitleDeleted val="1"/>
    <c:pivotFmts>
      <c:pivotFmt>
        <c:idx val="0"/>
        <c:spPr>
          <a:solidFill>
            <a:schemeClr val="accent1">
              <a:lumMod val="50000"/>
            </a:schemeClr>
          </a:solidFill>
          <a:ln>
            <a:noFill/>
          </a:ln>
          <a:effectLst/>
        </c:spPr>
        <c:marker>
          <c:symbol val="none"/>
        </c:marker>
        <c:dLbl>
          <c:idx val="0"/>
          <c:numFmt formatCode="&quot;$&quot;#,##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lumMod val="5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lumMod val="50000"/>
            </a:schemeClr>
          </a:solidFill>
          <a:ln>
            <a:noFill/>
          </a:ln>
          <a:effectLst/>
        </c:spPr>
        <c:marker>
          <c:symbol val="none"/>
        </c:marker>
        <c:dLbl>
          <c:idx val="0"/>
          <c:numFmt formatCode="&quot;$&quot;#,##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lumMod val="5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lumMod val="50000"/>
            </a:schemeClr>
          </a:solidFill>
          <a:ln>
            <a:noFill/>
          </a:ln>
          <a:effectLst/>
        </c:spPr>
        <c:marker>
          <c:symbol val="none"/>
        </c:marker>
        <c:dLbl>
          <c:idx val="0"/>
          <c:numFmt formatCode="&quot;$&quot;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33154774627902062"/>
          <c:y val="7.8274152429710198E-2"/>
          <c:w val="0.62387266787204754"/>
          <c:h val="0.85259631490787269"/>
        </c:manualLayout>
      </c:layout>
      <c:barChart>
        <c:barDir val="bar"/>
        <c:grouping val="clustered"/>
        <c:varyColors val="0"/>
        <c:ser>
          <c:idx val="0"/>
          <c:order val="0"/>
          <c:tx>
            <c:strRef>
              <c:f>'Pivot Table &amp; Chart'!$B$1</c:f>
              <c:strCache>
                <c:ptCount val="1"/>
                <c:pt idx="0">
                  <c:v>Total</c:v>
                </c:pt>
              </c:strCache>
            </c:strRef>
          </c:tx>
          <c:spPr>
            <a:solidFill>
              <a:schemeClr val="accent1">
                <a:lumMod val="50000"/>
              </a:schemeClr>
            </a:solidFill>
            <a:ln>
              <a:noFill/>
            </a:ln>
            <a:effectLst/>
          </c:spPr>
          <c:invertIfNegative val="0"/>
          <c:dLbls>
            <c:numFmt formatCode="&quot;$&quot;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 &amp; Chart'!$A$2:$A$11</c:f>
              <c:strCache>
                <c:ptCount val="10"/>
                <c:pt idx="0">
                  <c:v>Laptop A13</c:v>
                </c:pt>
                <c:pt idx="1">
                  <c:v>Sofa Classic</c:v>
                </c:pt>
                <c:pt idx="2">
                  <c:v>Desktop PC D21</c:v>
                </c:pt>
                <c:pt idx="3">
                  <c:v>Smartphone Z10</c:v>
                </c:pt>
                <c:pt idx="4">
                  <c:v>Refrigerator R55</c:v>
                </c:pt>
                <c:pt idx="5">
                  <c:v>Air Conditioner X2</c:v>
                </c:pt>
                <c:pt idx="6">
                  <c:v>Printer P50</c:v>
                </c:pt>
                <c:pt idx="7">
                  <c:v>Office Chair Pro</c:v>
                </c:pt>
                <c:pt idx="8">
                  <c:v>Microwave M20</c:v>
                </c:pt>
                <c:pt idx="9">
                  <c:v>Blender B10</c:v>
                </c:pt>
              </c:strCache>
            </c:strRef>
          </c:cat>
          <c:val>
            <c:numRef>
              <c:f>'Pivot Table &amp; Chart'!$B$2:$B$11</c:f>
              <c:numCache>
                <c:formatCode>"$"#,##0</c:formatCode>
                <c:ptCount val="10"/>
                <c:pt idx="0">
                  <c:v>105336000</c:v>
                </c:pt>
                <c:pt idx="1">
                  <c:v>69248000</c:v>
                </c:pt>
                <c:pt idx="2">
                  <c:v>68640000</c:v>
                </c:pt>
                <c:pt idx="3">
                  <c:v>51950000</c:v>
                </c:pt>
                <c:pt idx="4">
                  <c:v>48312000</c:v>
                </c:pt>
                <c:pt idx="5">
                  <c:v>44964000</c:v>
                </c:pt>
                <c:pt idx="6">
                  <c:v>38850000</c:v>
                </c:pt>
                <c:pt idx="7">
                  <c:v>18088000</c:v>
                </c:pt>
                <c:pt idx="8">
                  <c:v>13416000</c:v>
                </c:pt>
                <c:pt idx="9">
                  <c:v>6870000</c:v>
                </c:pt>
              </c:numCache>
            </c:numRef>
          </c:val>
          <c:extLst>
            <c:ext xmlns:c16="http://schemas.microsoft.com/office/drawing/2014/chart" uri="{C3380CC4-5D6E-409C-BE32-E72D297353CC}">
              <c16:uniqueId val="{00000006-32BE-4F5A-BB1C-87F8870A420B}"/>
            </c:ext>
          </c:extLst>
        </c:ser>
        <c:dLbls>
          <c:dLblPos val="outEnd"/>
          <c:showLegendKey val="0"/>
          <c:showVal val="1"/>
          <c:showCatName val="0"/>
          <c:showSerName val="0"/>
          <c:showPercent val="0"/>
          <c:showBubbleSize val="0"/>
        </c:dLbls>
        <c:gapWidth val="20"/>
        <c:axId val="1211061632"/>
        <c:axId val="1211060672"/>
      </c:barChart>
      <c:catAx>
        <c:axId val="1211061632"/>
        <c:scaling>
          <c:orientation val="maxMin"/>
        </c:scaling>
        <c:delete val="0"/>
        <c:axPos val="l"/>
        <c:numFmt formatCode="General" sourceLinked="1"/>
        <c:majorTickMark val="out"/>
        <c:minorTickMark val="none"/>
        <c:tickLblPos val="nextTo"/>
        <c:spPr>
          <a:noFill/>
          <a:ln w="9525" cap="flat" cmpd="sng" algn="ctr">
            <a:noFill/>
            <a:round/>
          </a:ln>
          <a:effectLst/>
        </c:spPr>
        <c:txPr>
          <a:bodyPr rot="-60000000" spcFirstLastPara="1" vertOverflow="ellipsis" vert="horz" wrap="square" anchor="ctr" anchorCtr="1"/>
          <a:lstStyle/>
          <a:p>
            <a:pPr>
              <a:defRPr sz="900" b="0" i="0" u="none" strike="noStrike" kern="1200" baseline="0">
                <a:solidFill>
                  <a:schemeClr val="tx1">
                    <a:alpha val="98000"/>
                  </a:schemeClr>
                </a:solidFill>
                <a:latin typeface="+mn-lt"/>
                <a:ea typeface="+mn-ea"/>
                <a:cs typeface="+mn-cs"/>
              </a:defRPr>
            </a:pPr>
            <a:endParaRPr lang="en-US"/>
          </a:p>
        </c:txPr>
        <c:crossAx val="1211060672"/>
        <c:crosses val="autoZero"/>
        <c:auto val="1"/>
        <c:lblAlgn val="ctr"/>
        <c:lblOffset val="100"/>
        <c:noMultiLvlLbl val="0"/>
      </c:catAx>
      <c:valAx>
        <c:axId val="1211060672"/>
        <c:scaling>
          <c:orientation val="minMax"/>
        </c:scaling>
        <c:delete val="1"/>
        <c:axPos val="t"/>
        <c:numFmt formatCode="&quot;$&quot;#,##0" sourceLinked="1"/>
        <c:majorTickMark val="out"/>
        <c:minorTickMark val="none"/>
        <c:tickLblPos val="nextTo"/>
        <c:crossAx val="121106163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[Excel_Sales_Analysis­.xlsx]Pivot Table &amp; Chart!PivotTable3</c:name>
    <c:fmtId val="6"/>
  </c:pivotSource>
  <c:chart>
    <c:autoTitleDeleted val="1"/>
    <c:pivotFmts>
      <c:pivotFmt>
        <c:idx val="0"/>
        <c:spPr>
          <a:solidFill>
            <a:schemeClr val="accent1">
              <a:lumMod val="50000"/>
            </a:schemeClr>
          </a:solidFill>
          <a:ln>
            <a:noFill/>
          </a:ln>
          <a:effectLst/>
        </c:spPr>
        <c:marker>
          <c:symbol val="none"/>
        </c:marker>
        <c:dLbl>
          <c:idx val="0"/>
          <c:numFmt formatCode="&quot;$&quot;#,##0" sourceLinked="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bg1">
                      <a:lumMod val="5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lumMod val="50000"/>
            </a:schemeClr>
          </a:solidFill>
          <a:ln>
            <a:noFill/>
          </a:ln>
          <a:effectLst/>
        </c:spPr>
        <c:marker>
          <c:symbol val="none"/>
        </c:marker>
        <c:dLbl>
          <c:idx val="0"/>
          <c:numFmt formatCode="&quot;$&quot;#,##0" sourceLinked="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bg1">
                      <a:lumMod val="5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lumMod val="50000"/>
            </a:schemeClr>
          </a:solidFill>
          <a:ln w="0">
            <a:solidFill>
              <a:schemeClr val="accent1">
                <a:lumMod val="50000"/>
              </a:schemeClr>
            </a:solidFill>
          </a:ln>
          <a:effectLst/>
        </c:spPr>
        <c:marker>
          <c:symbol val="none"/>
        </c:marker>
        <c:dLbl>
          <c:idx val="0"/>
          <c:numFmt formatCode="&quot;$&quot;0.0,," sourceLinked="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2759078059593812"/>
          <c:y val="0.10219604326375761"/>
          <c:w val="0.73574567742184127"/>
          <c:h val="0.79730989459969426"/>
        </c:manualLayout>
      </c:layout>
      <c:barChart>
        <c:barDir val="bar"/>
        <c:grouping val="clustered"/>
        <c:varyColors val="0"/>
        <c:ser>
          <c:idx val="0"/>
          <c:order val="0"/>
          <c:tx>
            <c:strRef>
              <c:f>'Pivot Table &amp; Chart'!$B$15</c:f>
              <c:strCache>
                <c:ptCount val="1"/>
                <c:pt idx="0">
                  <c:v>Total</c:v>
                </c:pt>
              </c:strCache>
            </c:strRef>
          </c:tx>
          <c:spPr>
            <a:solidFill>
              <a:schemeClr val="accent1">
                <a:lumMod val="50000"/>
              </a:schemeClr>
            </a:solidFill>
            <a:ln w="0">
              <a:solidFill>
                <a:schemeClr val="accent1">
                  <a:lumMod val="50000"/>
                </a:schemeClr>
              </a:solidFill>
            </a:ln>
            <a:effectLst/>
          </c:spPr>
          <c:invertIfNegative val="0"/>
          <c:dLbls>
            <c:numFmt formatCode="&quot;$&quot;0.0,," sourceLinked="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 &amp; Chart'!$A$16:$A$21</c:f>
              <c:strCache>
                <c:ptCount val="6"/>
                <c:pt idx="0">
                  <c:v>Peter</c:v>
                </c:pt>
                <c:pt idx="1">
                  <c:v>Musa</c:v>
                </c:pt>
                <c:pt idx="2">
                  <c:v>David</c:v>
                </c:pt>
                <c:pt idx="3">
                  <c:v>Aisha</c:v>
                </c:pt>
                <c:pt idx="4">
                  <c:v>Chidinma</c:v>
                </c:pt>
                <c:pt idx="5">
                  <c:v>Grace</c:v>
                </c:pt>
              </c:strCache>
            </c:strRef>
          </c:cat>
          <c:val>
            <c:numRef>
              <c:f>'Pivot Table &amp; Chart'!$B$16:$B$21</c:f>
              <c:numCache>
                <c:formatCode>"$"#,##0</c:formatCode>
                <c:ptCount val="6"/>
                <c:pt idx="0">
                  <c:v>434805000</c:v>
                </c:pt>
                <c:pt idx="1">
                  <c:v>397665000</c:v>
                </c:pt>
                <c:pt idx="2">
                  <c:v>378660000</c:v>
                </c:pt>
                <c:pt idx="3">
                  <c:v>378035000</c:v>
                </c:pt>
                <c:pt idx="4">
                  <c:v>371370000</c:v>
                </c:pt>
                <c:pt idx="5">
                  <c:v>367835000</c:v>
                </c:pt>
              </c:numCache>
            </c:numRef>
          </c:val>
          <c:extLst>
            <c:ext xmlns:c16="http://schemas.microsoft.com/office/drawing/2014/chart" uri="{C3380CC4-5D6E-409C-BE32-E72D297353CC}">
              <c16:uniqueId val="{00000004-21CB-45F0-A594-C5223BBE1511}"/>
            </c:ext>
          </c:extLst>
        </c:ser>
        <c:dLbls>
          <c:dLblPos val="outEnd"/>
          <c:showLegendKey val="0"/>
          <c:showVal val="1"/>
          <c:showCatName val="0"/>
          <c:showSerName val="0"/>
          <c:showPercent val="0"/>
          <c:showBubbleSize val="0"/>
        </c:dLbls>
        <c:gapWidth val="20"/>
        <c:axId val="1211021792"/>
        <c:axId val="1210996832"/>
      </c:barChart>
      <c:catAx>
        <c:axId val="1211021792"/>
        <c:scaling>
          <c:orientation val="maxMin"/>
        </c:scaling>
        <c:delete val="0"/>
        <c:axPos val="l"/>
        <c:numFmt formatCode="&quot;$&quot;#,##0" sourceLinked="0"/>
        <c:majorTickMark val="none"/>
        <c:minorTickMark val="none"/>
        <c:tickLblPos val="nextTo"/>
        <c:spPr>
          <a:noFill/>
          <a:ln w="9525" cap="flat" cmpd="sng" algn="ctr">
            <a:noFill/>
            <a:round/>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1210996832"/>
        <c:crosses val="autoZero"/>
        <c:auto val="1"/>
        <c:lblAlgn val="ctr"/>
        <c:lblOffset val="100"/>
        <c:noMultiLvlLbl val="0"/>
      </c:catAx>
      <c:valAx>
        <c:axId val="1210996832"/>
        <c:scaling>
          <c:orientation val="minMax"/>
        </c:scaling>
        <c:delete val="1"/>
        <c:axPos val="t"/>
        <c:numFmt formatCode="&quot;$&quot;#,##0" sourceLinked="1"/>
        <c:majorTickMark val="out"/>
        <c:minorTickMark val="none"/>
        <c:tickLblPos val="nextTo"/>
        <c:crossAx val="121102179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[Excel_Sales_Analysis­.xlsx]Pivot Table &amp; Chart!PivotTable7</c:name>
    <c:fmtId val="9"/>
  </c:pivotSource>
  <c:chart>
    <c:autoTitleDeleted val="1"/>
    <c:pivotFmts>
      <c:pivotFmt>
        <c:idx val="0"/>
        <c:spPr>
          <a:solidFill>
            <a:schemeClr val="accent1"/>
          </a:solidFill>
          <a:ln w="28575" cap="rnd">
            <a:solidFill>
              <a:schemeClr val="accent1">
                <a:lumMod val="50000"/>
              </a:schemeClr>
            </a:solidFill>
            <a:round/>
          </a:ln>
          <a:effectLst/>
        </c:spPr>
        <c:marker>
          <c:symbol val="none"/>
        </c:marker>
        <c:dLbl>
          <c:idx val="0"/>
          <c:numFmt formatCode="#,##0" sourceLinked="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bg1">
                      <a:lumMod val="50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lumMod val="50000"/>
              </a:schemeClr>
            </a:solidFill>
            <a:round/>
          </a:ln>
          <a:effectLst/>
        </c:spPr>
        <c:marker>
          <c:symbol val="none"/>
        </c:marker>
        <c:dLbl>
          <c:idx val="0"/>
          <c:numFmt formatCode="#,##0" sourceLinked="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bg1">
                      <a:lumMod val="50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lumMod val="50000"/>
              </a:schemeClr>
            </a:solidFill>
            <a:round/>
          </a:ln>
          <a:effectLst/>
        </c:spPr>
        <c:marker>
          <c:symbol val="circle"/>
          <c:size val="6"/>
          <c:spPr>
            <a:solidFill>
              <a:schemeClr val="accent1">
                <a:lumMod val="50000"/>
              </a:schemeClr>
            </a:solidFill>
            <a:ln w="9525">
              <a:solidFill>
                <a:schemeClr val="accent1">
                  <a:lumMod val="50000"/>
                </a:schemeClr>
              </a:solidFill>
            </a:ln>
            <a:effectLst/>
          </c:spPr>
        </c:marker>
        <c:dLbl>
          <c:idx val="0"/>
          <c:numFmt formatCode="#,##0" sourceLinked="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tx1"/>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3"/>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numFmt formatCode="&quot;$&quot;#,##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2.7842240942319792E-2"/>
          <c:y val="7.3701803663037677E-2"/>
          <c:w val="0.93194118880766275"/>
          <c:h val="0.77086599883090057"/>
        </c:manualLayout>
      </c:layout>
      <c:lineChart>
        <c:grouping val="standard"/>
        <c:varyColors val="0"/>
        <c:ser>
          <c:idx val="0"/>
          <c:order val="0"/>
          <c:tx>
            <c:strRef>
              <c:f>'Pivot Table &amp; Chart'!$M$16</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dLbls>
            <c:numFmt formatCode="&quot;$&quot;#,##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trendline>
            <c:spPr>
              <a:ln w="19050" cap="rnd">
                <a:solidFill>
                  <a:schemeClr val="accent1"/>
                </a:solidFill>
                <a:prstDash val="sysDot"/>
              </a:ln>
              <a:effectLst/>
            </c:spPr>
            <c:trendlineType val="linear"/>
            <c:dispRSqr val="0"/>
            <c:dispEq val="0"/>
          </c:trendline>
          <c:cat>
            <c:strRef>
              <c:f>'Pivot Table &amp; Chart'!$L$17:$L$21</c:f>
              <c:strCache>
                <c:ptCount val="5"/>
                <c:pt idx="0">
                  <c:v>Jan</c:v>
                </c:pt>
                <c:pt idx="1">
                  <c:v>Feb</c:v>
                </c:pt>
                <c:pt idx="2">
                  <c:v>Mar</c:v>
                </c:pt>
                <c:pt idx="3">
                  <c:v>Apr</c:v>
                </c:pt>
                <c:pt idx="4">
                  <c:v>May</c:v>
                </c:pt>
              </c:strCache>
            </c:strRef>
          </c:cat>
          <c:val>
            <c:numRef>
              <c:f>'Pivot Table &amp; Chart'!$M$17:$M$21</c:f>
              <c:numCache>
                <c:formatCode>0</c:formatCode>
                <c:ptCount val="5"/>
                <c:pt idx="0">
                  <c:v>547065000</c:v>
                </c:pt>
                <c:pt idx="1">
                  <c:v>552405000</c:v>
                </c:pt>
                <c:pt idx="2">
                  <c:v>633440000</c:v>
                </c:pt>
                <c:pt idx="3">
                  <c:v>582155000</c:v>
                </c:pt>
                <c:pt idx="4">
                  <c:v>13305000</c:v>
                </c:pt>
              </c:numCache>
            </c:numRef>
          </c:val>
          <c:smooth val="0"/>
          <c:extLst>
            <c:ext xmlns:c16="http://schemas.microsoft.com/office/drawing/2014/chart" uri="{C3380CC4-5D6E-409C-BE32-E72D297353CC}">
              <c16:uniqueId val="{00000001-2E5D-4586-B7FB-EAD897C5BF59}"/>
            </c:ext>
          </c:extLst>
        </c:ser>
        <c:dLbls>
          <c:dLblPos val="t"/>
          <c:showLegendKey val="0"/>
          <c:showVal val="1"/>
          <c:showCatName val="0"/>
          <c:showSerName val="0"/>
          <c:showPercent val="0"/>
          <c:showBubbleSize val="0"/>
        </c:dLbls>
        <c:marker val="1"/>
        <c:smooth val="0"/>
        <c:axId val="1306658576"/>
        <c:axId val="1306663376"/>
      </c:lineChart>
      <c:catAx>
        <c:axId val="1306658576"/>
        <c:scaling>
          <c:orientation val="minMax"/>
        </c:scaling>
        <c:delete val="0"/>
        <c:axPos val="b"/>
        <c:numFmt formatCode="General" sourceLinked="1"/>
        <c:majorTickMark val="none"/>
        <c:minorTickMark val="none"/>
        <c:tickLblPos val="nextTo"/>
        <c:spPr>
          <a:noFill/>
          <a:ln w="9525" cap="flat" cmpd="sng" algn="ctr">
            <a:noFill/>
            <a:round/>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1306663376"/>
        <c:crossesAt val="0"/>
        <c:auto val="1"/>
        <c:lblAlgn val="ctr"/>
        <c:lblOffset val="100"/>
        <c:noMultiLvlLbl val="0"/>
      </c:catAx>
      <c:valAx>
        <c:axId val="1306663376"/>
        <c:scaling>
          <c:orientation val="minMax"/>
        </c:scaling>
        <c:delete val="0"/>
        <c:axPos val="l"/>
        <c:numFmt formatCode="&quot;$&quot;#,##0,," sourceLinked="0"/>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0665857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Data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[Excel_Sales_Analysis­.xlsx]Pivot Table &amp; Chart!PivotTable5</c:name>
    <c:fmtId val="17"/>
  </c:pivotSource>
  <c:chart>
    <c:autoTitleDeleted val="1"/>
    <c:pivotFmts>
      <c:pivotFmt>
        <c:idx val="0"/>
        <c:spPr>
          <a:solidFill>
            <a:schemeClr val="accent1"/>
          </a:solidFill>
          <a:ln w="19050">
            <a:solidFill>
              <a:schemeClr val="lt1"/>
            </a:solidFill>
          </a:ln>
          <a:effectLst/>
        </c:spPr>
        <c:marker>
          <c:symbol val="circle"/>
          <c:size val="5"/>
        </c:marker>
        <c:dLbl>
          <c:idx val="0"/>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2"/>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9"/>
        <c:spPr>
          <a:solidFill>
            <a:schemeClr val="accent1"/>
          </a:solidFill>
          <a:ln w="19050">
            <a:solidFill>
              <a:schemeClr val="lt1"/>
            </a:solidFill>
          </a:ln>
          <a:effectLst/>
        </c:spPr>
      </c:pivotFmt>
      <c:pivotFmt>
        <c:idx val="10"/>
        <c:spPr>
          <a:solidFill>
            <a:srgbClr val="C00000"/>
          </a:solidFill>
          <a:ln w="19050">
            <a:solidFill>
              <a:schemeClr val="lt1"/>
            </a:solidFill>
          </a:ln>
          <a:effectLst/>
        </c:spPr>
      </c:pivotFmt>
      <c:pivotFmt>
        <c:idx val="11"/>
        <c:spPr>
          <a:solidFill>
            <a:schemeClr val="accent1"/>
          </a:solidFill>
          <a:ln w="19050">
            <a:solidFill>
              <a:schemeClr val="lt1"/>
            </a:solidFill>
          </a:ln>
          <a:effectLst/>
        </c:spPr>
      </c:pivotFmt>
      <c:pivotFmt>
        <c:idx val="12"/>
        <c:spPr>
          <a:solidFill>
            <a:schemeClr val="accent1">
              <a:lumMod val="50000"/>
            </a:schemeClr>
          </a:solidFill>
          <a:ln w="19050">
            <a:solidFill>
              <a:schemeClr val="lt1"/>
            </a:solidFill>
          </a:ln>
          <a:effectLst/>
        </c:spPr>
      </c:pivotFmt>
      <c:pivotFmt>
        <c:idx val="13"/>
        <c:spPr>
          <a:solidFill>
            <a:schemeClr val="accent1"/>
          </a:solidFill>
          <a:ln w="19050">
            <a:solidFill>
              <a:schemeClr val="lt1"/>
            </a:solidFill>
          </a:ln>
          <a:effectLst/>
        </c:spPr>
      </c:pivotFmt>
      <c:pivotFmt>
        <c:idx val="14"/>
        <c:spPr>
          <a:solidFill>
            <a:schemeClr val="accent1"/>
          </a:solidFill>
          <a:ln w="19050">
            <a:solidFill>
              <a:schemeClr val="lt1"/>
            </a:solidFill>
          </a:ln>
          <a:effectLst/>
        </c:spPr>
      </c:pivotFmt>
      <c:pivotFmt>
        <c:idx val="15"/>
        <c:spPr>
          <a:solidFill>
            <a:schemeClr val="accent1"/>
          </a:solidFill>
          <a:ln w="19050">
            <a:solidFill>
              <a:schemeClr val="lt1"/>
            </a:solidFill>
          </a:ln>
          <a:effectLst/>
        </c:spPr>
      </c:pivotFmt>
      <c:pivotFmt>
        <c:idx val="16"/>
        <c:spPr>
          <a:solidFill>
            <a:schemeClr val="accent1"/>
          </a:solidFill>
          <a:ln w="19050">
            <a:solidFill>
              <a:schemeClr val="lt1"/>
            </a:solidFill>
          </a:ln>
          <a:effectLst/>
        </c:spPr>
      </c:pivotFmt>
    </c:pivotFmts>
    <c:plotArea>
      <c:layout/>
      <c:doughnutChart>
        <c:varyColors val="1"/>
        <c:ser>
          <c:idx val="0"/>
          <c:order val="0"/>
          <c:tx>
            <c:strRef>
              <c:f>'Pivot Table &amp; Chart'!$M$2</c:f>
              <c:strCache>
                <c:ptCount val="1"/>
                <c:pt idx="0">
                  <c:v>Total</c:v>
                </c:pt>
              </c:strCache>
            </c:strRef>
          </c:tx>
          <c:explosion val="3"/>
          <c:dPt>
            <c:idx val="0"/>
            <c:bubble3D val="0"/>
            <c:spPr>
              <a:solidFill>
                <a:schemeClr val="accent1"/>
              </a:solidFill>
              <a:ln w="19050">
                <a:solidFill>
                  <a:schemeClr val="lt1"/>
                </a:solidFill>
              </a:ln>
              <a:effectLst/>
            </c:spPr>
            <c:extLst>
              <c:ext xmlns:c16="http://schemas.microsoft.com/office/drawing/2014/chart" uri="{C3380CC4-5D6E-409C-BE32-E72D297353CC}">
                <c16:uniqueId val="{00000001-EC71-4BF6-B329-3E5C0EDD94C0}"/>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EC71-4BF6-B329-3E5C0EDD94C0}"/>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EC71-4BF6-B329-3E5C0EDD94C0}"/>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EC71-4BF6-B329-3E5C0EDD94C0}"/>
              </c:ext>
            </c:extLst>
          </c:dPt>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mn-lt"/>
                    <a:ea typeface="+mn-ea"/>
                    <a:cs typeface="+mn-cs"/>
                  </a:defRPr>
                </a:pPr>
                <a:endParaRPr lang="en-US"/>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Table &amp; Chart'!$L$3:$L$6</c:f>
              <c:strCache>
                <c:ptCount val="4"/>
                <c:pt idx="0">
                  <c:v>Abuja</c:v>
                </c:pt>
                <c:pt idx="1">
                  <c:v>Kano</c:v>
                </c:pt>
                <c:pt idx="2">
                  <c:v>Lagos</c:v>
                </c:pt>
                <c:pt idx="3">
                  <c:v>Port Harcourt</c:v>
                </c:pt>
              </c:strCache>
            </c:strRef>
          </c:cat>
          <c:val>
            <c:numRef>
              <c:f>'Pivot Table &amp; Chart'!$M$3:$M$6</c:f>
              <c:numCache>
                <c:formatCode>"$"#,##0</c:formatCode>
                <c:ptCount val="4"/>
                <c:pt idx="0">
                  <c:v>423312000</c:v>
                </c:pt>
                <c:pt idx="1">
                  <c:v>486788000</c:v>
                </c:pt>
                <c:pt idx="2">
                  <c:v>493812000</c:v>
                </c:pt>
                <c:pt idx="3">
                  <c:v>458784000</c:v>
                </c:pt>
              </c:numCache>
            </c:numRef>
          </c:val>
          <c:extLst>
            <c:ext xmlns:c16="http://schemas.microsoft.com/office/drawing/2014/chart" uri="{C3380CC4-5D6E-409C-BE32-E72D297353CC}">
              <c16:uniqueId val="{0000000C-8FC9-4D73-94A0-D0420CD9F91C}"/>
            </c:ext>
          </c:extLst>
        </c:ser>
        <c:dLbls>
          <c:showLegendKey val="0"/>
          <c:showVal val="1"/>
          <c:showCatName val="0"/>
          <c:showSerName val="0"/>
          <c:showPercent val="0"/>
          <c:showBubbleSize val="0"/>
          <c:showLeaderLines val="1"/>
        </c:dLbls>
        <c:firstSliceAng val="0"/>
        <c:holeSize val="3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Categories val="1"/>
      </c14:pivotOptions>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8" Type="http://schemas.openxmlformats.org/officeDocument/2006/relationships/image" Target="../media/image4.svg"/><Relationship Id="rId13" Type="http://schemas.openxmlformats.org/officeDocument/2006/relationships/image" Target="../media/image9.png"/><Relationship Id="rId18" Type="http://schemas.openxmlformats.org/officeDocument/2006/relationships/hyperlink" Target="#Dashboard!A1"/><Relationship Id="rId26" Type="http://schemas.openxmlformats.org/officeDocument/2006/relationships/image" Target="../media/image17.svg"/><Relationship Id="rId3" Type="http://schemas.openxmlformats.org/officeDocument/2006/relationships/chart" Target="../charts/chart7.xml"/><Relationship Id="rId21" Type="http://schemas.openxmlformats.org/officeDocument/2006/relationships/hyperlink" Target="#'Pivot Table &amp; Chart'!A1"/><Relationship Id="rId7" Type="http://schemas.openxmlformats.org/officeDocument/2006/relationships/image" Target="../media/image3.png"/><Relationship Id="rId12" Type="http://schemas.openxmlformats.org/officeDocument/2006/relationships/image" Target="../media/image8.svg"/><Relationship Id="rId17" Type="http://schemas.openxmlformats.org/officeDocument/2006/relationships/image" Target="../media/image11.svg"/><Relationship Id="rId25" Type="http://schemas.openxmlformats.org/officeDocument/2006/relationships/image" Target="../media/image16.png"/><Relationship Id="rId2" Type="http://schemas.openxmlformats.org/officeDocument/2006/relationships/chart" Target="../charts/chart6.xml"/><Relationship Id="rId16" Type="http://schemas.openxmlformats.org/officeDocument/2006/relationships/image" Target="../media/image10.png"/><Relationship Id="rId20" Type="http://schemas.openxmlformats.org/officeDocument/2006/relationships/image" Target="../media/image13.svg"/><Relationship Id="rId1" Type="http://schemas.openxmlformats.org/officeDocument/2006/relationships/chart" Target="../charts/chart5.xml"/><Relationship Id="rId6" Type="http://schemas.openxmlformats.org/officeDocument/2006/relationships/image" Target="../media/image2.svg"/><Relationship Id="rId11" Type="http://schemas.openxmlformats.org/officeDocument/2006/relationships/image" Target="../media/image7.png"/><Relationship Id="rId24" Type="http://schemas.openxmlformats.org/officeDocument/2006/relationships/hyperlink" Target="#'Working Sheet'!A1"/><Relationship Id="rId5" Type="http://schemas.openxmlformats.org/officeDocument/2006/relationships/image" Target="../media/image1.png"/><Relationship Id="rId15" Type="http://schemas.openxmlformats.org/officeDocument/2006/relationships/hyperlink" Target="#'Key Insights &amp; Findings'!A1"/><Relationship Id="rId23" Type="http://schemas.openxmlformats.org/officeDocument/2006/relationships/image" Target="../media/image15.svg"/><Relationship Id="rId28" Type="http://schemas.openxmlformats.org/officeDocument/2006/relationships/image" Target="../media/image19.svg"/><Relationship Id="rId10" Type="http://schemas.openxmlformats.org/officeDocument/2006/relationships/image" Target="../media/image6.svg"/><Relationship Id="rId19" Type="http://schemas.openxmlformats.org/officeDocument/2006/relationships/image" Target="../media/image12.png"/><Relationship Id="rId4" Type="http://schemas.openxmlformats.org/officeDocument/2006/relationships/chart" Target="../charts/chart8.xml"/><Relationship Id="rId9" Type="http://schemas.openxmlformats.org/officeDocument/2006/relationships/image" Target="../media/image5.png"/><Relationship Id="rId14" Type="http://schemas.microsoft.com/office/2007/relationships/hdphoto" Target="../media/hdphoto1.wdp"/><Relationship Id="rId22" Type="http://schemas.openxmlformats.org/officeDocument/2006/relationships/image" Target="../media/image14.png"/><Relationship Id="rId27" Type="http://schemas.openxmlformats.org/officeDocument/2006/relationships/image" Target="../media/image18.png"/></Relationships>
</file>

<file path=xl/drawings/drawing1.xml><?xml version="1.0" encoding="utf-8"?>
<xdr:wsDr xmlns:xdr="http://schemas.openxmlformats.org/drawingml/2006/spreadsheetDrawing" xmlns:a="http://schemas.openxmlformats.org/drawingml/2006/main">
  <xdr:twoCellAnchor editAs="absolute">
    <xdr:from>
      <xdr:col>2</xdr:col>
      <xdr:colOff>628650</xdr:colOff>
      <xdr:row>13</xdr:row>
      <xdr:rowOff>190499</xdr:rowOff>
    </xdr:from>
    <xdr:to>
      <xdr:col>7</xdr:col>
      <xdr:colOff>1057275</xdr:colOff>
      <xdr:row>23</xdr:row>
      <xdr:rowOff>180975</xdr:rowOff>
    </xdr:to>
    <xdr:graphicFrame macro="">
      <xdr:nvGraphicFramePr>
        <xdr:cNvPr id="3" name="Chart 2">
          <a:extLst>
            <a:ext uri="{FF2B5EF4-FFF2-40B4-BE49-F238E27FC236}">
              <a16:creationId xmlns:a16="http://schemas.microsoft.com/office/drawing/2014/main" id="{ED709C3D-AE14-B220-B114-A6157C945C0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absolute">
    <xdr:from>
      <xdr:col>2</xdr:col>
      <xdr:colOff>571500</xdr:colOff>
      <xdr:row>0</xdr:row>
      <xdr:rowOff>76201</xdr:rowOff>
    </xdr:from>
    <xdr:to>
      <xdr:col>7</xdr:col>
      <xdr:colOff>285750</xdr:colOff>
      <xdr:row>13</xdr:row>
      <xdr:rowOff>19051</xdr:rowOff>
    </xdr:to>
    <xdr:graphicFrame macro="">
      <xdr:nvGraphicFramePr>
        <xdr:cNvPr id="4" name="Chart 3">
          <a:extLst>
            <a:ext uri="{FF2B5EF4-FFF2-40B4-BE49-F238E27FC236}">
              <a16:creationId xmlns:a16="http://schemas.microsoft.com/office/drawing/2014/main" id="{FE78CACB-A563-DA7B-EF04-D60FE4FC3E3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absolute">
    <xdr:from>
      <xdr:col>13</xdr:col>
      <xdr:colOff>457202</xdr:colOff>
      <xdr:row>14</xdr:row>
      <xdr:rowOff>95249</xdr:rowOff>
    </xdr:from>
    <xdr:to>
      <xdr:col>17</xdr:col>
      <xdr:colOff>219075</xdr:colOff>
      <xdr:row>24</xdr:row>
      <xdr:rowOff>85725</xdr:rowOff>
    </xdr:to>
    <xdr:graphicFrame macro="">
      <xdr:nvGraphicFramePr>
        <xdr:cNvPr id="6" name="Chart 5">
          <a:extLst>
            <a:ext uri="{FF2B5EF4-FFF2-40B4-BE49-F238E27FC236}">
              <a16:creationId xmlns:a16="http://schemas.microsoft.com/office/drawing/2014/main" id="{21CB5F24-6715-8C18-F3C1-0B6EAFABA90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absolute">
    <xdr:from>
      <xdr:col>13</xdr:col>
      <xdr:colOff>409575</xdr:colOff>
      <xdr:row>0</xdr:row>
      <xdr:rowOff>57151</xdr:rowOff>
    </xdr:from>
    <xdr:to>
      <xdr:col>16</xdr:col>
      <xdr:colOff>419101</xdr:colOff>
      <xdr:row>11</xdr:row>
      <xdr:rowOff>38101</xdr:rowOff>
    </xdr:to>
    <xdr:graphicFrame macro="">
      <xdr:nvGraphicFramePr>
        <xdr:cNvPr id="7" name="Chart 6">
          <a:extLst>
            <a:ext uri="{FF2B5EF4-FFF2-40B4-BE49-F238E27FC236}">
              <a16:creationId xmlns:a16="http://schemas.microsoft.com/office/drawing/2014/main" id="{1F39F6A7-754E-8928-93CF-046525F677E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absolute">
    <xdr:from>
      <xdr:col>6</xdr:col>
      <xdr:colOff>657225</xdr:colOff>
      <xdr:row>4</xdr:row>
      <xdr:rowOff>133350</xdr:rowOff>
    </xdr:from>
    <xdr:to>
      <xdr:col>8</xdr:col>
      <xdr:colOff>542925</xdr:colOff>
      <xdr:row>14</xdr:row>
      <xdr:rowOff>38100</xdr:rowOff>
    </xdr:to>
    <mc:AlternateContent xmlns:mc="http://schemas.openxmlformats.org/markup-compatibility/2006" xmlns:a14="http://schemas.microsoft.com/office/drawing/2010/main">
      <mc:Choice Requires="a14">
        <xdr:graphicFrame macro="">
          <xdr:nvGraphicFramePr>
            <xdr:cNvPr id="32" name="Region">
              <a:extLst>
                <a:ext uri="{FF2B5EF4-FFF2-40B4-BE49-F238E27FC236}">
                  <a16:creationId xmlns:a16="http://schemas.microsoft.com/office/drawing/2014/main" id="{0A3679AE-77E9-F134-7991-8E984E0AD15C}"/>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6905625" y="895350"/>
              <a:ext cx="1828800" cy="1971674"/>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absolute">
    <xdr:from>
      <xdr:col>8</xdr:col>
      <xdr:colOff>695325</xdr:colOff>
      <xdr:row>4</xdr:row>
      <xdr:rowOff>142876</xdr:rowOff>
    </xdr:from>
    <xdr:to>
      <xdr:col>10</xdr:col>
      <xdr:colOff>228600</xdr:colOff>
      <xdr:row>13</xdr:row>
      <xdr:rowOff>161925</xdr:rowOff>
    </xdr:to>
    <mc:AlternateContent xmlns:mc="http://schemas.openxmlformats.org/markup-compatibility/2006" xmlns:a14="http://schemas.microsoft.com/office/drawing/2010/main">
      <mc:Choice Requires="a14">
        <xdr:graphicFrame macro="">
          <xdr:nvGraphicFramePr>
            <xdr:cNvPr id="33" name="Category">
              <a:extLst>
                <a:ext uri="{FF2B5EF4-FFF2-40B4-BE49-F238E27FC236}">
                  <a16:creationId xmlns:a16="http://schemas.microsoft.com/office/drawing/2014/main" id="{3FAC96F5-DC25-A489-814C-B227EDA2D2AA}"/>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mlns="">
        <xdr:sp macro="" textlink="">
          <xdr:nvSpPr>
            <xdr:cNvPr id="0" name=""/>
            <xdr:cNvSpPr>
              <a:spLocks noTextEdit="1"/>
            </xdr:cNvSpPr>
          </xdr:nvSpPr>
          <xdr:spPr>
            <a:xfrm>
              <a:off x="8886825" y="904876"/>
              <a:ext cx="1828800" cy="1952624"/>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editAs="absolute">
    <xdr:from>
      <xdr:col>1</xdr:col>
      <xdr:colOff>85725</xdr:colOff>
      <xdr:row>0</xdr:row>
      <xdr:rowOff>66673</xdr:rowOff>
    </xdr:from>
    <xdr:to>
      <xdr:col>19</xdr:col>
      <xdr:colOff>542925</xdr:colOff>
      <xdr:row>3</xdr:row>
      <xdr:rowOff>28574</xdr:rowOff>
    </xdr:to>
    <xdr:sp macro="" textlink="">
      <xdr:nvSpPr>
        <xdr:cNvPr id="25" name="Rectangle: Rounded Corners 24">
          <a:extLst>
            <a:ext uri="{FF2B5EF4-FFF2-40B4-BE49-F238E27FC236}">
              <a16:creationId xmlns:a16="http://schemas.microsoft.com/office/drawing/2014/main" id="{B2646624-75E4-004D-519A-B371BFC41E16}"/>
            </a:ext>
          </a:extLst>
        </xdr:cNvPr>
        <xdr:cNvSpPr/>
      </xdr:nvSpPr>
      <xdr:spPr>
        <a:xfrm>
          <a:off x="1066800" y="66673"/>
          <a:ext cx="11430000" cy="533401"/>
        </a:xfrm>
        <a:prstGeom prst="roundRect">
          <a:avLst>
            <a:gd name="adj" fmla="val 4167"/>
          </a:avLst>
        </a:prstGeom>
        <a:solidFill>
          <a:schemeClr val="bg1">
            <a:lumMod val="95000"/>
          </a:schemeClr>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600" b="1">
              <a:solidFill>
                <a:schemeClr val="accent1">
                  <a:lumMod val="50000"/>
                </a:schemeClr>
              </a:solidFill>
            </a:rPr>
            <a:t>Sales Dashboard Nigeria 2025</a:t>
          </a:r>
        </a:p>
        <a:p>
          <a:pPr algn="l"/>
          <a:r>
            <a:rPr lang="en-US" sz="900" b="0">
              <a:solidFill>
                <a:schemeClr val="tx1"/>
              </a:solidFill>
            </a:rPr>
            <a:t>Figures</a:t>
          </a:r>
          <a:r>
            <a:rPr lang="en-US" sz="900" b="0" baseline="0">
              <a:solidFill>
                <a:schemeClr val="tx1"/>
              </a:solidFill>
            </a:rPr>
            <a:t> in millions</a:t>
          </a:r>
          <a:endParaRPr lang="en-US" sz="900" b="0">
            <a:solidFill>
              <a:schemeClr val="tx1"/>
            </a:solidFill>
          </a:endParaRPr>
        </a:p>
        <a:p>
          <a:pPr algn="l"/>
          <a:endParaRPr lang="en-US" sz="1600" b="1">
            <a:solidFill>
              <a:schemeClr val="accent1">
                <a:lumMod val="50000"/>
              </a:schemeClr>
            </a:solidFill>
          </a:endParaRPr>
        </a:p>
      </xdr:txBody>
    </xdr:sp>
    <xdr:clientData/>
  </xdr:twoCellAnchor>
  <xdr:twoCellAnchor>
    <xdr:from>
      <xdr:col>0</xdr:col>
      <xdr:colOff>0</xdr:colOff>
      <xdr:row>13</xdr:row>
      <xdr:rowOff>133348</xdr:rowOff>
    </xdr:from>
    <xdr:to>
      <xdr:col>0</xdr:col>
      <xdr:colOff>0</xdr:colOff>
      <xdr:row>25</xdr:row>
      <xdr:rowOff>47625</xdr:rowOff>
    </xdr:to>
    <xdr:sp macro="" textlink="">
      <xdr:nvSpPr>
        <xdr:cNvPr id="31" name="Rectangle: Rounded Corners 30">
          <a:extLst>
            <a:ext uri="{FF2B5EF4-FFF2-40B4-BE49-F238E27FC236}">
              <a16:creationId xmlns:a16="http://schemas.microsoft.com/office/drawing/2014/main" id="{BC3E397C-60C6-CD58-40E4-8E1DC73D549B}"/>
            </a:ext>
          </a:extLst>
        </xdr:cNvPr>
        <xdr:cNvSpPr/>
      </xdr:nvSpPr>
      <xdr:spPr>
        <a:xfrm>
          <a:off x="0" y="2609848"/>
          <a:ext cx="0" cy="1914527"/>
        </a:xfrm>
        <a:prstGeom prst="roundRect">
          <a:avLst/>
        </a:prstGeom>
        <a:solidFill>
          <a:schemeClr val="bg1">
            <a:lumMod val="95000"/>
          </a:schemeClr>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600" b="1">
              <a:solidFill>
                <a:schemeClr val="accent1">
                  <a:lumMod val="50000"/>
                </a:schemeClr>
              </a:solidFill>
            </a:rPr>
            <a:t>Sales Dashboard</a:t>
          </a:r>
        </a:p>
      </xdr:txBody>
    </xdr:sp>
    <xdr:clientData/>
  </xdr:twoCellAnchor>
  <xdr:twoCellAnchor>
    <xdr:from>
      <xdr:col>0</xdr:col>
      <xdr:colOff>0</xdr:colOff>
      <xdr:row>10</xdr:row>
      <xdr:rowOff>95252</xdr:rowOff>
    </xdr:from>
    <xdr:to>
      <xdr:col>0</xdr:col>
      <xdr:colOff>0</xdr:colOff>
      <xdr:row>26</xdr:row>
      <xdr:rowOff>114302</xdr:rowOff>
    </xdr:to>
    <xdr:sp macro="" textlink="">
      <xdr:nvSpPr>
        <xdr:cNvPr id="35" name="Rectangle: Rounded Corners 34">
          <a:extLst>
            <a:ext uri="{FF2B5EF4-FFF2-40B4-BE49-F238E27FC236}">
              <a16:creationId xmlns:a16="http://schemas.microsoft.com/office/drawing/2014/main" id="{3015F271-8024-D5F3-E6CE-E4E056665BCA}"/>
            </a:ext>
          </a:extLst>
        </xdr:cNvPr>
        <xdr:cNvSpPr/>
      </xdr:nvSpPr>
      <xdr:spPr>
        <a:xfrm>
          <a:off x="0" y="2000252"/>
          <a:ext cx="0" cy="2781300"/>
        </a:xfrm>
        <a:prstGeom prst="roundRect">
          <a:avLst/>
        </a:prstGeom>
        <a:solidFill>
          <a:schemeClr val="bg1">
            <a:lumMod val="95000"/>
          </a:schemeClr>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600" b="1">
              <a:solidFill>
                <a:schemeClr val="accent1">
                  <a:lumMod val="50000"/>
                </a:schemeClr>
              </a:solidFill>
            </a:rPr>
            <a:t>Sales Dashboard</a:t>
          </a:r>
        </a:p>
      </xdr:txBody>
    </xdr:sp>
    <xdr:clientData/>
  </xdr:twoCellAnchor>
  <xdr:twoCellAnchor editAs="absolute">
    <xdr:from>
      <xdr:col>1</xdr:col>
      <xdr:colOff>123826</xdr:colOff>
      <xdr:row>10</xdr:row>
      <xdr:rowOff>134968</xdr:rowOff>
    </xdr:from>
    <xdr:to>
      <xdr:col>8</xdr:col>
      <xdr:colOff>323852</xdr:colOff>
      <xdr:row>30</xdr:row>
      <xdr:rowOff>123825</xdr:rowOff>
    </xdr:to>
    <xdr:grpSp>
      <xdr:nvGrpSpPr>
        <xdr:cNvPr id="75" name="Group 74">
          <a:extLst>
            <a:ext uri="{FF2B5EF4-FFF2-40B4-BE49-F238E27FC236}">
              <a16:creationId xmlns:a16="http://schemas.microsoft.com/office/drawing/2014/main" id="{3D77D43D-F57E-BD8B-696B-21A6DB1E2D2A}"/>
            </a:ext>
          </a:extLst>
        </xdr:cNvPr>
        <xdr:cNvGrpSpPr/>
      </xdr:nvGrpSpPr>
      <xdr:grpSpPr>
        <a:xfrm>
          <a:off x="1104901" y="2039968"/>
          <a:ext cx="4467226" cy="3513107"/>
          <a:chOff x="942979" y="1409699"/>
          <a:chExt cx="3409946" cy="2390776"/>
        </a:xfrm>
      </xdr:grpSpPr>
      <xdr:sp macro="" textlink="">
        <xdr:nvSpPr>
          <xdr:cNvPr id="34" name="Rectangle: Rounded Corners 33">
            <a:extLst>
              <a:ext uri="{FF2B5EF4-FFF2-40B4-BE49-F238E27FC236}">
                <a16:creationId xmlns:a16="http://schemas.microsoft.com/office/drawing/2014/main" id="{4FF3C399-A24E-7410-B9ED-3CCBBB76E2E3}"/>
              </a:ext>
            </a:extLst>
          </xdr:cNvPr>
          <xdr:cNvSpPr/>
        </xdr:nvSpPr>
        <xdr:spPr>
          <a:xfrm>
            <a:off x="942979" y="1409699"/>
            <a:ext cx="3409946" cy="2390776"/>
          </a:xfrm>
          <a:prstGeom prst="roundRect">
            <a:avLst>
              <a:gd name="adj" fmla="val 3489"/>
            </a:avLst>
          </a:prstGeom>
          <a:solidFill>
            <a:schemeClr val="bg1">
              <a:lumMod val="95000"/>
            </a:schemeClr>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200" b="0">
                <a:solidFill>
                  <a:schemeClr val="accent1">
                    <a:lumMod val="50000"/>
                  </a:schemeClr>
                </a:solidFill>
              </a:rPr>
              <a:t>Profit by</a:t>
            </a:r>
            <a:r>
              <a:rPr lang="en-US" sz="1200" b="0" baseline="0">
                <a:solidFill>
                  <a:schemeClr val="accent1">
                    <a:lumMod val="50000"/>
                  </a:schemeClr>
                </a:solidFill>
              </a:rPr>
              <a:t> Products</a:t>
            </a:r>
            <a:endParaRPr lang="en-US" sz="1400" b="0">
              <a:solidFill>
                <a:schemeClr val="accent1">
                  <a:lumMod val="50000"/>
                </a:schemeClr>
              </a:solidFill>
            </a:endParaRPr>
          </a:p>
        </xdr:txBody>
      </xdr:sp>
      <xdr:graphicFrame macro="">
        <xdr:nvGraphicFramePr>
          <xdr:cNvPr id="62" name="Chart 61">
            <a:extLst>
              <a:ext uri="{FF2B5EF4-FFF2-40B4-BE49-F238E27FC236}">
                <a16:creationId xmlns:a16="http://schemas.microsoft.com/office/drawing/2014/main" id="{D6204C37-FF77-49E1-B860-0A6687207881}"/>
              </a:ext>
            </a:extLst>
          </xdr:cNvPr>
          <xdr:cNvGraphicFramePr>
            <a:graphicFrameLocks/>
          </xdr:cNvGraphicFramePr>
        </xdr:nvGraphicFramePr>
        <xdr:xfrm>
          <a:off x="971815" y="1577131"/>
          <a:ext cx="3133726" cy="1980810"/>
        </xdr:xfrm>
        <a:graphic>
          <a:graphicData uri="http://schemas.openxmlformats.org/drawingml/2006/chart">
            <c:chart xmlns:c="http://schemas.openxmlformats.org/drawingml/2006/chart" xmlns:r="http://schemas.openxmlformats.org/officeDocument/2006/relationships" r:id="rId1"/>
          </a:graphicData>
        </a:graphic>
      </xdr:graphicFrame>
    </xdr:grpSp>
    <xdr:clientData/>
  </xdr:twoCellAnchor>
  <xdr:twoCellAnchor editAs="absolute">
    <xdr:from>
      <xdr:col>8</xdr:col>
      <xdr:colOff>476250</xdr:colOff>
      <xdr:row>10</xdr:row>
      <xdr:rowOff>134968</xdr:rowOff>
    </xdr:from>
    <xdr:to>
      <xdr:col>14</xdr:col>
      <xdr:colOff>142875</xdr:colOff>
      <xdr:row>19</xdr:row>
      <xdr:rowOff>164588</xdr:rowOff>
    </xdr:to>
    <xdr:grpSp>
      <xdr:nvGrpSpPr>
        <xdr:cNvPr id="67" name="Group 66">
          <a:extLst>
            <a:ext uri="{FF2B5EF4-FFF2-40B4-BE49-F238E27FC236}">
              <a16:creationId xmlns:a16="http://schemas.microsoft.com/office/drawing/2014/main" id="{51AFEC6E-5B4A-6AB4-E2AF-DEE7EDE0DF81}"/>
            </a:ext>
          </a:extLst>
        </xdr:cNvPr>
        <xdr:cNvGrpSpPr/>
      </xdr:nvGrpSpPr>
      <xdr:grpSpPr>
        <a:xfrm>
          <a:off x="5724525" y="2039968"/>
          <a:ext cx="3324225" cy="1744120"/>
          <a:chOff x="1038229" y="3848100"/>
          <a:chExt cx="3409946" cy="2395728"/>
        </a:xfrm>
      </xdr:grpSpPr>
      <xdr:sp macro="" textlink="">
        <xdr:nvSpPr>
          <xdr:cNvPr id="52" name="Rectangle: Rounded Corners 51">
            <a:extLst>
              <a:ext uri="{FF2B5EF4-FFF2-40B4-BE49-F238E27FC236}">
                <a16:creationId xmlns:a16="http://schemas.microsoft.com/office/drawing/2014/main" id="{B11ADF9B-860E-4591-B3E5-BFFE363B2BD3}"/>
              </a:ext>
            </a:extLst>
          </xdr:cNvPr>
          <xdr:cNvSpPr/>
        </xdr:nvSpPr>
        <xdr:spPr>
          <a:xfrm>
            <a:off x="1038229" y="3848100"/>
            <a:ext cx="3409946" cy="2395728"/>
          </a:xfrm>
          <a:prstGeom prst="roundRect">
            <a:avLst>
              <a:gd name="adj" fmla="val 5417"/>
            </a:avLst>
          </a:prstGeom>
          <a:solidFill>
            <a:schemeClr val="bg1">
              <a:lumMod val="95000"/>
            </a:schemeClr>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200" b="0">
                <a:solidFill>
                  <a:schemeClr val="tx1">
                    <a:lumMod val="75000"/>
                    <a:lumOff val="25000"/>
                  </a:schemeClr>
                </a:solidFill>
              </a:rPr>
              <a:t>Revenue by SalesRep </a:t>
            </a:r>
          </a:p>
        </xdr:txBody>
      </xdr:sp>
      <xdr:graphicFrame macro="">
        <xdr:nvGraphicFramePr>
          <xdr:cNvPr id="64" name="Chart 63">
            <a:extLst>
              <a:ext uri="{FF2B5EF4-FFF2-40B4-BE49-F238E27FC236}">
                <a16:creationId xmlns:a16="http://schemas.microsoft.com/office/drawing/2014/main" id="{DCAA53A5-660A-4BA7-B168-D124B6E70A13}"/>
              </a:ext>
            </a:extLst>
          </xdr:cNvPr>
          <xdr:cNvGraphicFramePr>
            <a:graphicFrameLocks/>
          </xdr:cNvGraphicFramePr>
        </xdr:nvGraphicFramePr>
        <xdr:xfrm>
          <a:off x="1241980" y="4117621"/>
          <a:ext cx="3133725" cy="1979289"/>
        </xdr:xfrm>
        <a:graphic>
          <a:graphicData uri="http://schemas.openxmlformats.org/drawingml/2006/chart">
            <c:chart xmlns:c="http://schemas.openxmlformats.org/drawingml/2006/chart" xmlns:r="http://schemas.openxmlformats.org/officeDocument/2006/relationships" r:id="rId2"/>
          </a:graphicData>
        </a:graphic>
      </xdr:graphicFrame>
    </xdr:grpSp>
    <xdr:clientData/>
  </xdr:twoCellAnchor>
  <xdr:twoCellAnchor editAs="absolute">
    <xdr:from>
      <xdr:col>8</xdr:col>
      <xdr:colOff>533400</xdr:colOff>
      <xdr:row>22</xdr:row>
      <xdr:rowOff>38100</xdr:rowOff>
    </xdr:from>
    <xdr:to>
      <xdr:col>19</xdr:col>
      <xdr:colOff>542925</xdr:colOff>
      <xdr:row>30</xdr:row>
      <xdr:rowOff>123825</xdr:rowOff>
    </xdr:to>
    <xdr:grpSp>
      <xdr:nvGrpSpPr>
        <xdr:cNvPr id="68" name="Group 67">
          <a:extLst>
            <a:ext uri="{FF2B5EF4-FFF2-40B4-BE49-F238E27FC236}">
              <a16:creationId xmlns:a16="http://schemas.microsoft.com/office/drawing/2014/main" id="{38A5B669-16C2-D32A-A49D-084745AD6B81}"/>
            </a:ext>
          </a:extLst>
        </xdr:cNvPr>
        <xdr:cNvGrpSpPr/>
      </xdr:nvGrpSpPr>
      <xdr:grpSpPr>
        <a:xfrm>
          <a:off x="5781675" y="3943350"/>
          <a:ext cx="6715125" cy="1609725"/>
          <a:chOff x="4733928" y="3781425"/>
          <a:chExt cx="5172071" cy="2395728"/>
        </a:xfrm>
      </xdr:grpSpPr>
      <xdr:sp macro="" textlink="">
        <xdr:nvSpPr>
          <xdr:cNvPr id="53" name="Rectangle: Rounded Corners 52">
            <a:extLst>
              <a:ext uri="{FF2B5EF4-FFF2-40B4-BE49-F238E27FC236}">
                <a16:creationId xmlns:a16="http://schemas.microsoft.com/office/drawing/2014/main" id="{48863580-D775-F174-8EBE-2F0C3860289C}"/>
              </a:ext>
            </a:extLst>
          </xdr:cNvPr>
          <xdr:cNvSpPr/>
        </xdr:nvSpPr>
        <xdr:spPr>
          <a:xfrm>
            <a:off x="4733928" y="3781425"/>
            <a:ext cx="5172071" cy="2395728"/>
          </a:xfrm>
          <a:prstGeom prst="roundRect">
            <a:avLst>
              <a:gd name="adj" fmla="val 2181"/>
            </a:avLst>
          </a:prstGeom>
          <a:solidFill>
            <a:schemeClr val="bg1">
              <a:lumMod val="95000"/>
            </a:schemeClr>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200" b="0">
                <a:solidFill>
                  <a:schemeClr val="accent1">
                    <a:lumMod val="50000"/>
                  </a:schemeClr>
                </a:solidFill>
              </a:rPr>
              <a:t>Revenue Trend </a:t>
            </a:r>
          </a:p>
        </xdr:txBody>
      </xdr:sp>
      <xdr:graphicFrame macro="">
        <xdr:nvGraphicFramePr>
          <xdr:cNvPr id="66" name="Chart 65">
            <a:extLst>
              <a:ext uri="{FF2B5EF4-FFF2-40B4-BE49-F238E27FC236}">
                <a16:creationId xmlns:a16="http://schemas.microsoft.com/office/drawing/2014/main" id="{FC6E31F3-846A-425A-BDE1-FA16C56A6FE1}"/>
              </a:ext>
            </a:extLst>
          </xdr:cNvPr>
          <xdr:cNvGraphicFramePr>
            <a:graphicFrameLocks/>
          </xdr:cNvGraphicFramePr>
        </xdr:nvGraphicFramePr>
        <xdr:xfrm>
          <a:off x="4857750" y="4390756"/>
          <a:ext cx="4819650" cy="1724026"/>
        </xdr:xfrm>
        <a:graphic>
          <a:graphicData uri="http://schemas.openxmlformats.org/drawingml/2006/chart">
            <c:chart xmlns:c="http://schemas.openxmlformats.org/drawingml/2006/chart" xmlns:r="http://schemas.openxmlformats.org/officeDocument/2006/relationships" r:id="rId3"/>
          </a:graphicData>
        </a:graphic>
      </xdr:graphicFrame>
    </xdr:grpSp>
    <xdr:clientData/>
  </xdr:twoCellAnchor>
  <xdr:twoCellAnchor editAs="absolute">
    <xdr:from>
      <xdr:col>14</xdr:col>
      <xdr:colOff>254127</xdr:colOff>
      <xdr:row>10</xdr:row>
      <xdr:rowOff>134968</xdr:rowOff>
    </xdr:from>
    <xdr:to>
      <xdr:col>19</xdr:col>
      <xdr:colOff>542924</xdr:colOff>
      <xdr:row>19</xdr:row>
      <xdr:rowOff>163541</xdr:rowOff>
    </xdr:to>
    <xdr:grpSp>
      <xdr:nvGrpSpPr>
        <xdr:cNvPr id="81" name="Group 80">
          <a:extLst>
            <a:ext uri="{FF2B5EF4-FFF2-40B4-BE49-F238E27FC236}">
              <a16:creationId xmlns:a16="http://schemas.microsoft.com/office/drawing/2014/main" id="{DB51A17C-9D56-42C4-11A0-96FC19E5E09D}"/>
            </a:ext>
          </a:extLst>
        </xdr:cNvPr>
        <xdr:cNvGrpSpPr/>
      </xdr:nvGrpSpPr>
      <xdr:grpSpPr>
        <a:xfrm>
          <a:off x="9160002" y="2039968"/>
          <a:ext cx="3336797" cy="1743073"/>
          <a:chOff x="4709779" y="1374327"/>
          <a:chExt cx="3409946" cy="2395728"/>
        </a:xfrm>
      </xdr:grpSpPr>
      <xdr:sp macro="" textlink="">
        <xdr:nvSpPr>
          <xdr:cNvPr id="51" name="Rectangle: Rounded Corners 50">
            <a:extLst>
              <a:ext uri="{FF2B5EF4-FFF2-40B4-BE49-F238E27FC236}">
                <a16:creationId xmlns:a16="http://schemas.microsoft.com/office/drawing/2014/main" id="{3B5BBF71-00F7-098D-0EA5-20EE04F4EA29}"/>
              </a:ext>
            </a:extLst>
          </xdr:cNvPr>
          <xdr:cNvSpPr/>
        </xdr:nvSpPr>
        <xdr:spPr>
          <a:xfrm>
            <a:off x="4709779" y="1374327"/>
            <a:ext cx="3409946" cy="2395728"/>
          </a:xfrm>
          <a:prstGeom prst="roundRect">
            <a:avLst>
              <a:gd name="adj" fmla="val 4102"/>
            </a:avLst>
          </a:prstGeom>
          <a:solidFill>
            <a:schemeClr val="bg1">
              <a:lumMod val="95000"/>
            </a:schemeClr>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200" b="0">
                <a:solidFill>
                  <a:schemeClr val="accent1">
                    <a:lumMod val="50000"/>
                  </a:schemeClr>
                </a:solidFill>
              </a:rPr>
              <a:t>COGS by City </a:t>
            </a:r>
          </a:p>
        </xdr:txBody>
      </xdr:sp>
      <xdr:graphicFrame macro="">
        <xdr:nvGraphicFramePr>
          <xdr:cNvPr id="79" name="Chart 78">
            <a:extLst>
              <a:ext uri="{FF2B5EF4-FFF2-40B4-BE49-F238E27FC236}">
                <a16:creationId xmlns:a16="http://schemas.microsoft.com/office/drawing/2014/main" id="{3EF79C0F-1B83-4A6D-9E1A-1E5DB28B73D1}"/>
              </a:ext>
            </a:extLst>
          </xdr:cNvPr>
          <xdr:cNvGraphicFramePr>
            <a:graphicFrameLocks/>
          </xdr:cNvGraphicFramePr>
        </xdr:nvGraphicFramePr>
        <xdr:xfrm>
          <a:off x="5073044" y="1654156"/>
          <a:ext cx="3027213" cy="1905000"/>
        </xdr:xfrm>
        <a:graphic>
          <a:graphicData uri="http://schemas.openxmlformats.org/drawingml/2006/chart">
            <c:chart xmlns:c="http://schemas.openxmlformats.org/drawingml/2006/chart" xmlns:r="http://schemas.openxmlformats.org/officeDocument/2006/relationships" r:id="rId4"/>
          </a:graphicData>
        </a:graphic>
      </xdr:graphicFrame>
    </xdr:grpSp>
    <xdr:clientData/>
  </xdr:twoCellAnchor>
  <xdr:twoCellAnchor editAs="absolute">
    <xdr:from>
      <xdr:col>1</xdr:col>
      <xdr:colOff>123826</xdr:colOff>
      <xdr:row>3</xdr:row>
      <xdr:rowOff>123633</xdr:rowOff>
    </xdr:from>
    <xdr:to>
      <xdr:col>3</xdr:col>
      <xdr:colOff>466725</xdr:colOff>
      <xdr:row>6</xdr:row>
      <xdr:rowOff>18859</xdr:rowOff>
    </xdr:to>
    <xdr:grpSp>
      <xdr:nvGrpSpPr>
        <xdr:cNvPr id="46" name="Group 45">
          <a:extLst>
            <a:ext uri="{FF2B5EF4-FFF2-40B4-BE49-F238E27FC236}">
              <a16:creationId xmlns:a16="http://schemas.microsoft.com/office/drawing/2014/main" id="{70F8E7ED-EF01-B754-5E41-2D2C1B9C9930}"/>
            </a:ext>
          </a:extLst>
        </xdr:cNvPr>
        <xdr:cNvGrpSpPr/>
      </xdr:nvGrpSpPr>
      <xdr:grpSpPr>
        <a:xfrm>
          <a:off x="1104901" y="695133"/>
          <a:ext cx="1562099" cy="466726"/>
          <a:chOff x="914401" y="742949"/>
          <a:chExt cx="1562099" cy="466726"/>
        </a:xfrm>
      </xdr:grpSpPr>
      <xdr:sp macro="" textlink="">
        <xdr:nvSpPr>
          <xdr:cNvPr id="3" name="Rectangle: Rounded Corners 2">
            <a:extLst>
              <a:ext uri="{FF2B5EF4-FFF2-40B4-BE49-F238E27FC236}">
                <a16:creationId xmlns:a16="http://schemas.microsoft.com/office/drawing/2014/main" id="{381E7DE2-D90B-1FB5-8572-1A9E27301C88}"/>
              </a:ext>
            </a:extLst>
          </xdr:cNvPr>
          <xdr:cNvSpPr/>
        </xdr:nvSpPr>
        <xdr:spPr>
          <a:xfrm>
            <a:off x="914401" y="742949"/>
            <a:ext cx="1562099" cy="466726"/>
          </a:xfrm>
          <a:prstGeom prst="roundRect">
            <a:avLst>
              <a:gd name="adj" fmla="val 4167"/>
            </a:avLst>
          </a:prstGeom>
          <a:solidFill>
            <a:schemeClr val="bg1">
              <a:lumMod val="95000"/>
            </a:schemeClr>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900" b="1">
                <a:solidFill>
                  <a:schemeClr val="accent1">
                    <a:lumMod val="50000"/>
                  </a:schemeClr>
                </a:solidFill>
              </a:rPr>
              <a:t>             </a:t>
            </a:r>
          </a:p>
        </xdr:txBody>
      </xdr:sp>
      <xdr:sp macro="" textlink="'Pivot Table &amp; Chart'!B28">
        <xdr:nvSpPr>
          <xdr:cNvPr id="16" name="TextBox 15">
            <a:extLst>
              <a:ext uri="{FF2B5EF4-FFF2-40B4-BE49-F238E27FC236}">
                <a16:creationId xmlns:a16="http://schemas.microsoft.com/office/drawing/2014/main" id="{DAFD933D-51EB-CAB9-5226-D85335817DD3}"/>
              </a:ext>
            </a:extLst>
          </xdr:cNvPr>
          <xdr:cNvSpPr txBox="1"/>
        </xdr:nvSpPr>
        <xdr:spPr>
          <a:xfrm>
            <a:off x="1233488" y="923925"/>
            <a:ext cx="828675" cy="247650"/>
          </a:xfrm>
          <a:prstGeom prst="rect">
            <a:avLst/>
          </a:prstGeom>
          <a:solidFill>
            <a:schemeClr val="bg1">
              <a:lumMod val="95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96AF2B8D-9703-4C7B-A53B-BE1C3A7CB54B}" type="TxLink">
              <a:rPr lang="en-US" sz="1400" b="1" i="0" u="none" strike="noStrike">
                <a:solidFill>
                  <a:srgbClr val="000000"/>
                </a:solidFill>
                <a:latin typeface="Calibri"/>
                <a:cs typeface="Calibri"/>
              </a:rPr>
              <a:pPr/>
              <a:t>$2.33B</a:t>
            </a:fld>
            <a:endParaRPr lang="en-US" sz="1400" b="1"/>
          </a:p>
        </xdr:txBody>
      </xdr:sp>
      <xdr:pic>
        <xdr:nvPicPr>
          <xdr:cNvPr id="36" name="Graphic 35" descr="Dollar with solid fill">
            <a:extLst>
              <a:ext uri="{FF2B5EF4-FFF2-40B4-BE49-F238E27FC236}">
                <a16:creationId xmlns:a16="http://schemas.microsoft.com/office/drawing/2014/main" id="{3B61B179-35E8-C766-D521-3C85F47D08AE}"/>
              </a:ext>
            </a:extLst>
          </xdr:cNvPr>
          <xdr:cNvPicPr>
            <a:picLocks noChangeAspect="1"/>
          </xdr:cNvPicPr>
        </xdr:nvPicPr>
        <xdr:blipFill>
          <a:blip xmlns:r="http://schemas.openxmlformats.org/officeDocument/2006/relationships" r:embed="rId5">
            <a:extLst>
              <a:ext uri="{96DAC541-7B7A-43D3-8B79-37D633B846F1}">
                <asvg:svgBlip xmlns:asvg="http://schemas.microsoft.com/office/drawing/2016/SVG/main" r:embed="rId6"/>
              </a:ext>
            </a:extLst>
          </a:blip>
          <a:stretch>
            <a:fillRect/>
          </a:stretch>
        </xdr:blipFill>
        <xdr:spPr>
          <a:xfrm>
            <a:off x="914401" y="838200"/>
            <a:ext cx="274320" cy="274320"/>
          </a:xfrm>
          <a:prstGeom prst="rect">
            <a:avLst/>
          </a:prstGeom>
          <a:effectLst>
            <a:glow rad="101600">
              <a:schemeClr val="bg1">
                <a:lumMod val="65000"/>
                <a:alpha val="60000"/>
              </a:schemeClr>
            </a:glow>
          </a:effectLst>
        </xdr:spPr>
      </xdr:pic>
      <xdr:sp macro="" textlink="'Pivot Table &amp; Chart'!B28">
        <xdr:nvSpPr>
          <xdr:cNvPr id="45" name="TextBox 44">
            <a:extLst>
              <a:ext uri="{FF2B5EF4-FFF2-40B4-BE49-F238E27FC236}">
                <a16:creationId xmlns:a16="http://schemas.microsoft.com/office/drawing/2014/main" id="{4110B606-9CC9-FB3A-06A2-F0E3ABA31B31}"/>
              </a:ext>
            </a:extLst>
          </xdr:cNvPr>
          <xdr:cNvSpPr txBox="1"/>
        </xdr:nvSpPr>
        <xdr:spPr>
          <a:xfrm>
            <a:off x="1233488" y="781050"/>
            <a:ext cx="828675" cy="2000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900" b="0"/>
              <a:t>Sales</a:t>
            </a:r>
          </a:p>
        </xdr:txBody>
      </xdr:sp>
    </xdr:grpSp>
    <xdr:clientData/>
  </xdr:twoCellAnchor>
  <xdr:twoCellAnchor editAs="absolute">
    <xdr:from>
      <xdr:col>5</xdr:col>
      <xdr:colOff>138113</xdr:colOff>
      <xdr:row>3</xdr:row>
      <xdr:rowOff>124015</xdr:rowOff>
    </xdr:from>
    <xdr:to>
      <xdr:col>7</xdr:col>
      <xdr:colOff>481012</xdr:colOff>
      <xdr:row>6</xdr:row>
      <xdr:rowOff>18859</xdr:rowOff>
    </xdr:to>
    <xdr:grpSp>
      <xdr:nvGrpSpPr>
        <xdr:cNvPr id="48" name="Group 47">
          <a:extLst>
            <a:ext uri="{FF2B5EF4-FFF2-40B4-BE49-F238E27FC236}">
              <a16:creationId xmlns:a16="http://schemas.microsoft.com/office/drawing/2014/main" id="{64E80E8A-B361-02A4-0529-91B593096E7B}"/>
            </a:ext>
          </a:extLst>
        </xdr:cNvPr>
        <xdr:cNvGrpSpPr/>
      </xdr:nvGrpSpPr>
      <xdr:grpSpPr>
        <a:xfrm>
          <a:off x="3557588" y="695515"/>
          <a:ext cx="1562099" cy="466344"/>
          <a:chOff x="2886076" y="676274"/>
          <a:chExt cx="1562099" cy="466344"/>
        </a:xfrm>
      </xdr:grpSpPr>
      <xdr:sp macro="" textlink="">
        <xdr:nvSpPr>
          <xdr:cNvPr id="14" name="Rectangle: Rounded Corners 13">
            <a:extLst>
              <a:ext uri="{FF2B5EF4-FFF2-40B4-BE49-F238E27FC236}">
                <a16:creationId xmlns:a16="http://schemas.microsoft.com/office/drawing/2014/main" id="{0B1BB2DA-7D0C-3547-F4F8-F43E96A2A855}"/>
              </a:ext>
            </a:extLst>
          </xdr:cNvPr>
          <xdr:cNvSpPr/>
        </xdr:nvSpPr>
        <xdr:spPr>
          <a:xfrm>
            <a:off x="2886076" y="676274"/>
            <a:ext cx="1562099" cy="466344"/>
          </a:xfrm>
          <a:prstGeom prst="roundRect">
            <a:avLst>
              <a:gd name="adj" fmla="val 4167"/>
            </a:avLst>
          </a:prstGeom>
          <a:solidFill>
            <a:schemeClr val="bg1">
              <a:lumMod val="95000"/>
            </a:schemeClr>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900" b="1">
                <a:solidFill>
                  <a:schemeClr val="accent1">
                    <a:lumMod val="50000"/>
                  </a:schemeClr>
                </a:solidFill>
              </a:rPr>
              <a:t>           </a:t>
            </a:r>
          </a:p>
        </xdr:txBody>
      </xdr:sp>
      <xdr:sp macro="" textlink="'Pivot Table &amp; Chart'!E28">
        <xdr:nvSpPr>
          <xdr:cNvPr id="17" name="TextBox 16">
            <a:extLst>
              <a:ext uri="{FF2B5EF4-FFF2-40B4-BE49-F238E27FC236}">
                <a16:creationId xmlns:a16="http://schemas.microsoft.com/office/drawing/2014/main" id="{8D7962E8-2B1E-2D30-FCD2-B4E8205681AB}"/>
              </a:ext>
            </a:extLst>
          </xdr:cNvPr>
          <xdr:cNvSpPr txBox="1"/>
        </xdr:nvSpPr>
        <xdr:spPr>
          <a:xfrm>
            <a:off x="3190875" y="866775"/>
            <a:ext cx="828675" cy="228599"/>
          </a:xfrm>
          <a:prstGeom prst="rect">
            <a:avLst/>
          </a:prstGeom>
          <a:solidFill>
            <a:schemeClr val="bg1">
              <a:lumMod val="95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F01EFB3E-C10B-42E3-A3D8-A18366BF3B7E}" type="TxLink">
              <a:rPr lang="en-US" sz="1400" b="1" i="0" u="none" strike="noStrike">
                <a:solidFill>
                  <a:srgbClr val="000000"/>
                </a:solidFill>
                <a:latin typeface="Calibri"/>
                <a:cs typeface="Calibri"/>
              </a:rPr>
              <a:pPr/>
              <a:t>$1.86B</a:t>
            </a:fld>
            <a:endParaRPr lang="en-US" sz="1400" b="1"/>
          </a:p>
        </xdr:txBody>
      </xdr:sp>
      <xdr:pic>
        <xdr:nvPicPr>
          <xdr:cNvPr id="38" name="Graphic 37" descr="Shopping cart with solid fill">
            <a:extLst>
              <a:ext uri="{FF2B5EF4-FFF2-40B4-BE49-F238E27FC236}">
                <a16:creationId xmlns:a16="http://schemas.microsoft.com/office/drawing/2014/main" id="{BD37CF7F-46B0-00C8-CC86-CB6FFE520653}"/>
              </a:ext>
            </a:extLst>
          </xdr:cNvPr>
          <xdr:cNvPicPr>
            <a:picLocks noChangeAspect="1"/>
          </xdr:cNvPicPr>
        </xdr:nvPicPr>
        <xdr:blipFill>
          <a:blip xmlns:r="http://schemas.openxmlformats.org/officeDocument/2006/relationships" r:embed="rId7">
            <a:extLst>
              <a:ext uri="{96DAC541-7B7A-43D3-8B79-37D633B846F1}">
                <asvg:svgBlip xmlns:asvg="http://schemas.microsoft.com/office/drawing/2016/SVG/main" r:embed="rId8"/>
              </a:ext>
            </a:extLst>
          </a:blip>
          <a:stretch>
            <a:fillRect/>
          </a:stretch>
        </xdr:blipFill>
        <xdr:spPr>
          <a:xfrm>
            <a:off x="2886076" y="762000"/>
            <a:ext cx="274320" cy="274320"/>
          </a:xfrm>
          <a:prstGeom prst="rect">
            <a:avLst/>
          </a:prstGeom>
          <a:effectLst>
            <a:glow rad="101600">
              <a:schemeClr val="bg1">
                <a:lumMod val="65000"/>
                <a:alpha val="60000"/>
              </a:schemeClr>
            </a:glow>
          </a:effectLst>
        </xdr:spPr>
      </xdr:pic>
      <xdr:sp macro="" textlink="'Pivot Table &amp; Chart'!E28">
        <xdr:nvSpPr>
          <xdr:cNvPr id="47" name="TextBox 46">
            <a:extLst>
              <a:ext uri="{FF2B5EF4-FFF2-40B4-BE49-F238E27FC236}">
                <a16:creationId xmlns:a16="http://schemas.microsoft.com/office/drawing/2014/main" id="{FFA04DE4-7684-8D56-CA24-937CCB5538B1}"/>
              </a:ext>
            </a:extLst>
          </xdr:cNvPr>
          <xdr:cNvSpPr txBox="1"/>
        </xdr:nvSpPr>
        <xdr:spPr>
          <a:xfrm>
            <a:off x="3190875" y="714375"/>
            <a:ext cx="828675" cy="16192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900" b="0"/>
              <a:t>COGS</a:t>
            </a:r>
          </a:p>
        </xdr:txBody>
      </xdr:sp>
    </xdr:grpSp>
    <xdr:clientData/>
  </xdr:twoCellAnchor>
  <xdr:twoCellAnchor>
    <xdr:from>
      <xdr:col>9</xdr:col>
      <xdr:colOff>152400</xdr:colOff>
      <xdr:row>3</xdr:row>
      <xdr:rowOff>124015</xdr:rowOff>
    </xdr:from>
    <xdr:to>
      <xdr:col>11</xdr:col>
      <xdr:colOff>495299</xdr:colOff>
      <xdr:row>6</xdr:row>
      <xdr:rowOff>18859</xdr:rowOff>
    </xdr:to>
    <xdr:grpSp>
      <xdr:nvGrpSpPr>
        <xdr:cNvPr id="7" name="Group 6">
          <a:extLst>
            <a:ext uri="{FF2B5EF4-FFF2-40B4-BE49-F238E27FC236}">
              <a16:creationId xmlns:a16="http://schemas.microsoft.com/office/drawing/2014/main" id="{AD4D4B2F-1517-094D-8154-33348BF9D297}"/>
            </a:ext>
          </a:extLst>
        </xdr:cNvPr>
        <xdr:cNvGrpSpPr/>
      </xdr:nvGrpSpPr>
      <xdr:grpSpPr>
        <a:xfrm>
          <a:off x="6010275" y="695515"/>
          <a:ext cx="1562099" cy="466344"/>
          <a:chOff x="6010276" y="669267"/>
          <a:chExt cx="1562099" cy="466344"/>
        </a:xfrm>
      </xdr:grpSpPr>
      <xdr:sp macro="" textlink="">
        <xdr:nvSpPr>
          <xdr:cNvPr id="4" name="Rectangle: Rounded Corners 3">
            <a:extLst>
              <a:ext uri="{FF2B5EF4-FFF2-40B4-BE49-F238E27FC236}">
                <a16:creationId xmlns:a16="http://schemas.microsoft.com/office/drawing/2014/main" id="{744694A3-40F9-FA91-2CEB-BCE6F1FD40CD}"/>
              </a:ext>
            </a:extLst>
          </xdr:cNvPr>
          <xdr:cNvSpPr/>
        </xdr:nvSpPr>
        <xdr:spPr>
          <a:xfrm>
            <a:off x="6010276" y="669267"/>
            <a:ext cx="1562099" cy="466344"/>
          </a:xfrm>
          <a:prstGeom prst="roundRect">
            <a:avLst>
              <a:gd name="adj" fmla="val 4167"/>
            </a:avLst>
          </a:prstGeom>
          <a:solidFill>
            <a:schemeClr val="bg1">
              <a:lumMod val="95000"/>
            </a:schemeClr>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900" b="1">
                <a:solidFill>
                  <a:schemeClr val="accent1">
                    <a:lumMod val="50000"/>
                  </a:schemeClr>
                </a:solidFill>
              </a:rPr>
              <a:t>       </a:t>
            </a:r>
          </a:p>
        </xdr:txBody>
      </xdr:sp>
      <xdr:sp macro="" textlink="'Pivot Table &amp; Chart'!H28">
        <xdr:nvSpPr>
          <xdr:cNvPr id="18" name="TextBox 17">
            <a:extLst>
              <a:ext uri="{FF2B5EF4-FFF2-40B4-BE49-F238E27FC236}">
                <a16:creationId xmlns:a16="http://schemas.microsoft.com/office/drawing/2014/main" id="{7E3A5D6B-2136-273E-5EEF-4F987184FAA0}"/>
              </a:ext>
            </a:extLst>
          </xdr:cNvPr>
          <xdr:cNvSpPr txBox="1"/>
        </xdr:nvSpPr>
        <xdr:spPr>
          <a:xfrm>
            <a:off x="6272212" y="878819"/>
            <a:ext cx="1100137" cy="254656"/>
          </a:xfrm>
          <a:prstGeom prst="rect">
            <a:avLst/>
          </a:prstGeom>
          <a:solidFill>
            <a:schemeClr val="bg1">
              <a:lumMod val="95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A543B361-6969-4036-A4E1-7DD2697782FC}" type="TxLink">
              <a:rPr lang="en-US" sz="1400" b="1" i="0" u="none" strike="noStrike">
                <a:solidFill>
                  <a:srgbClr val="000000"/>
                </a:solidFill>
                <a:latin typeface="Calibri"/>
                <a:cs typeface="Calibri"/>
              </a:rPr>
              <a:pPr/>
              <a:t>$465.67M</a:t>
            </a:fld>
            <a:endParaRPr lang="en-US" sz="1400" b="1"/>
          </a:p>
        </xdr:txBody>
      </xdr:sp>
      <xdr:pic>
        <xdr:nvPicPr>
          <xdr:cNvPr id="40" name="Graphic 39" descr="Bar graph with upward trend with solid fill">
            <a:extLst>
              <a:ext uri="{FF2B5EF4-FFF2-40B4-BE49-F238E27FC236}">
                <a16:creationId xmlns:a16="http://schemas.microsoft.com/office/drawing/2014/main" id="{7055A32E-39F1-404F-6580-55EBF1999D45}"/>
              </a:ext>
            </a:extLst>
          </xdr:cNvPr>
          <xdr:cNvPicPr>
            <a:picLocks noChangeAspect="1"/>
          </xdr:cNvPicPr>
        </xdr:nvPicPr>
        <xdr:blipFill>
          <a:blip xmlns:r="http://schemas.openxmlformats.org/officeDocument/2006/relationships" r:embed="rId9">
            <a:extLst>
              <a:ext uri="{96DAC541-7B7A-43D3-8B79-37D633B846F1}">
                <asvg:svgBlip xmlns:asvg="http://schemas.microsoft.com/office/drawing/2016/SVG/main" r:embed="rId10"/>
              </a:ext>
            </a:extLst>
          </a:blip>
          <a:stretch>
            <a:fillRect/>
          </a:stretch>
        </xdr:blipFill>
        <xdr:spPr>
          <a:xfrm>
            <a:off x="6010276" y="774044"/>
            <a:ext cx="276224" cy="244975"/>
          </a:xfrm>
          <a:prstGeom prst="rect">
            <a:avLst/>
          </a:prstGeom>
          <a:effectLst>
            <a:glow rad="101600">
              <a:schemeClr val="bg1">
                <a:lumMod val="65000"/>
                <a:alpha val="60000"/>
              </a:schemeClr>
            </a:glow>
          </a:effectLst>
        </xdr:spPr>
      </xdr:pic>
      <xdr:sp macro="" textlink="'Pivot Table &amp; Chart'!E28">
        <xdr:nvSpPr>
          <xdr:cNvPr id="49" name="TextBox 48">
            <a:extLst>
              <a:ext uri="{FF2B5EF4-FFF2-40B4-BE49-F238E27FC236}">
                <a16:creationId xmlns:a16="http://schemas.microsoft.com/office/drawing/2014/main" id="{55657DF8-8C14-7FCB-2C6E-CD4266E7496A}"/>
              </a:ext>
            </a:extLst>
          </xdr:cNvPr>
          <xdr:cNvSpPr txBox="1"/>
        </xdr:nvSpPr>
        <xdr:spPr>
          <a:xfrm>
            <a:off x="6272213" y="716894"/>
            <a:ext cx="828675" cy="23812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900" b="0"/>
              <a:t>Profit</a:t>
            </a:r>
          </a:p>
        </xdr:txBody>
      </xdr:sp>
    </xdr:grpSp>
    <xdr:clientData/>
  </xdr:twoCellAnchor>
  <xdr:twoCellAnchor editAs="absolute">
    <xdr:from>
      <xdr:col>13</xdr:col>
      <xdr:colOff>166687</xdr:colOff>
      <xdr:row>3</xdr:row>
      <xdr:rowOff>124015</xdr:rowOff>
    </xdr:from>
    <xdr:to>
      <xdr:col>15</xdr:col>
      <xdr:colOff>509586</xdr:colOff>
      <xdr:row>6</xdr:row>
      <xdr:rowOff>18859</xdr:rowOff>
    </xdr:to>
    <xdr:grpSp>
      <xdr:nvGrpSpPr>
        <xdr:cNvPr id="55" name="Group 54">
          <a:extLst>
            <a:ext uri="{FF2B5EF4-FFF2-40B4-BE49-F238E27FC236}">
              <a16:creationId xmlns:a16="http://schemas.microsoft.com/office/drawing/2014/main" id="{DF23979F-1315-0439-53F7-6582D87D2D9D}"/>
            </a:ext>
          </a:extLst>
        </xdr:cNvPr>
        <xdr:cNvGrpSpPr/>
      </xdr:nvGrpSpPr>
      <xdr:grpSpPr>
        <a:xfrm>
          <a:off x="8462962" y="695515"/>
          <a:ext cx="1562099" cy="466344"/>
          <a:chOff x="8696326" y="695324"/>
          <a:chExt cx="1562099" cy="466344"/>
        </a:xfrm>
      </xdr:grpSpPr>
      <xdr:sp macro="" textlink="">
        <xdr:nvSpPr>
          <xdr:cNvPr id="10" name="Rectangle: Rounded Corners 9">
            <a:extLst>
              <a:ext uri="{FF2B5EF4-FFF2-40B4-BE49-F238E27FC236}">
                <a16:creationId xmlns:a16="http://schemas.microsoft.com/office/drawing/2014/main" id="{2D76CF99-DD4F-CEA0-DD4E-6D34DA46D8C1}"/>
              </a:ext>
            </a:extLst>
          </xdr:cNvPr>
          <xdr:cNvSpPr/>
        </xdr:nvSpPr>
        <xdr:spPr>
          <a:xfrm>
            <a:off x="8696326" y="695324"/>
            <a:ext cx="1562099" cy="466344"/>
          </a:xfrm>
          <a:prstGeom prst="roundRect">
            <a:avLst>
              <a:gd name="adj" fmla="val 4167"/>
            </a:avLst>
          </a:prstGeom>
          <a:solidFill>
            <a:schemeClr val="bg1">
              <a:lumMod val="95000"/>
            </a:schemeClr>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900" b="1">
                <a:solidFill>
                  <a:schemeClr val="accent1">
                    <a:lumMod val="50000"/>
                  </a:schemeClr>
                </a:solidFill>
              </a:rPr>
              <a:t>          </a:t>
            </a:r>
          </a:p>
        </xdr:txBody>
      </xdr:sp>
      <xdr:sp macro="" textlink="'Pivot Table &amp; Chart'!K28">
        <xdr:nvSpPr>
          <xdr:cNvPr id="32" name="TextBox 31">
            <a:extLst>
              <a:ext uri="{FF2B5EF4-FFF2-40B4-BE49-F238E27FC236}">
                <a16:creationId xmlns:a16="http://schemas.microsoft.com/office/drawing/2014/main" id="{88EBD368-AEF9-F932-FB3D-9E0D4FF3E2E8}"/>
              </a:ext>
            </a:extLst>
          </xdr:cNvPr>
          <xdr:cNvSpPr txBox="1"/>
        </xdr:nvSpPr>
        <xdr:spPr>
          <a:xfrm>
            <a:off x="9063038" y="895350"/>
            <a:ext cx="828675" cy="228599"/>
          </a:xfrm>
          <a:prstGeom prst="rect">
            <a:avLst/>
          </a:prstGeom>
          <a:solidFill>
            <a:schemeClr val="bg1">
              <a:lumMod val="95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7F25BD4B-8EC3-452A-A0EE-A12729D0FF60}" type="TxLink">
              <a:rPr lang="en-US" sz="1400" b="1" i="0" u="none" strike="noStrike">
                <a:solidFill>
                  <a:srgbClr val="000000"/>
                </a:solidFill>
                <a:latin typeface="Calibri"/>
                <a:cs typeface="Calibri"/>
              </a:rPr>
              <a:pPr/>
              <a:t>2098</a:t>
            </a:fld>
            <a:endParaRPr lang="en-US" sz="1400" b="1"/>
          </a:p>
        </xdr:txBody>
      </xdr:sp>
      <xdr:pic>
        <xdr:nvPicPr>
          <xdr:cNvPr id="42" name="Graphic 41" descr="Users with solid fill">
            <a:extLst>
              <a:ext uri="{FF2B5EF4-FFF2-40B4-BE49-F238E27FC236}">
                <a16:creationId xmlns:a16="http://schemas.microsoft.com/office/drawing/2014/main" id="{4D5E7ECE-5D36-22A2-E8E1-7792CF0BC9E2}"/>
              </a:ext>
            </a:extLst>
          </xdr:cNvPr>
          <xdr:cNvPicPr>
            <a:picLocks noChangeAspect="1"/>
          </xdr:cNvPicPr>
        </xdr:nvPicPr>
        <xdr:blipFill>
          <a:blip xmlns:r="http://schemas.openxmlformats.org/officeDocument/2006/relationships" r:embed="rId11">
            <a:extLst>
              <a:ext uri="{96DAC541-7B7A-43D3-8B79-37D633B846F1}">
                <asvg:svgBlip xmlns:asvg="http://schemas.microsoft.com/office/drawing/2016/SVG/main" r:embed="rId12"/>
              </a:ext>
            </a:extLst>
          </a:blip>
          <a:stretch>
            <a:fillRect/>
          </a:stretch>
        </xdr:blipFill>
        <xdr:spPr>
          <a:xfrm>
            <a:off x="8743951" y="790575"/>
            <a:ext cx="274320" cy="274320"/>
          </a:xfrm>
          <a:prstGeom prst="rect">
            <a:avLst/>
          </a:prstGeom>
          <a:effectLst>
            <a:glow rad="101600">
              <a:schemeClr val="bg1">
                <a:lumMod val="65000"/>
                <a:alpha val="60000"/>
              </a:schemeClr>
            </a:glow>
          </a:effectLst>
        </xdr:spPr>
      </xdr:pic>
      <xdr:sp macro="" textlink="'Pivot Table &amp; Chart'!K28">
        <xdr:nvSpPr>
          <xdr:cNvPr id="54" name="TextBox 53">
            <a:extLst>
              <a:ext uri="{FF2B5EF4-FFF2-40B4-BE49-F238E27FC236}">
                <a16:creationId xmlns:a16="http://schemas.microsoft.com/office/drawing/2014/main" id="{36C8212E-6DA6-B5C6-FEB9-48DBD90960FF}"/>
              </a:ext>
            </a:extLst>
          </xdr:cNvPr>
          <xdr:cNvSpPr txBox="1"/>
        </xdr:nvSpPr>
        <xdr:spPr>
          <a:xfrm>
            <a:off x="9063038" y="704850"/>
            <a:ext cx="828675" cy="228599"/>
          </a:xfrm>
          <a:prstGeom prst="rect">
            <a:avLst/>
          </a:prstGeom>
          <a:solidFill>
            <a:schemeClr val="bg1">
              <a:lumMod val="95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900" b="0"/>
              <a:t>Customers</a:t>
            </a:r>
          </a:p>
        </xdr:txBody>
      </xdr:sp>
    </xdr:grpSp>
    <xdr:clientData/>
  </xdr:twoCellAnchor>
  <xdr:twoCellAnchor>
    <xdr:from>
      <xdr:col>17</xdr:col>
      <xdr:colOff>557213</xdr:colOff>
      <xdr:row>3</xdr:row>
      <xdr:rowOff>128444</xdr:rowOff>
    </xdr:from>
    <xdr:to>
      <xdr:col>19</xdr:col>
      <xdr:colOff>166688</xdr:colOff>
      <xdr:row>4</xdr:row>
      <xdr:rowOff>166543</xdr:rowOff>
    </xdr:to>
    <xdr:sp macro="" textlink="'Pivot Table &amp; Chart'!E28">
      <xdr:nvSpPr>
        <xdr:cNvPr id="61" name="TextBox 60">
          <a:extLst>
            <a:ext uri="{FF2B5EF4-FFF2-40B4-BE49-F238E27FC236}">
              <a16:creationId xmlns:a16="http://schemas.microsoft.com/office/drawing/2014/main" id="{CF2AFEFD-BAC4-7BD3-D8D9-1F8DE8FCA214}"/>
            </a:ext>
          </a:extLst>
        </xdr:cNvPr>
        <xdr:cNvSpPr txBox="1"/>
      </xdr:nvSpPr>
      <xdr:spPr>
        <a:xfrm>
          <a:off x="11291888" y="699944"/>
          <a:ext cx="828675" cy="228599"/>
        </a:xfrm>
        <a:prstGeom prst="rect">
          <a:avLst/>
        </a:prstGeom>
        <a:solidFill>
          <a:schemeClr val="bg1">
            <a:lumMod val="95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900" b="0"/>
            <a:t>Qty</a:t>
          </a:r>
        </a:p>
      </xdr:txBody>
    </xdr:sp>
    <xdr:clientData/>
  </xdr:twoCellAnchor>
  <xdr:twoCellAnchor editAs="absolute">
    <xdr:from>
      <xdr:col>1</xdr:col>
      <xdr:colOff>85725</xdr:colOff>
      <xdr:row>6</xdr:row>
      <xdr:rowOff>75246</xdr:rowOff>
    </xdr:from>
    <xdr:to>
      <xdr:col>19</xdr:col>
      <xdr:colOff>514350</xdr:colOff>
      <xdr:row>10</xdr:row>
      <xdr:rowOff>18098</xdr:rowOff>
    </xdr:to>
    <xdr:grpSp>
      <xdr:nvGrpSpPr>
        <xdr:cNvPr id="87" name="Group 86">
          <a:extLst>
            <a:ext uri="{FF2B5EF4-FFF2-40B4-BE49-F238E27FC236}">
              <a16:creationId xmlns:a16="http://schemas.microsoft.com/office/drawing/2014/main" id="{EA1A6394-A084-22BD-E079-1CB82FCFAE33}"/>
            </a:ext>
          </a:extLst>
        </xdr:cNvPr>
        <xdr:cNvGrpSpPr/>
      </xdr:nvGrpSpPr>
      <xdr:grpSpPr>
        <a:xfrm>
          <a:off x="1066800" y="1218246"/>
          <a:ext cx="11401425" cy="704852"/>
          <a:chOff x="1057276" y="1218246"/>
          <a:chExt cx="11468099" cy="704852"/>
        </a:xfrm>
      </xdr:grpSpPr>
      <xdr:sp macro="" textlink="">
        <xdr:nvSpPr>
          <xdr:cNvPr id="20" name="Rectangle: Rounded Corners 19">
            <a:extLst>
              <a:ext uri="{FF2B5EF4-FFF2-40B4-BE49-F238E27FC236}">
                <a16:creationId xmlns:a16="http://schemas.microsoft.com/office/drawing/2014/main" id="{2383CCEA-2EDA-BB06-B5E9-35D74284C50F}"/>
              </a:ext>
            </a:extLst>
          </xdr:cNvPr>
          <xdr:cNvSpPr/>
        </xdr:nvSpPr>
        <xdr:spPr>
          <a:xfrm>
            <a:off x="1057276" y="1218246"/>
            <a:ext cx="11468099" cy="704852"/>
          </a:xfrm>
          <a:prstGeom prst="roundRect">
            <a:avLst>
              <a:gd name="adj" fmla="val 4167"/>
            </a:avLst>
          </a:prstGeom>
          <a:solidFill>
            <a:schemeClr val="bg1">
              <a:lumMod val="95000"/>
            </a:schemeClr>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600" b="1">
              <a:solidFill>
                <a:schemeClr val="accent1">
                  <a:lumMod val="50000"/>
                </a:schemeClr>
              </a:solidFill>
            </a:endParaRPr>
          </a:p>
        </xdr:txBody>
      </xdr:sp>
      <mc:AlternateContent xmlns:mc="http://schemas.openxmlformats.org/markup-compatibility/2006" xmlns:a14="http://schemas.microsoft.com/office/drawing/2010/main">
        <mc:Choice Requires="a14">
          <xdr:graphicFrame macro="">
            <xdr:nvGraphicFramePr>
              <xdr:cNvPr id="15" name="Category 3">
                <a:extLst>
                  <a:ext uri="{FF2B5EF4-FFF2-40B4-BE49-F238E27FC236}">
                    <a16:creationId xmlns:a16="http://schemas.microsoft.com/office/drawing/2014/main" id="{C9464A3D-377D-4B3C-920D-DE70E6058BCE}"/>
                  </a:ext>
                </a:extLst>
              </xdr:cNvPr>
              <xdr:cNvGraphicFramePr/>
            </xdr:nvGraphicFramePr>
            <xdr:xfrm>
              <a:off x="6096000" y="1264920"/>
              <a:ext cx="6381750" cy="630936"/>
            </xdr:xfrm>
            <a:graphic>
              <a:graphicData uri="http://schemas.microsoft.com/office/drawing/2010/slicer">
                <sle:slicer xmlns:sle="http://schemas.microsoft.com/office/drawing/2010/slicer" name="Category 3"/>
              </a:graphicData>
            </a:graphic>
          </xdr:graphicFrame>
        </mc:Choice>
        <mc:Fallback xmlns="">
          <xdr:sp macro="" textlink="">
            <xdr:nvSpPr>
              <xdr:cNvPr id="0" name=""/>
              <xdr:cNvSpPr>
                <a:spLocks noTextEdit="1"/>
              </xdr:cNvSpPr>
            </xdr:nvSpPr>
            <xdr:spPr>
              <a:xfrm>
                <a:off x="6076230" y="1264920"/>
                <a:ext cx="6344647" cy="630936"/>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mc:AlternateContent xmlns:mc="http://schemas.openxmlformats.org/markup-compatibility/2006" xmlns:a14="http://schemas.microsoft.com/office/drawing/2010/main">
        <mc:Choice Requires="a14">
          <xdr:graphicFrame macro="">
            <xdr:nvGraphicFramePr>
              <xdr:cNvPr id="12" name="Region 3">
                <a:extLst>
                  <a:ext uri="{FF2B5EF4-FFF2-40B4-BE49-F238E27FC236}">
                    <a16:creationId xmlns:a16="http://schemas.microsoft.com/office/drawing/2014/main" id="{BA4C305A-510C-4570-85CA-708A73934D42}"/>
                  </a:ext>
                </a:extLst>
              </xdr:cNvPr>
              <xdr:cNvGraphicFramePr/>
            </xdr:nvGraphicFramePr>
            <xdr:xfrm>
              <a:off x="1114426" y="1264920"/>
              <a:ext cx="4895850" cy="640080"/>
            </xdr:xfrm>
            <a:graphic>
              <a:graphicData uri="http://schemas.microsoft.com/office/drawing/2010/slicer">
                <sle:slicer xmlns:sle="http://schemas.microsoft.com/office/drawing/2010/slicer" name="Region 3"/>
              </a:graphicData>
            </a:graphic>
          </xdr:graphicFrame>
        </mc:Choice>
        <mc:Fallback xmlns="">
          <xdr:sp macro="" textlink="">
            <xdr:nvSpPr>
              <xdr:cNvPr id="0" name=""/>
              <xdr:cNvSpPr>
                <a:spLocks noTextEdit="1"/>
              </xdr:cNvSpPr>
            </xdr:nvSpPr>
            <xdr:spPr>
              <a:xfrm>
                <a:off x="1123618" y="1264920"/>
                <a:ext cx="4867386" cy="64008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grpSp>
    <xdr:clientData fLocksWithSheet="0"/>
  </xdr:twoCellAnchor>
  <xdr:twoCellAnchor editAs="absolute">
    <xdr:from>
      <xdr:col>0</xdr:col>
      <xdr:colOff>16669</xdr:colOff>
      <xdr:row>0</xdr:row>
      <xdr:rowOff>0</xdr:rowOff>
    </xdr:from>
    <xdr:to>
      <xdr:col>1</xdr:col>
      <xdr:colOff>47626</xdr:colOff>
      <xdr:row>30</xdr:row>
      <xdr:rowOff>123825</xdr:rowOff>
    </xdr:to>
    <xdr:grpSp>
      <xdr:nvGrpSpPr>
        <xdr:cNvPr id="56" name="Group 55">
          <a:extLst>
            <a:ext uri="{FF2B5EF4-FFF2-40B4-BE49-F238E27FC236}">
              <a16:creationId xmlns:a16="http://schemas.microsoft.com/office/drawing/2014/main" id="{9254B25F-5ADB-062D-D5D8-0FC72AC6A39F}"/>
            </a:ext>
          </a:extLst>
        </xdr:cNvPr>
        <xdr:cNvGrpSpPr/>
      </xdr:nvGrpSpPr>
      <xdr:grpSpPr>
        <a:xfrm>
          <a:off x="16669" y="0"/>
          <a:ext cx="1012032" cy="5553075"/>
          <a:chOff x="16669" y="0"/>
          <a:chExt cx="1012032" cy="5657850"/>
        </a:xfrm>
      </xdr:grpSpPr>
      <xdr:sp macro="" textlink="">
        <xdr:nvSpPr>
          <xdr:cNvPr id="2" name="Rectangle 1">
            <a:extLst>
              <a:ext uri="{FF2B5EF4-FFF2-40B4-BE49-F238E27FC236}">
                <a16:creationId xmlns:a16="http://schemas.microsoft.com/office/drawing/2014/main" id="{206630F9-856E-178D-EE52-5E6FEFD25BE0}"/>
              </a:ext>
            </a:extLst>
          </xdr:cNvPr>
          <xdr:cNvSpPr/>
        </xdr:nvSpPr>
        <xdr:spPr>
          <a:xfrm>
            <a:off x="16669" y="0"/>
            <a:ext cx="1012032" cy="5657850"/>
          </a:xfrm>
          <a:prstGeom prst="rect">
            <a:avLst/>
          </a:prstGeom>
          <a:solidFill>
            <a:srgbClr val="00206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ysClr val="windowText" lastClr="000000"/>
              </a:solidFill>
            </a:endParaRPr>
          </a:p>
        </xdr:txBody>
      </xdr:sp>
      <xdr:pic>
        <xdr:nvPicPr>
          <xdr:cNvPr id="6" name="Picture 5">
            <a:extLst>
              <a:ext uri="{FF2B5EF4-FFF2-40B4-BE49-F238E27FC236}">
                <a16:creationId xmlns:a16="http://schemas.microsoft.com/office/drawing/2014/main" id="{2F32237E-107C-4EFF-3DB4-56BEE79AE5C0}"/>
              </a:ext>
            </a:extLst>
          </xdr:cNvPr>
          <xdr:cNvPicPr>
            <a:picLocks noChangeAspect="1"/>
          </xdr:cNvPicPr>
        </xdr:nvPicPr>
        <xdr:blipFill>
          <a:blip xmlns:r="http://schemas.openxmlformats.org/officeDocument/2006/relationships" r:embed="rId13" cstate="print">
            <a:extLst>
              <a:ext uri="{BEBA8EAE-BF5A-486C-A8C5-ECC9F3942E4B}">
                <a14:imgProps xmlns:a14="http://schemas.microsoft.com/office/drawing/2010/main">
                  <a14:imgLayer r:embed="rId14">
                    <a14:imgEffect>
                      <a14:saturation sat="400000"/>
                    </a14:imgEffect>
                  </a14:imgLayer>
                </a14:imgProps>
              </a:ext>
              <a:ext uri="{28A0092B-C50C-407E-A947-70E740481C1C}">
                <a14:useLocalDpi xmlns:a14="http://schemas.microsoft.com/office/drawing/2010/main" val="0"/>
              </a:ext>
            </a:extLst>
          </a:blip>
          <a:stretch>
            <a:fillRect/>
          </a:stretch>
        </xdr:blipFill>
        <xdr:spPr>
          <a:xfrm>
            <a:off x="32408" y="18787"/>
            <a:ext cx="986767" cy="1670083"/>
          </a:xfrm>
          <a:prstGeom prst="rect">
            <a:avLst/>
          </a:prstGeom>
        </xdr:spPr>
      </xdr:pic>
      <xdr:pic>
        <xdr:nvPicPr>
          <xdr:cNvPr id="39" name="Graphic 4" descr="Questions with solid fill">
            <a:hlinkClick xmlns:r="http://schemas.openxmlformats.org/officeDocument/2006/relationships" r:id="rId15"/>
            <a:extLst>
              <a:ext uri="{FF2B5EF4-FFF2-40B4-BE49-F238E27FC236}">
                <a16:creationId xmlns:a16="http://schemas.microsoft.com/office/drawing/2014/main" id="{6E09DEE6-F912-5EA4-4F99-18CEB3C18A88}"/>
              </a:ext>
            </a:extLst>
          </xdr:cNvPr>
          <xdr:cNvPicPr>
            <a:picLocks noChangeAspect="1"/>
          </xdr:cNvPicPr>
        </xdr:nvPicPr>
        <xdr:blipFill>
          <a:blip xmlns:r="http://schemas.openxmlformats.org/officeDocument/2006/relationships" r:embed="rId16">
            <a:extLst>
              <a:ext uri="{96DAC541-7B7A-43D3-8B79-37D633B846F1}">
                <asvg:svgBlip xmlns:asvg="http://schemas.microsoft.com/office/drawing/2016/SVG/main" r:embed="rId17"/>
              </a:ext>
            </a:extLst>
          </a:blip>
          <a:stretch>
            <a:fillRect/>
          </a:stretch>
        </xdr:blipFill>
        <xdr:spPr>
          <a:xfrm>
            <a:off x="251472" y="3838418"/>
            <a:ext cx="548639" cy="548640"/>
          </a:xfrm>
          <a:prstGeom prst="rect">
            <a:avLst/>
          </a:prstGeom>
        </xdr:spPr>
      </xdr:pic>
      <xdr:pic>
        <xdr:nvPicPr>
          <xdr:cNvPr id="33" name="Graphic 3" descr="Gauge with solid fill">
            <a:hlinkClick xmlns:r="http://schemas.openxmlformats.org/officeDocument/2006/relationships" r:id="rId18"/>
            <a:extLst>
              <a:ext uri="{FF2B5EF4-FFF2-40B4-BE49-F238E27FC236}">
                <a16:creationId xmlns:a16="http://schemas.microsoft.com/office/drawing/2014/main" id="{822220A8-2895-E119-2F56-7DFDD08180E4}"/>
              </a:ext>
            </a:extLst>
          </xdr:cNvPr>
          <xdr:cNvPicPr>
            <a:picLocks noChangeAspect="1"/>
          </xdr:cNvPicPr>
        </xdr:nvPicPr>
        <xdr:blipFill>
          <a:blip xmlns:r="http://schemas.openxmlformats.org/officeDocument/2006/relationships" r:embed="rId19">
            <a:extLst>
              <a:ext uri="{96DAC541-7B7A-43D3-8B79-37D633B846F1}">
                <asvg:svgBlip xmlns:asvg="http://schemas.microsoft.com/office/drawing/2016/SVG/main" r:embed="rId20"/>
              </a:ext>
            </a:extLst>
          </a:blip>
          <a:stretch>
            <a:fillRect/>
          </a:stretch>
        </xdr:blipFill>
        <xdr:spPr>
          <a:xfrm>
            <a:off x="251472" y="3124907"/>
            <a:ext cx="548639" cy="548640"/>
          </a:xfrm>
          <a:prstGeom prst="rect">
            <a:avLst/>
          </a:prstGeom>
        </xdr:spPr>
      </xdr:pic>
      <xdr:pic>
        <xdr:nvPicPr>
          <xdr:cNvPr id="29" name="Graphic 2" descr="Presentation with pie chart with solid fill">
            <a:hlinkClick xmlns:r="http://schemas.openxmlformats.org/officeDocument/2006/relationships" r:id="rId21"/>
            <a:extLst>
              <a:ext uri="{FF2B5EF4-FFF2-40B4-BE49-F238E27FC236}">
                <a16:creationId xmlns:a16="http://schemas.microsoft.com/office/drawing/2014/main" id="{20AB8A7B-038D-8D91-7266-FFACCD43F428}"/>
              </a:ext>
            </a:extLst>
          </xdr:cNvPr>
          <xdr:cNvPicPr>
            <a:picLocks noChangeAspect="1"/>
          </xdr:cNvPicPr>
        </xdr:nvPicPr>
        <xdr:blipFill>
          <a:blip xmlns:r="http://schemas.openxmlformats.org/officeDocument/2006/relationships" r:embed="rId22">
            <a:extLst>
              <a:ext uri="{96DAC541-7B7A-43D3-8B79-37D633B846F1}">
                <asvg:svgBlip xmlns:asvg="http://schemas.microsoft.com/office/drawing/2016/SVG/main" r:embed="rId23"/>
              </a:ext>
            </a:extLst>
          </a:blip>
          <a:stretch>
            <a:fillRect/>
          </a:stretch>
        </xdr:blipFill>
        <xdr:spPr>
          <a:xfrm>
            <a:off x="251471" y="2411395"/>
            <a:ext cx="548640" cy="548640"/>
          </a:xfrm>
          <a:prstGeom prst="rect">
            <a:avLst/>
          </a:prstGeom>
        </xdr:spPr>
      </xdr:pic>
      <xdr:pic>
        <xdr:nvPicPr>
          <xdr:cNvPr id="26" name="Graphic 1" descr="Table with solid fill">
            <a:hlinkClick xmlns:r="http://schemas.openxmlformats.org/officeDocument/2006/relationships" r:id="rId24"/>
            <a:extLst>
              <a:ext uri="{FF2B5EF4-FFF2-40B4-BE49-F238E27FC236}">
                <a16:creationId xmlns:a16="http://schemas.microsoft.com/office/drawing/2014/main" id="{51B1005A-5F19-4ED9-220A-6E17B587FB4D}"/>
              </a:ext>
            </a:extLst>
          </xdr:cNvPr>
          <xdr:cNvPicPr>
            <a:picLocks noChangeAspect="1"/>
          </xdr:cNvPicPr>
        </xdr:nvPicPr>
        <xdr:blipFill>
          <a:blip xmlns:r="http://schemas.openxmlformats.org/officeDocument/2006/relationships" r:embed="rId25">
            <a:extLst>
              <a:ext uri="{96DAC541-7B7A-43D3-8B79-37D633B846F1}">
                <asvg:svgBlip xmlns:asvg="http://schemas.microsoft.com/office/drawing/2016/SVG/main" r:embed="rId26"/>
              </a:ext>
            </a:extLst>
          </a:blip>
          <a:stretch>
            <a:fillRect/>
          </a:stretch>
        </xdr:blipFill>
        <xdr:spPr>
          <a:xfrm>
            <a:off x="251471" y="1688871"/>
            <a:ext cx="548640" cy="557652"/>
          </a:xfrm>
          <a:prstGeom prst="rect">
            <a:avLst/>
          </a:prstGeom>
        </xdr:spPr>
      </xdr:pic>
    </xdr:grpSp>
    <xdr:clientData/>
  </xdr:twoCellAnchor>
  <xdr:twoCellAnchor>
    <xdr:from>
      <xdr:col>17</xdr:col>
      <xdr:colOff>180976</xdr:colOff>
      <xdr:row>3</xdr:row>
      <xdr:rowOff>124015</xdr:rowOff>
    </xdr:from>
    <xdr:to>
      <xdr:col>19</xdr:col>
      <xdr:colOff>523875</xdr:colOff>
      <xdr:row>6</xdr:row>
      <xdr:rowOff>18859</xdr:rowOff>
    </xdr:to>
    <xdr:grpSp>
      <xdr:nvGrpSpPr>
        <xdr:cNvPr id="8" name="Group 7">
          <a:extLst>
            <a:ext uri="{FF2B5EF4-FFF2-40B4-BE49-F238E27FC236}">
              <a16:creationId xmlns:a16="http://schemas.microsoft.com/office/drawing/2014/main" id="{40CD9A93-3470-865B-D922-2E492EB53322}"/>
            </a:ext>
          </a:extLst>
        </xdr:cNvPr>
        <xdr:cNvGrpSpPr/>
      </xdr:nvGrpSpPr>
      <xdr:grpSpPr>
        <a:xfrm>
          <a:off x="10915651" y="695515"/>
          <a:ext cx="1562099" cy="466344"/>
          <a:chOff x="10915651" y="669267"/>
          <a:chExt cx="1562099" cy="466344"/>
        </a:xfrm>
      </xdr:grpSpPr>
      <xdr:sp macro="" textlink="">
        <xdr:nvSpPr>
          <xdr:cNvPr id="11" name="Rectangle: Rounded Corners 10">
            <a:extLst>
              <a:ext uri="{FF2B5EF4-FFF2-40B4-BE49-F238E27FC236}">
                <a16:creationId xmlns:a16="http://schemas.microsoft.com/office/drawing/2014/main" id="{E9D711CA-80B3-1E47-9A1F-2E15BA1E51E6}"/>
              </a:ext>
            </a:extLst>
          </xdr:cNvPr>
          <xdr:cNvSpPr/>
        </xdr:nvSpPr>
        <xdr:spPr>
          <a:xfrm>
            <a:off x="10915651" y="669267"/>
            <a:ext cx="1562099" cy="466344"/>
          </a:xfrm>
          <a:prstGeom prst="roundRect">
            <a:avLst>
              <a:gd name="adj" fmla="val 4167"/>
            </a:avLst>
          </a:prstGeom>
          <a:solidFill>
            <a:schemeClr val="bg1">
              <a:lumMod val="95000"/>
            </a:schemeClr>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900" b="1">
                <a:solidFill>
                  <a:schemeClr val="accent1">
                    <a:lumMod val="50000"/>
                  </a:schemeClr>
                </a:solidFill>
              </a:rPr>
              <a:t>           </a:t>
            </a:r>
          </a:p>
        </xdr:txBody>
      </xdr:sp>
      <xdr:sp macro="" textlink="'Pivot Table &amp; Chart'!N28">
        <xdr:nvSpPr>
          <xdr:cNvPr id="28" name="TextBox 27">
            <a:extLst>
              <a:ext uri="{FF2B5EF4-FFF2-40B4-BE49-F238E27FC236}">
                <a16:creationId xmlns:a16="http://schemas.microsoft.com/office/drawing/2014/main" id="{F316DB1F-63C4-C992-CE60-90256CB015BC}"/>
              </a:ext>
            </a:extLst>
          </xdr:cNvPr>
          <xdr:cNvSpPr txBox="1"/>
        </xdr:nvSpPr>
        <xdr:spPr>
          <a:xfrm>
            <a:off x="11237596" y="881015"/>
            <a:ext cx="828675" cy="228599"/>
          </a:xfrm>
          <a:prstGeom prst="rect">
            <a:avLst/>
          </a:prstGeom>
          <a:solidFill>
            <a:schemeClr val="bg1">
              <a:lumMod val="95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6F5D92C4-BEDC-4D55-9E42-72D44737C88D}" type="TxLink">
              <a:rPr lang="en-US" sz="1400" b="1" i="0" u="none" strike="noStrike">
                <a:solidFill>
                  <a:srgbClr val="000000"/>
                </a:solidFill>
                <a:latin typeface="Calibri"/>
                <a:cs typeface="Calibri"/>
              </a:rPr>
              <a:pPr/>
              <a:t>11488</a:t>
            </a:fld>
            <a:endParaRPr lang="en-US" sz="1400" b="1"/>
          </a:p>
        </xdr:txBody>
      </xdr:sp>
      <xdr:pic>
        <xdr:nvPicPr>
          <xdr:cNvPr id="78" name="Graphic 77" descr="Packing Box Open with solid fill">
            <a:extLst>
              <a:ext uri="{FF2B5EF4-FFF2-40B4-BE49-F238E27FC236}">
                <a16:creationId xmlns:a16="http://schemas.microsoft.com/office/drawing/2014/main" id="{6C50EBE6-C9A0-314F-B6BE-16271EC745B4}"/>
              </a:ext>
            </a:extLst>
          </xdr:cNvPr>
          <xdr:cNvPicPr>
            <a:picLocks noChangeAspect="1"/>
          </xdr:cNvPicPr>
        </xdr:nvPicPr>
        <xdr:blipFill>
          <a:blip xmlns:r="http://schemas.openxmlformats.org/officeDocument/2006/relationships" r:embed="rId27">
            <a:extLst>
              <a:ext uri="{96DAC541-7B7A-43D3-8B79-37D633B846F1}">
                <asvg:svgBlip xmlns:asvg="http://schemas.microsoft.com/office/drawing/2016/SVG/main" r:embed="rId28"/>
              </a:ext>
            </a:extLst>
          </a:blip>
          <a:stretch>
            <a:fillRect/>
          </a:stretch>
        </xdr:blipFill>
        <xdr:spPr>
          <a:xfrm>
            <a:off x="10963276" y="776144"/>
            <a:ext cx="274320" cy="274320"/>
          </a:xfrm>
          <a:prstGeom prst="rect">
            <a:avLst/>
          </a:prstGeom>
          <a:effectLst>
            <a:glow rad="101600">
              <a:schemeClr val="bg1">
                <a:lumMod val="65000"/>
                <a:alpha val="60000"/>
              </a:schemeClr>
            </a:glow>
          </a:effectLst>
        </xdr:spPr>
      </xdr:pic>
      <xdr:sp macro="" textlink="'Pivot Table &amp; Chart'!E28">
        <xdr:nvSpPr>
          <xdr:cNvPr id="80" name="TextBox 79">
            <a:extLst>
              <a:ext uri="{FF2B5EF4-FFF2-40B4-BE49-F238E27FC236}">
                <a16:creationId xmlns:a16="http://schemas.microsoft.com/office/drawing/2014/main" id="{62C78C9E-B4F5-DBB0-D763-72A1313DBF59}"/>
              </a:ext>
            </a:extLst>
          </xdr:cNvPr>
          <xdr:cNvSpPr txBox="1"/>
        </xdr:nvSpPr>
        <xdr:spPr>
          <a:xfrm>
            <a:off x="11253788" y="699944"/>
            <a:ext cx="828675" cy="228599"/>
          </a:xfrm>
          <a:prstGeom prst="rect">
            <a:avLst/>
          </a:prstGeom>
          <a:solidFill>
            <a:schemeClr val="bg1">
              <a:lumMod val="95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900" b="0"/>
              <a:t>Qty</a:t>
            </a:r>
          </a:p>
        </xdr:txBody>
      </xdr:sp>
    </xdr:grp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HP" refreshedDate="46234.473893402777" missingItemsLimit="0" createdVersion="8" refreshedVersion="8" minRefreshableVersion="3" recordCount="2098" xr:uid="{0B949700-656A-4CFE-B636-08697B5A09A9}">
  <cacheSource type="worksheet">
    <worksheetSource ref="A1:P2099" sheet="Working Sheet"/>
  </cacheSource>
  <cacheFields count="16">
    <cacheField name="Customer" numFmtId="0">
      <sharedItems/>
    </cacheField>
    <cacheField name="Date" numFmtId="14">
      <sharedItems containsSemiMixedTypes="0" containsNonDate="0" containsDate="1" containsString="0" minDate="2025-01-01T00:00:00" maxDate="2025-05-02T00:00:00"/>
    </cacheField>
    <cacheField name="Month" numFmtId="0">
      <sharedItems count="5">
        <s v="Jan"/>
        <s v="Apr"/>
        <s v="Feb"/>
        <s v="Mar"/>
        <s v="May"/>
      </sharedItems>
    </cacheField>
    <cacheField name="Region" numFmtId="0">
      <sharedItems count="4">
        <s v="West"/>
        <s v="East"/>
        <s v="South"/>
        <s v="North"/>
      </sharedItems>
    </cacheField>
    <cacheField name="City" numFmtId="0">
      <sharedItems count="4">
        <s v="Port Harcourt"/>
        <s v="Lagos"/>
        <s v="Kano"/>
        <s v="Abuja"/>
      </sharedItems>
    </cacheField>
    <cacheField name="Customer Type" numFmtId="0">
      <sharedItems/>
    </cacheField>
    <cacheField name="Channel" numFmtId="0">
      <sharedItems/>
    </cacheField>
    <cacheField name="Product" numFmtId="0">
      <sharedItems count="10">
        <s v="Office Chair Pro"/>
        <s v="Blender B10"/>
        <s v="Microwave M20"/>
        <s v="Desktop PC D21"/>
        <s v="Air Conditioner X2"/>
        <s v="Sofa Classic"/>
        <s v="Printer P50"/>
        <s v="Laptop A13"/>
        <s v="Smartphone Z10"/>
        <s v="Refrigerator R55"/>
      </sharedItems>
    </cacheField>
    <cacheField name="Category" numFmtId="0">
      <sharedItems count="3">
        <s v="Furniture"/>
        <s v="Home Appliances"/>
        <s v="Electronics"/>
      </sharedItems>
    </cacheField>
    <cacheField name="Unit Price" numFmtId="164">
      <sharedItems containsSemiMixedTypes="0" containsString="0" containsNumber="1" containsInteger="1" minValue="30000" maxValue="420000"/>
    </cacheField>
    <cacheField name="Quantity" numFmtId="0">
      <sharedItems containsSemiMixedTypes="0" containsString="0" containsNumber="1" containsInteger="1" minValue="1" maxValue="10"/>
    </cacheField>
    <cacheField name="Sales Rep" numFmtId="0">
      <sharedItems count="6">
        <s v="Chidinma"/>
        <s v="David"/>
        <s v="Musa"/>
        <s v="Peter"/>
        <s v="Aisha"/>
        <s v="Grace"/>
      </sharedItems>
    </cacheField>
    <cacheField name="Cost Price" numFmtId="165">
      <sharedItems containsSemiMixedTypes="0" containsString="0" containsNumber="1" containsInteger="1" minValue="24000" maxValue="336000"/>
    </cacheField>
    <cacheField name="Revenue" numFmtId="165">
      <sharedItems containsSemiMixedTypes="0" containsString="0" containsNumber="1" containsInteger="1" minValue="30000" maxValue="4200000"/>
    </cacheField>
    <cacheField name="COGS" numFmtId="165">
      <sharedItems containsSemiMixedTypes="0" containsString="0" containsNumber="1" containsInteger="1" minValue="24000" maxValue="3360000"/>
    </cacheField>
    <cacheField name="Profit" numFmtId="165">
      <sharedItems containsSemiMixedTypes="0" containsString="0" containsNumber="1" containsInteger="1" minValue="6000" maxValue="840000"/>
    </cacheField>
  </cacheFields>
  <extLst>
    <ext xmlns:x14="http://schemas.microsoft.com/office/spreadsheetml/2009/9/main" uri="{725AE2AE-9491-48be-B2B4-4EB974FC3084}">
      <x14:pivotCacheDefinition pivotCacheId="838720209"/>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098">
  <r>
    <s v="ID_1467"/>
    <d v="2025-01-19T00:00:00"/>
    <x v="0"/>
    <x v="0"/>
    <x v="0"/>
    <s v="Retail"/>
    <s v="Online"/>
    <x v="0"/>
    <x v="0"/>
    <n v="85000"/>
    <n v="1"/>
    <x v="0"/>
    <n v="68000"/>
    <n v="85000"/>
    <n v="68000"/>
    <n v="17000"/>
  </r>
  <r>
    <s v="ID_2083"/>
    <d v="2025-04-29T00:00:00"/>
    <x v="1"/>
    <x v="1"/>
    <x v="1"/>
    <s v="Retail"/>
    <s v="Store"/>
    <x v="1"/>
    <x v="1"/>
    <n v="30000"/>
    <n v="8"/>
    <x v="0"/>
    <n v="24000"/>
    <n v="240000"/>
    <n v="192000"/>
    <n v="48000"/>
  </r>
  <r>
    <s v="ID_1306"/>
    <d v="2025-02-27T00:00:00"/>
    <x v="2"/>
    <x v="1"/>
    <x v="0"/>
    <s v="Corporate"/>
    <s v="Online"/>
    <x v="0"/>
    <x v="0"/>
    <n v="85000"/>
    <n v="2"/>
    <x v="1"/>
    <n v="68000"/>
    <n v="170000"/>
    <n v="136000"/>
    <n v="34000"/>
  </r>
  <r>
    <s v="ID_715"/>
    <d v="2025-04-25T00:00:00"/>
    <x v="1"/>
    <x v="2"/>
    <x v="2"/>
    <s v="Retail"/>
    <s v="Online"/>
    <x v="2"/>
    <x v="1"/>
    <n v="60000"/>
    <n v="2"/>
    <x v="2"/>
    <n v="48000"/>
    <n v="120000"/>
    <n v="96000"/>
    <n v="24000"/>
  </r>
  <r>
    <s v="ID_1903"/>
    <d v="2025-04-27T00:00:00"/>
    <x v="1"/>
    <x v="3"/>
    <x v="2"/>
    <s v="Corporate"/>
    <s v="Online"/>
    <x v="3"/>
    <x v="2"/>
    <n v="300000"/>
    <n v="2"/>
    <x v="0"/>
    <n v="240000"/>
    <n v="600000"/>
    <n v="480000"/>
    <n v="120000"/>
  </r>
  <r>
    <s v="ID_1134"/>
    <d v="2025-03-08T00:00:00"/>
    <x v="3"/>
    <x v="2"/>
    <x v="3"/>
    <s v="Retail"/>
    <s v="Online"/>
    <x v="4"/>
    <x v="1"/>
    <n v="180000"/>
    <n v="10"/>
    <x v="0"/>
    <n v="144000"/>
    <n v="1800000"/>
    <n v="1440000"/>
    <n v="360000"/>
  </r>
  <r>
    <s v="ID_1030"/>
    <d v="2025-03-09T00:00:00"/>
    <x v="3"/>
    <x v="2"/>
    <x v="3"/>
    <s v="Corporate"/>
    <s v="Online"/>
    <x v="5"/>
    <x v="0"/>
    <n v="320000"/>
    <n v="4"/>
    <x v="2"/>
    <n v="256000"/>
    <n v="1280000"/>
    <n v="1024000"/>
    <n v="256000"/>
  </r>
  <r>
    <s v="ID_696"/>
    <d v="2025-02-06T00:00:00"/>
    <x v="2"/>
    <x v="2"/>
    <x v="2"/>
    <s v="Retail"/>
    <s v="Online"/>
    <x v="5"/>
    <x v="0"/>
    <n v="320000"/>
    <n v="1"/>
    <x v="3"/>
    <n v="256000"/>
    <n v="320000"/>
    <n v="256000"/>
    <n v="64000"/>
  </r>
  <r>
    <s v="ID_300"/>
    <d v="2025-03-24T00:00:00"/>
    <x v="3"/>
    <x v="1"/>
    <x v="1"/>
    <s v="Retail"/>
    <s v="Store"/>
    <x v="5"/>
    <x v="0"/>
    <n v="320000"/>
    <n v="9"/>
    <x v="2"/>
    <n v="256000"/>
    <n v="2880000"/>
    <n v="2304000"/>
    <n v="576000"/>
  </r>
  <r>
    <s v="ID_1056"/>
    <d v="2025-03-26T00:00:00"/>
    <x v="3"/>
    <x v="2"/>
    <x v="1"/>
    <s v="Retail"/>
    <s v="Online"/>
    <x v="5"/>
    <x v="0"/>
    <n v="320000"/>
    <n v="3"/>
    <x v="2"/>
    <n v="256000"/>
    <n v="960000"/>
    <n v="768000"/>
    <n v="192000"/>
  </r>
  <r>
    <s v="ID_188"/>
    <d v="2025-01-24T00:00:00"/>
    <x v="0"/>
    <x v="2"/>
    <x v="0"/>
    <s v="Retail"/>
    <s v="Online"/>
    <x v="6"/>
    <x v="2"/>
    <n v="150000"/>
    <n v="4"/>
    <x v="3"/>
    <n v="120000"/>
    <n v="600000"/>
    <n v="480000"/>
    <n v="120000"/>
  </r>
  <r>
    <s v="ID_480"/>
    <d v="2025-01-20T00:00:00"/>
    <x v="0"/>
    <x v="0"/>
    <x v="2"/>
    <s v="Corporate"/>
    <s v="Online"/>
    <x v="5"/>
    <x v="0"/>
    <n v="320000"/>
    <n v="7"/>
    <x v="3"/>
    <n v="256000"/>
    <n v="2240000"/>
    <n v="1792000"/>
    <n v="448000"/>
  </r>
  <r>
    <s v="ID_589"/>
    <d v="2025-04-26T00:00:00"/>
    <x v="1"/>
    <x v="2"/>
    <x v="0"/>
    <s v="Retail"/>
    <s v="Store"/>
    <x v="6"/>
    <x v="2"/>
    <n v="150000"/>
    <n v="2"/>
    <x v="4"/>
    <n v="120000"/>
    <n v="300000"/>
    <n v="240000"/>
    <n v="60000"/>
  </r>
  <r>
    <s v="ID_1722"/>
    <d v="2025-03-15T00:00:00"/>
    <x v="3"/>
    <x v="0"/>
    <x v="1"/>
    <s v="Retail"/>
    <s v="Online"/>
    <x v="7"/>
    <x v="2"/>
    <n v="420000"/>
    <n v="9"/>
    <x v="2"/>
    <n v="336000"/>
    <n v="3780000"/>
    <n v="3024000"/>
    <n v="756000"/>
  </r>
  <r>
    <s v="ID_770"/>
    <d v="2025-03-17T00:00:00"/>
    <x v="3"/>
    <x v="3"/>
    <x v="1"/>
    <s v="Retail"/>
    <s v="Online"/>
    <x v="7"/>
    <x v="2"/>
    <n v="420000"/>
    <n v="5"/>
    <x v="5"/>
    <n v="336000"/>
    <n v="2100000"/>
    <n v="1680000"/>
    <n v="420000"/>
  </r>
  <r>
    <s v="ID_985"/>
    <d v="2025-04-11T00:00:00"/>
    <x v="1"/>
    <x v="0"/>
    <x v="2"/>
    <s v="Corporate"/>
    <s v="Store"/>
    <x v="8"/>
    <x v="2"/>
    <n v="250000"/>
    <n v="4"/>
    <x v="3"/>
    <n v="200000"/>
    <n v="1000000"/>
    <n v="800000"/>
    <n v="200000"/>
  </r>
  <r>
    <s v="ID_1125"/>
    <d v="2025-02-12T00:00:00"/>
    <x v="2"/>
    <x v="0"/>
    <x v="1"/>
    <s v="Retail"/>
    <s v="Online"/>
    <x v="9"/>
    <x v="1"/>
    <n v="220000"/>
    <n v="2"/>
    <x v="3"/>
    <n v="176000"/>
    <n v="440000"/>
    <n v="352000"/>
    <n v="88000"/>
  </r>
  <r>
    <s v="ID_1272"/>
    <d v="2025-02-10T00:00:00"/>
    <x v="2"/>
    <x v="1"/>
    <x v="2"/>
    <s v="Retail"/>
    <s v="Store"/>
    <x v="6"/>
    <x v="2"/>
    <n v="150000"/>
    <n v="7"/>
    <x v="2"/>
    <n v="120000"/>
    <n v="1050000"/>
    <n v="840000"/>
    <n v="210000"/>
  </r>
  <r>
    <s v="ID_364"/>
    <d v="2025-03-03T00:00:00"/>
    <x v="3"/>
    <x v="2"/>
    <x v="3"/>
    <s v="Corporate"/>
    <s v="Store"/>
    <x v="3"/>
    <x v="2"/>
    <n v="300000"/>
    <n v="5"/>
    <x v="3"/>
    <n v="240000"/>
    <n v="1500000"/>
    <n v="1200000"/>
    <n v="300000"/>
  </r>
  <r>
    <s v="ID_218"/>
    <d v="2025-02-10T00:00:00"/>
    <x v="2"/>
    <x v="3"/>
    <x v="2"/>
    <s v="Retail"/>
    <s v="Online"/>
    <x v="6"/>
    <x v="2"/>
    <n v="150000"/>
    <n v="4"/>
    <x v="3"/>
    <n v="120000"/>
    <n v="600000"/>
    <n v="480000"/>
    <n v="120000"/>
  </r>
  <r>
    <s v="ID_1057"/>
    <d v="2025-05-01T00:00:00"/>
    <x v="4"/>
    <x v="3"/>
    <x v="2"/>
    <s v="Corporate"/>
    <s v="Store"/>
    <x v="0"/>
    <x v="0"/>
    <n v="85000"/>
    <n v="1"/>
    <x v="5"/>
    <n v="68000"/>
    <n v="85000"/>
    <n v="68000"/>
    <n v="17000"/>
  </r>
  <r>
    <s v="ID_466"/>
    <d v="2025-03-15T00:00:00"/>
    <x v="3"/>
    <x v="1"/>
    <x v="0"/>
    <s v="Retail"/>
    <s v="Store"/>
    <x v="0"/>
    <x v="0"/>
    <n v="85000"/>
    <n v="9"/>
    <x v="1"/>
    <n v="68000"/>
    <n v="765000"/>
    <n v="612000"/>
    <n v="153000"/>
  </r>
  <r>
    <s v="ID_1550"/>
    <d v="2025-04-04T00:00:00"/>
    <x v="1"/>
    <x v="1"/>
    <x v="1"/>
    <s v="Retail"/>
    <s v="Store"/>
    <x v="7"/>
    <x v="2"/>
    <n v="420000"/>
    <n v="8"/>
    <x v="5"/>
    <n v="336000"/>
    <n v="3360000"/>
    <n v="2688000"/>
    <n v="672000"/>
  </r>
  <r>
    <s v="ID_1682"/>
    <d v="2025-04-15T00:00:00"/>
    <x v="1"/>
    <x v="3"/>
    <x v="1"/>
    <s v="Corporate"/>
    <s v="Online"/>
    <x v="7"/>
    <x v="2"/>
    <n v="420000"/>
    <n v="10"/>
    <x v="5"/>
    <n v="336000"/>
    <n v="4200000"/>
    <n v="3360000"/>
    <n v="840000"/>
  </r>
  <r>
    <s v="ID_1550"/>
    <d v="2025-02-26T00:00:00"/>
    <x v="2"/>
    <x v="1"/>
    <x v="0"/>
    <s v="Retail"/>
    <s v="Store"/>
    <x v="8"/>
    <x v="2"/>
    <n v="250000"/>
    <n v="5"/>
    <x v="4"/>
    <n v="200000"/>
    <n v="1250000"/>
    <n v="1000000"/>
    <n v="250000"/>
  </r>
  <r>
    <s v="ID_1310"/>
    <d v="2025-02-09T00:00:00"/>
    <x v="2"/>
    <x v="3"/>
    <x v="1"/>
    <s v="Corporate"/>
    <s v="Store"/>
    <x v="9"/>
    <x v="1"/>
    <n v="220000"/>
    <n v="4"/>
    <x v="5"/>
    <n v="176000"/>
    <n v="880000"/>
    <n v="704000"/>
    <n v="176000"/>
  </r>
  <r>
    <s v="ID_1840"/>
    <d v="2025-03-30T00:00:00"/>
    <x v="3"/>
    <x v="0"/>
    <x v="3"/>
    <s v="Corporate"/>
    <s v="Online"/>
    <x v="6"/>
    <x v="2"/>
    <n v="150000"/>
    <n v="7"/>
    <x v="2"/>
    <n v="120000"/>
    <n v="1050000"/>
    <n v="840000"/>
    <n v="210000"/>
  </r>
  <r>
    <s v="ID_1506"/>
    <d v="2025-03-01T00:00:00"/>
    <x v="3"/>
    <x v="2"/>
    <x v="2"/>
    <s v="Retail"/>
    <s v="Online"/>
    <x v="0"/>
    <x v="0"/>
    <n v="85000"/>
    <n v="3"/>
    <x v="3"/>
    <n v="68000"/>
    <n v="255000"/>
    <n v="204000"/>
    <n v="51000"/>
  </r>
  <r>
    <s v="ID_1385"/>
    <d v="2025-02-10T00:00:00"/>
    <x v="2"/>
    <x v="1"/>
    <x v="0"/>
    <s v="Retail"/>
    <s v="Store"/>
    <x v="3"/>
    <x v="2"/>
    <n v="300000"/>
    <n v="8"/>
    <x v="5"/>
    <n v="240000"/>
    <n v="2400000"/>
    <n v="1920000"/>
    <n v="480000"/>
  </r>
  <r>
    <s v="ID_565"/>
    <d v="2025-02-09T00:00:00"/>
    <x v="2"/>
    <x v="0"/>
    <x v="1"/>
    <s v="Corporate"/>
    <s v="Online"/>
    <x v="9"/>
    <x v="1"/>
    <n v="220000"/>
    <n v="1"/>
    <x v="1"/>
    <n v="176000"/>
    <n v="220000"/>
    <n v="176000"/>
    <n v="44000"/>
  </r>
  <r>
    <s v="ID_366"/>
    <d v="2025-01-14T00:00:00"/>
    <x v="0"/>
    <x v="2"/>
    <x v="3"/>
    <s v="Corporate"/>
    <s v="Online"/>
    <x v="5"/>
    <x v="0"/>
    <n v="320000"/>
    <n v="7"/>
    <x v="5"/>
    <n v="256000"/>
    <n v="2240000"/>
    <n v="1792000"/>
    <n v="448000"/>
  </r>
  <r>
    <s v="ID_58"/>
    <d v="2025-01-01T00:00:00"/>
    <x v="0"/>
    <x v="0"/>
    <x v="3"/>
    <s v="Retail"/>
    <s v="Store"/>
    <x v="6"/>
    <x v="2"/>
    <n v="150000"/>
    <n v="1"/>
    <x v="0"/>
    <n v="120000"/>
    <n v="150000"/>
    <n v="120000"/>
    <n v="30000"/>
  </r>
  <r>
    <s v="ID_1414"/>
    <d v="2025-02-20T00:00:00"/>
    <x v="2"/>
    <x v="1"/>
    <x v="2"/>
    <s v="Retail"/>
    <s v="Online"/>
    <x v="4"/>
    <x v="1"/>
    <n v="180000"/>
    <n v="9"/>
    <x v="5"/>
    <n v="144000"/>
    <n v="1620000"/>
    <n v="1296000"/>
    <n v="324000"/>
  </r>
  <r>
    <s v="ID_1035"/>
    <d v="2025-03-09T00:00:00"/>
    <x v="3"/>
    <x v="2"/>
    <x v="2"/>
    <s v="Retail"/>
    <s v="Online"/>
    <x v="5"/>
    <x v="0"/>
    <n v="320000"/>
    <n v="5"/>
    <x v="5"/>
    <n v="256000"/>
    <n v="1600000"/>
    <n v="1280000"/>
    <n v="320000"/>
  </r>
  <r>
    <s v="ID_1137"/>
    <d v="2025-02-09T00:00:00"/>
    <x v="2"/>
    <x v="2"/>
    <x v="2"/>
    <s v="Corporate"/>
    <s v="Store"/>
    <x v="6"/>
    <x v="2"/>
    <n v="150000"/>
    <n v="8"/>
    <x v="4"/>
    <n v="120000"/>
    <n v="1200000"/>
    <n v="960000"/>
    <n v="240000"/>
  </r>
  <r>
    <s v="ID_141"/>
    <d v="2025-02-13T00:00:00"/>
    <x v="2"/>
    <x v="0"/>
    <x v="0"/>
    <s v="Corporate"/>
    <s v="Store"/>
    <x v="0"/>
    <x v="0"/>
    <n v="85000"/>
    <n v="7"/>
    <x v="1"/>
    <n v="68000"/>
    <n v="595000"/>
    <n v="476000"/>
    <n v="119000"/>
  </r>
  <r>
    <s v="ID_1460"/>
    <d v="2025-03-13T00:00:00"/>
    <x v="3"/>
    <x v="2"/>
    <x v="3"/>
    <s v="Corporate"/>
    <s v="Online"/>
    <x v="5"/>
    <x v="0"/>
    <n v="320000"/>
    <n v="6"/>
    <x v="1"/>
    <n v="256000"/>
    <n v="1920000"/>
    <n v="1536000"/>
    <n v="384000"/>
  </r>
  <r>
    <s v="ID_880"/>
    <d v="2025-02-03T00:00:00"/>
    <x v="2"/>
    <x v="0"/>
    <x v="2"/>
    <s v="Retail"/>
    <s v="Store"/>
    <x v="7"/>
    <x v="2"/>
    <n v="420000"/>
    <n v="8"/>
    <x v="4"/>
    <n v="336000"/>
    <n v="3360000"/>
    <n v="2688000"/>
    <n v="672000"/>
  </r>
  <r>
    <s v="ID_1877"/>
    <d v="2025-02-04T00:00:00"/>
    <x v="2"/>
    <x v="2"/>
    <x v="0"/>
    <s v="Corporate"/>
    <s v="Online"/>
    <x v="3"/>
    <x v="2"/>
    <n v="300000"/>
    <n v="7"/>
    <x v="3"/>
    <n v="240000"/>
    <n v="2100000"/>
    <n v="1680000"/>
    <n v="420000"/>
  </r>
  <r>
    <s v="ID_870"/>
    <d v="2025-02-18T00:00:00"/>
    <x v="2"/>
    <x v="0"/>
    <x v="0"/>
    <s v="Retail"/>
    <s v="Online"/>
    <x v="1"/>
    <x v="1"/>
    <n v="30000"/>
    <n v="6"/>
    <x v="1"/>
    <n v="24000"/>
    <n v="180000"/>
    <n v="144000"/>
    <n v="36000"/>
  </r>
  <r>
    <s v="ID_1573"/>
    <d v="2025-02-21T00:00:00"/>
    <x v="2"/>
    <x v="0"/>
    <x v="0"/>
    <s v="Corporate"/>
    <s v="Store"/>
    <x v="9"/>
    <x v="1"/>
    <n v="220000"/>
    <n v="2"/>
    <x v="3"/>
    <n v="176000"/>
    <n v="440000"/>
    <n v="352000"/>
    <n v="88000"/>
  </r>
  <r>
    <s v="ID_1435"/>
    <d v="2025-01-24T00:00:00"/>
    <x v="0"/>
    <x v="0"/>
    <x v="3"/>
    <s v="Retail"/>
    <s v="Online"/>
    <x v="6"/>
    <x v="2"/>
    <n v="150000"/>
    <n v="1"/>
    <x v="1"/>
    <n v="120000"/>
    <n v="150000"/>
    <n v="120000"/>
    <n v="30000"/>
  </r>
  <r>
    <s v="ID_390"/>
    <d v="2025-01-28T00:00:00"/>
    <x v="0"/>
    <x v="3"/>
    <x v="1"/>
    <s v="Retail"/>
    <s v="Store"/>
    <x v="5"/>
    <x v="0"/>
    <n v="320000"/>
    <n v="1"/>
    <x v="5"/>
    <n v="256000"/>
    <n v="320000"/>
    <n v="256000"/>
    <n v="64000"/>
  </r>
  <r>
    <s v="ID_909"/>
    <d v="2025-04-18T00:00:00"/>
    <x v="1"/>
    <x v="3"/>
    <x v="3"/>
    <s v="Corporate"/>
    <s v="Store"/>
    <x v="1"/>
    <x v="1"/>
    <n v="30000"/>
    <n v="3"/>
    <x v="1"/>
    <n v="24000"/>
    <n v="90000"/>
    <n v="72000"/>
    <n v="18000"/>
  </r>
  <r>
    <s v="ID_428"/>
    <d v="2025-01-03T00:00:00"/>
    <x v="0"/>
    <x v="0"/>
    <x v="0"/>
    <s v="Corporate"/>
    <s v="Online"/>
    <x v="2"/>
    <x v="1"/>
    <n v="60000"/>
    <n v="5"/>
    <x v="2"/>
    <n v="48000"/>
    <n v="300000"/>
    <n v="240000"/>
    <n v="60000"/>
  </r>
  <r>
    <s v="ID_741"/>
    <d v="2025-03-30T00:00:00"/>
    <x v="3"/>
    <x v="1"/>
    <x v="2"/>
    <s v="Corporate"/>
    <s v="Online"/>
    <x v="6"/>
    <x v="2"/>
    <n v="150000"/>
    <n v="3"/>
    <x v="2"/>
    <n v="120000"/>
    <n v="450000"/>
    <n v="360000"/>
    <n v="90000"/>
  </r>
  <r>
    <s v="ID_977"/>
    <d v="2025-04-04T00:00:00"/>
    <x v="1"/>
    <x v="1"/>
    <x v="1"/>
    <s v="Retail"/>
    <s v="Online"/>
    <x v="5"/>
    <x v="0"/>
    <n v="320000"/>
    <n v="10"/>
    <x v="2"/>
    <n v="256000"/>
    <n v="3200000"/>
    <n v="2560000"/>
    <n v="640000"/>
  </r>
  <r>
    <s v="ID_1874"/>
    <d v="2025-02-08T00:00:00"/>
    <x v="2"/>
    <x v="1"/>
    <x v="0"/>
    <s v="Corporate"/>
    <s v="Online"/>
    <x v="9"/>
    <x v="1"/>
    <n v="220000"/>
    <n v="6"/>
    <x v="0"/>
    <n v="176000"/>
    <n v="1320000"/>
    <n v="1056000"/>
    <n v="264000"/>
  </r>
  <r>
    <s v="ID_1525"/>
    <d v="2025-03-16T00:00:00"/>
    <x v="3"/>
    <x v="0"/>
    <x v="3"/>
    <s v="Corporate"/>
    <s v="Online"/>
    <x v="4"/>
    <x v="1"/>
    <n v="180000"/>
    <n v="8"/>
    <x v="2"/>
    <n v="144000"/>
    <n v="1440000"/>
    <n v="1152000"/>
    <n v="288000"/>
  </r>
  <r>
    <s v="ID_534"/>
    <d v="2025-01-26T00:00:00"/>
    <x v="0"/>
    <x v="0"/>
    <x v="2"/>
    <s v="Retail"/>
    <s v="Store"/>
    <x v="5"/>
    <x v="0"/>
    <n v="320000"/>
    <n v="2"/>
    <x v="1"/>
    <n v="256000"/>
    <n v="640000"/>
    <n v="512000"/>
    <n v="128000"/>
  </r>
  <r>
    <s v="ID_348"/>
    <d v="2025-02-06T00:00:00"/>
    <x v="2"/>
    <x v="0"/>
    <x v="1"/>
    <s v="Retail"/>
    <s v="Store"/>
    <x v="3"/>
    <x v="2"/>
    <n v="300000"/>
    <n v="9"/>
    <x v="3"/>
    <n v="240000"/>
    <n v="2700000"/>
    <n v="2160000"/>
    <n v="540000"/>
  </r>
  <r>
    <s v="ID_205"/>
    <d v="2025-01-17T00:00:00"/>
    <x v="0"/>
    <x v="3"/>
    <x v="2"/>
    <s v="Retail"/>
    <s v="Store"/>
    <x v="7"/>
    <x v="2"/>
    <n v="420000"/>
    <n v="1"/>
    <x v="3"/>
    <n v="336000"/>
    <n v="420000"/>
    <n v="336000"/>
    <n v="84000"/>
  </r>
  <r>
    <s v="ID_943"/>
    <d v="2025-04-06T00:00:00"/>
    <x v="1"/>
    <x v="1"/>
    <x v="2"/>
    <s v="Retail"/>
    <s v="Online"/>
    <x v="2"/>
    <x v="1"/>
    <n v="60000"/>
    <n v="1"/>
    <x v="2"/>
    <n v="48000"/>
    <n v="60000"/>
    <n v="48000"/>
    <n v="12000"/>
  </r>
  <r>
    <s v="ID_278"/>
    <d v="2025-03-09T00:00:00"/>
    <x v="3"/>
    <x v="1"/>
    <x v="1"/>
    <s v="Corporate"/>
    <s v="Store"/>
    <x v="3"/>
    <x v="2"/>
    <n v="300000"/>
    <n v="9"/>
    <x v="3"/>
    <n v="240000"/>
    <n v="2700000"/>
    <n v="2160000"/>
    <n v="540000"/>
  </r>
  <r>
    <s v="ID_1791"/>
    <d v="2025-01-06T00:00:00"/>
    <x v="0"/>
    <x v="0"/>
    <x v="2"/>
    <s v="Corporate"/>
    <s v="Online"/>
    <x v="7"/>
    <x v="2"/>
    <n v="420000"/>
    <n v="9"/>
    <x v="1"/>
    <n v="336000"/>
    <n v="3780000"/>
    <n v="3024000"/>
    <n v="756000"/>
  </r>
  <r>
    <s v="ID_1557"/>
    <d v="2025-02-20T00:00:00"/>
    <x v="2"/>
    <x v="1"/>
    <x v="1"/>
    <s v="Retail"/>
    <s v="Online"/>
    <x v="9"/>
    <x v="1"/>
    <n v="220000"/>
    <n v="8"/>
    <x v="4"/>
    <n v="176000"/>
    <n v="1760000"/>
    <n v="1408000"/>
    <n v="352000"/>
  </r>
  <r>
    <s v="ID_1976"/>
    <d v="2025-01-02T00:00:00"/>
    <x v="0"/>
    <x v="2"/>
    <x v="0"/>
    <s v="Retail"/>
    <s v="Online"/>
    <x v="0"/>
    <x v="0"/>
    <n v="85000"/>
    <n v="10"/>
    <x v="3"/>
    <n v="68000"/>
    <n v="850000"/>
    <n v="680000"/>
    <n v="170000"/>
  </r>
  <r>
    <s v="ID_400"/>
    <d v="2025-02-13T00:00:00"/>
    <x v="2"/>
    <x v="0"/>
    <x v="2"/>
    <s v="Corporate"/>
    <s v="Online"/>
    <x v="6"/>
    <x v="2"/>
    <n v="150000"/>
    <n v="4"/>
    <x v="0"/>
    <n v="120000"/>
    <n v="600000"/>
    <n v="480000"/>
    <n v="120000"/>
  </r>
  <r>
    <s v="ID_2063"/>
    <d v="2025-01-20T00:00:00"/>
    <x v="0"/>
    <x v="1"/>
    <x v="1"/>
    <s v="Corporate"/>
    <s v="Store"/>
    <x v="8"/>
    <x v="2"/>
    <n v="250000"/>
    <n v="1"/>
    <x v="2"/>
    <n v="200000"/>
    <n v="250000"/>
    <n v="200000"/>
    <n v="50000"/>
  </r>
  <r>
    <s v="ID_1556"/>
    <d v="2025-03-19T00:00:00"/>
    <x v="3"/>
    <x v="2"/>
    <x v="1"/>
    <s v="Retail"/>
    <s v="Online"/>
    <x v="1"/>
    <x v="1"/>
    <n v="30000"/>
    <n v="10"/>
    <x v="2"/>
    <n v="24000"/>
    <n v="300000"/>
    <n v="240000"/>
    <n v="60000"/>
  </r>
  <r>
    <s v="ID_301"/>
    <d v="2025-03-05T00:00:00"/>
    <x v="3"/>
    <x v="2"/>
    <x v="1"/>
    <s v="Corporate"/>
    <s v="Online"/>
    <x v="7"/>
    <x v="2"/>
    <n v="420000"/>
    <n v="4"/>
    <x v="1"/>
    <n v="336000"/>
    <n v="1680000"/>
    <n v="1344000"/>
    <n v="336000"/>
  </r>
  <r>
    <s v="ID_14"/>
    <d v="2025-03-07T00:00:00"/>
    <x v="3"/>
    <x v="1"/>
    <x v="1"/>
    <s v="Retail"/>
    <s v="Store"/>
    <x v="0"/>
    <x v="0"/>
    <n v="85000"/>
    <n v="2"/>
    <x v="3"/>
    <n v="68000"/>
    <n v="170000"/>
    <n v="136000"/>
    <n v="34000"/>
  </r>
  <r>
    <s v="ID_694"/>
    <d v="2025-03-28T00:00:00"/>
    <x v="3"/>
    <x v="1"/>
    <x v="1"/>
    <s v="Retail"/>
    <s v="Online"/>
    <x v="9"/>
    <x v="1"/>
    <n v="220000"/>
    <n v="1"/>
    <x v="2"/>
    <n v="176000"/>
    <n v="220000"/>
    <n v="176000"/>
    <n v="44000"/>
  </r>
  <r>
    <s v="ID_407"/>
    <d v="2025-01-14T00:00:00"/>
    <x v="0"/>
    <x v="0"/>
    <x v="0"/>
    <s v="Retail"/>
    <s v="Store"/>
    <x v="4"/>
    <x v="1"/>
    <n v="180000"/>
    <n v="9"/>
    <x v="5"/>
    <n v="144000"/>
    <n v="1620000"/>
    <n v="1296000"/>
    <n v="324000"/>
  </r>
  <r>
    <s v="ID_1103"/>
    <d v="2025-04-15T00:00:00"/>
    <x v="1"/>
    <x v="0"/>
    <x v="2"/>
    <s v="Retail"/>
    <s v="Store"/>
    <x v="8"/>
    <x v="2"/>
    <n v="250000"/>
    <n v="6"/>
    <x v="0"/>
    <n v="200000"/>
    <n v="1500000"/>
    <n v="1200000"/>
    <n v="300000"/>
  </r>
  <r>
    <s v="ID_1981"/>
    <d v="2025-04-16T00:00:00"/>
    <x v="1"/>
    <x v="0"/>
    <x v="0"/>
    <s v="Retail"/>
    <s v="Store"/>
    <x v="4"/>
    <x v="1"/>
    <n v="180000"/>
    <n v="3"/>
    <x v="5"/>
    <n v="144000"/>
    <n v="540000"/>
    <n v="432000"/>
    <n v="108000"/>
  </r>
  <r>
    <s v="ID_1757"/>
    <d v="2025-02-05T00:00:00"/>
    <x v="2"/>
    <x v="2"/>
    <x v="0"/>
    <s v="Corporate"/>
    <s v="Online"/>
    <x v="2"/>
    <x v="1"/>
    <n v="60000"/>
    <n v="8"/>
    <x v="3"/>
    <n v="48000"/>
    <n v="480000"/>
    <n v="384000"/>
    <n v="96000"/>
  </r>
  <r>
    <s v="ID_1639"/>
    <d v="2025-04-10T00:00:00"/>
    <x v="1"/>
    <x v="3"/>
    <x v="0"/>
    <s v="Retail"/>
    <s v="Online"/>
    <x v="2"/>
    <x v="1"/>
    <n v="60000"/>
    <n v="3"/>
    <x v="0"/>
    <n v="48000"/>
    <n v="180000"/>
    <n v="144000"/>
    <n v="36000"/>
  </r>
  <r>
    <s v="ID_992"/>
    <d v="2025-03-31T00:00:00"/>
    <x v="3"/>
    <x v="0"/>
    <x v="2"/>
    <s v="Corporate"/>
    <s v="Online"/>
    <x v="1"/>
    <x v="1"/>
    <n v="30000"/>
    <n v="8"/>
    <x v="2"/>
    <n v="24000"/>
    <n v="240000"/>
    <n v="192000"/>
    <n v="48000"/>
  </r>
  <r>
    <s v="ID_1621"/>
    <d v="2025-01-09T00:00:00"/>
    <x v="0"/>
    <x v="2"/>
    <x v="1"/>
    <s v="Retail"/>
    <s v="Store"/>
    <x v="2"/>
    <x v="1"/>
    <n v="60000"/>
    <n v="4"/>
    <x v="5"/>
    <n v="48000"/>
    <n v="240000"/>
    <n v="192000"/>
    <n v="48000"/>
  </r>
  <r>
    <s v="ID_1480"/>
    <d v="2025-02-19T00:00:00"/>
    <x v="2"/>
    <x v="2"/>
    <x v="0"/>
    <s v="Corporate"/>
    <s v="Store"/>
    <x v="1"/>
    <x v="1"/>
    <n v="30000"/>
    <n v="3"/>
    <x v="1"/>
    <n v="24000"/>
    <n v="90000"/>
    <n v="72000"/>
    <n v="18000"/>
  </r>
  <r>
    <s v="ID_1905"/>
    <d v="2025-02-17T00:00:00"/>
    <x v="2"/>
    <x v="1"/>
    <x v="2"/>
    <s v="Retail"/>
    <s v="Online"/>
    <x v="4"/>
    <x v="1"/>
    <n v="180000"/>
    <n v="5"/>
    <x v="2"/>
    <n v="144000"/>
    <n v="900000"/>
    <n v="720000"/>
    <n v="180000"/>
  </r>
  <r>
    <s v="ID_773"/>
    <d v="2025-04-21T00:00:00"/>
    <x v="1"/>
    <x v="3"/>
    <x v="0"/>
    <s v="Retail"/>
    <s v="Store"/>
    <x v="9"/>
    <x v="1"/>
    <n v="220000"/>
    <n v="3"/>
    <x v="5"/>
    <n v="176000"/>
    <n v="660000"/>
    <n v="528000"/>
    <n v="132000"/>
  </r>
  <r>
    <s v="ID_891"/>
    <d v="2025-04-21T00:00:00"/>
    <x v="1"/>
    <x v="0"/>
    <x v="1"/>
    <s v="Retail"/>
    <s v="Online"/>
    <x v="2"/>
    <x v="1"/>
    <n v="60000"/>
    <n v="4"/>
    <x v="4"/>
    <n v="48000"/>
    <n v="240000"/>
    <n v="192000"/>
    <n v="48000"/>
  </r>
  <r>
    <s v="ID_1132"/>
    <d v="2025-04-13T00:00:00"/>
    <x v="1"/>
    <x v="3"/>
    <x v="0"/>
    <s v="Corporate"/>
    <s v="Online"/>
    <x v="0"/>
    <x v="0"/>
    <n v="85000"/>
    <n v="1"/>
    <x v="4"/>
    <n v="68000"/>
    <n v="85000"/>
    <n v="68000"/>
    <n v="17000"/>
  </r>
  <r>
    <s v="ID_273"/>
    <d v="2025-02-19T00:00:00"/>
    <x v="2"/>
    <x v="1"/>
    <x v="0"/>
    <s v="Retail"/>
    <s v="Online"/>
    <x v="1"/>
    <x v="1"/>
    <n v="30000"/>
    <n v="5"/>
    <x v="1"/>
    <n v="24000"/>
    <n v="150000"/>
    <n v="120000"/>
    <n v="30000"/>
  </r>
  <r>
    <s v="ID_669"/>
    <d v="2025-02-18T00:00:00"/>
    <x v="2"/>
    <x v="1"/>
    <x v="3"/>
    <s v="Retail"/>
    <s v="Store"/>
    <x v="2"/>
    <x v="1"/>
    <n v="60000"/>
    <n v="3"/>
    <x v="4"/>
    <n v="48000"/>
    <n v="180000"/>
    <n v="144000"/>
    <n v="36000"/>
  </r>
  <r>
    <s v="ID_267"/>
    <d v="2025-02-03T00:00:00"/>
    <x v="2"/>
    <x v="0"/>
    <x v="3"/>
    <s v="Retail"/>
    <s v="Online"/>
    <x v="2"/>
    <x v="1"/>
    <n v="60000"/>
    <n v="6"/>
    <x v="0"/>
    <n v="48000"/>
    <n v="360000"/>
    <n v="288000"/>
    <n v="72000"/>
  </r>
  <r>
    <s v="ID_1544"/>
    <d v="2025-01-14T00:00:00"/>
    <x v="0"/>
    <x v="2"/>
    <x v="2"/>
    <s v="Corporate"/>
    <s v="Online"/>
    <x v="3"/>
    <x v="2"/>
    <n v="300000"/>
    <n v="2"/>
    <x v="0"/>
    <n v="240000"/>
    <n v="600000"/>
    <n v="480000"/>
    <n v="120000"/>
  </r>
  <r>
    <s v="ID_136"/>
    <d v="2025-01-23T00:00:00"/>
    <x v="0"/>
    <x v="0"/>
    <x v="2"/>
    <s v="Retail"/>
    <s v="Online"/>
    <x v="6"/>
    <x v="2"/>
    <n v="150000"/>
    <n v="7"/>
    <x v="1"/>
    <n v="120000"/>
    <n v="1050000"/>
    <n v="840000"/>
    <n v="210000"/>
  </r>
  <r>
    <s v="ID_118"/>
    <d v="2025-04-19T00:00:00"/>
    <x v="1"/>
    <x v="3"/>
    <x v="2"/>
    <s v="Corporate"/>
    <s v="Store"/>
    <x v="9"/>
    <x v="1"/>
    <n v="220000"/>
    <n v="3"/>
    <x v="2"/>
    <n v="176000"/>
    <n v="660000"/>
    <n v="528000"/>
    <n v="132000"/>
  </r>
  <r>
    <s v="ID_165"/>
    <d v="2025-01-06T00:00:00"/>
    <x v="0"/>
    <x v="0"/>
    <x v="2"/>
    <s v="Retail"/>
    <s v="Store"/>
    <x v="2"/>
    <x v="1"/>
    <n v="60000"/>
    <n v="9"/>
    <x v="3"/>
    <n v="48000"/>
    <n v="540000"/>
    <n v="432000"/>
    <n v="108000"/>
  </r>
  <r>
    <s v="ID_1192"/>
    <d v="2025-02-26T00:00:00"/>
    <x v="2"/>
    <x v="0"/>
    <x v="1"/>
    <s v="Corporate"/>
    <s v="Store"/>
    <x v="5"/>
    <x v="0"/>
    <n v="320000"/>
    <n v="2"/>
    <x v="2"/>
    <n v="256000"/>
    <n v="640000"/>
    <n v="512000"/>
    <n v="128000"/>
  </r>
  <r>
    <s v="ID_392"/>
    <d v="2025-02-09T00:00:00"/>
    <x v="2"/>
    <x v="0"/>
    <x v="2"/>
    <s v="Corporate"/>
    <s v="Online"/>
    <x v="9"/>
    <x v="1"/>
    <n v="220000"/>
    <n v="5"/>
    <x v="0"/>
    <n v="176000"/>
    <n v="1100000"/>
    <n v="880000"/>
    <n v="220000"/>
  </r>
  <r>
    <s v="ID_1618"/>
    <d v="2025-01-23T00:00:00"/>
    <x v="0"/>
    <x v="0"/>
    <x v="0"/>
    <s v="Corporate"/>
    <s v="Online"/>
    <x v="6"/>
    <x v="2"/>
    <n v="150000"/>
    <n v="1"/>
    <x v="5"/>
    <n v="120000"/>
    <n v="150000"/>
    <n v="120000"/>
    <n v="30000"/>
  </r>
  <r>
    <s v="ID_1567"/>
    <d v="2025-02-13T00:00:00"/>
    <x v="2"/>
    <x v="2"/>
    <x v="1"/>
    <s v="Retail"/>
    <s v="Store"/>
    <x v="3"/>
    <x v="2"/>
    <n v="300000"/>
    <n v="8"/>
    <x v="0"/>
    <n v="240000"/>
    <n v="2400000"/>
    <n v="1920000"/>
    <n v="480000"/>
  </r>
  <r>
    <s v="ID_1893"/>
    <d v="2025-02-20T00:00:00"/>
    <x v="2"/>
    <x v="1"/>
    <x v="3"/>
    <s v="Retail"/>
    <s v="Online"/>
    <x v="9"/>
    <x v="1"/>
    <n v="220000"/>
    <n v="3"/>
    <x v="4"/>
    <n v="176000"/>
    <n v="660000"/>
    <n v="528000"/>
    <n v="132000"/>
  </r>
  <r>
    <s v="ID_1337"/>
    <d v="2025-01-15T00:00:00"/>
    <x v="0"/>
    <x v="0"/>
    <x v="0"/>
    <s v="Retail"/>
    <s v="Online"/>
    <x v="8"/>
    <x v="2"/>
    <n v="250000"/>
    <n v="8"/>
    <x v="0"/>
    <n v="200000"/>
    <n v="2000000"/>
    <n v="1600000"/>
    <n v="400000"/>
  </r>
  <r>
    <s v="ID_723"/>
    <d v="2025-04-19T00:00:00"/>
    <x v="1"/>
    <x v="2"/>
    <x v="1"/>
    <s v="Corporate"/>
    <s v="Online"/>
    <x v="3"/>
    <x v="2"/>
    <n v="300000"/>
    <n v="4"/>
    <x v="2"/>
    <n v="240000"/>
    <n v="1200000"/>
    <n v="960000"/>
    <n v="240000"/>
  </r>
  <r>
    <s v="ID_1306"/>
    <d v="2025-05-01T00:00:00"/>
    <x v="4"/>
    <x v="2"/>
    <x v="2"/>
    <s v="Corporate"/>
    <s v="Store"/>
    <x v="3"/>
    <x v="2"/>
    <n v="300000"/>
    <n v="1"/>
    <x v="2"/>
    <n v="240000"/>
    <n v="300000"/>
    <n v="240000"/>
    <n v="60000"/>
  </r>
  <r>
    <s v="ID_543"/>
    <d v="2025-04-27T00:00:00"/>
    <x v="1"/>
    <x v="1"/>
    <x v="3"/>
    <s v="Retail"/>
    <s v="Online"/>
    <x v="8"/>
    <x v="2"/>
    <n v="250000"/>
    <n v="8"/>
    <x v="2"/>
    <n v="200000"/>
    <n v="2000000"/>
    <n v="1600000"/>
    <n v="400000"/>
  </r>
  <r>
    <s v="ID_656"/>
    <d v="2025-03-04T00:00:00"/>
    <x v="3"/>
    <x v="0"/>
    <x v="3"/>
    <s v="Corporate"/>
    <s v="Store"/>
    <x v="4"/>
    <x v="1"/>
    <n v="180000"/>
    <n v="2"/>
    <x v="4"/>
    <n v="144000"/>
    <n v="360000"/>
    <n v="288000"/>
    <n v="72000"/>
  </r>
  <r>
    <s v="ID_1454"/>
    <d v="2025-02-03T00:00:00"/>
    <x v="2"/>
    <x v="0"/>
    <x v="3"/>
    <s v="Retail"/>
    <s v="Store"/>
    <x v="4"/>
    <x v="1"/>
    <n v="180000"/>
    <n v="6"/>
    <x v="2"/>
    <n v="144000"/>
    <n v="1080000"/>
    <n v="864000"/>
    <n v="216000"/>
  </r>
  <r>
    <s v="ID_1379"/>
    <d v="2025-02-16T00:00:00"/>
    <x v="2"/>
    <x v="3"/>
    <x v="1"/>
    <s v="Corporate"/>
    <s v="Online"/>
    <x v="3"/>
    <x v="2"/>
    <n v="300000"/>
    <n v="2"/>
    <x v="2"/>
    <n v="240000"/>
    <n v="600000"/>
    <n v="480000"/>
    <n v="120000"/>
  </r>
  <r>
    <s v="ID_608"/>
    <d v="2025-04-29T00:00:00"/>
    <x v="1"/>
    <x v="1"/>
    <x v="0"/>
    <s v="Corporate"/>
    <s v="Store"/>
    <x v="6"/>
    <x v="2"/>
    <n v="150000"/>
    <n v="6"/>
    <x v="0"/>
    <n v="120000"/>
    <n v="900000"/>
    <n v="720000"/>
    <n v="180000"/>
  </r>
  <r>
    <s v="ID_42"/>
    <d v="2025-03-06T00:00:00"/>
    <x v="3"/>
    <x v="2"/>
    <x v="1"/>
    <s v="Corporate"/>
    <s v="Store"/>
    <x v="7"/>
    <x v="2"/>
    <n v="420000"/>
    <n v="10"/>
    <x v="0"/>
    <n v="336000"/>
    <n v="4200000"/>
    <n v="3360000"/>
    <n v="840000"/>
  </r>
  <r>
    <s v="ID_18"/>
    <d v="2025-04-30T00:00:00"/>
    <x v="1"/>
    <x v="1"/>
    <x v="2"/>
    <s v="Retail"/>
    <s v="Online"/>
    <x v="7"/>
    <x v="2"/>
    <n v="420000"/>
    <n v="8"/>
    <x v="2"/>
    <n v="336000"/>
    <n v="3360000"/>
    <n v="2688000"/>
    <n v="672000"/>
  </r>
  <r>
    <s v="ID_2024"/>
    <d v="2025-01-20T00:00:00"/>
    <x v="0"/>
    <x v="2"/>
    <x v="1"/>
    <s v="Retail"/>
    <s v="Store"/>
    <x v="4"/>
    <x v="1"/>
    <n v="180000"/>
    <n v="8"/>
    <x v="0"/>
    <n v="144000"/>
    <n v="1440000"/>
    <n v="1152000"/>
    <n v="288000"/>
  </r>
  <r>
    <s v="ID_56"/>
    <d v="2025-01-03T00:00:00"/>
    <x v="0"/>
    <x v="2"/>
    <x v="2"/>
    <s v="Retail"/>
    <s v="Store"/>
    <x v="3"/>
    <x v="2"/>
    <n v="300000"/>
    <n v="4"/>
    <x v="4"/>
    <n v="240000"/>
    <n v="1200000"/>
    <n v="960000"/>
    <n v="240000"/>
  </r>
  <r>
    <s v="ID_560"/>
    <d v="2025-01-15T00:00:00"/>
    <x v="0"/>
    <x v="2"/>
    <x v="2"/>
    <s v="Retail"/>
    <s v="Store"/>
    <x v="7"/>
    <x v="2"/>
    <n v="420000"/>
    <n v="1"/>
    <x v="3"/>
    <n v="336000"/>
    <n v="420000"/>
    <n v="336000"/>
    <n v="84000"/>
  </r>
  <r>
    <s v="ID_1824"/>
    <d v="2025-03-20T00:00:00"/>
    <x v="3"/>
    <x v="0"/>
    <x v="2"/>
    <s v="Corporate"/>
    <s v="Online"/>
    <x v="1"/>
    <x v="1"/>
    <n v="30000"/>
    <n v="7"/>
    <x v="2"/>
    <n v="24000"/>
    <n v="210000"/>
    <n v="168000"/>
    <n v="42000"/>
  </r>
  <r>
    <s v="ID_1052"/>
    <d v="2025-02-26T00:00:00"/>
    <x v="2"/>
    <x v="2"/>
    <x v="0"/>
    <s v="Retail"/>
    <s v="Online"/>
    <x v="7"/>
    <x v="2"/>
    <n v="420000"/>
    <n v="3"/>
    <x v="2"/>
    <n v="336000"/>
    <n v="1260000"/>
    <n v="1008000"/>
    <n v="252000"/>
  </r>
  <r>
    <s v="ID_41"/>
    <d v="2025-04-28T00:00:00"/>
    <x v="1"/>
    <x v="2"/>
    <x v="0"/>
    <s v="Retail"/>
    <s v="Store"/>
    <x v="2"/>
    <x v="1"/>
    <n v="60000"/>
    <n v="5"/>
    <x v="5"/>
    <n v="48000"/>
    <n v="300000"/>
    <n v="240000"/>
    <n v="60000"/>
  </r>
  <r>
    <s v="ID_2064"/>
    <d v="2025-04-21T00:00:00"/>
    <x v="1"/>
    <x v="0"/>
    <x v="3"/>
    <s v="Corporate"/>
    <s v="Online"/>
    <x v="3"/>
    <x v="2"/>
    <n v="300000"/>
    <n v="9"/>
    <x v="5"/>
    <n v="240000"/>
    <n v="2700000"/>
    <n v="2160000"/>
    <n v="540000"/>
  </r>
  <r>
    <s v="ID_1949"/>
    <d v="2025-04-26T00:00:00"/>
    <x v="1"/>
    <x v="1"/>
    <x v="2"/>
    <s v="Retail"/>
    <s v="Store"/>
    <x v="5"/>
    <x v="0"/>
    <n v="320000"/>
    <n v="4"/>
    <x v="3"/>
    <n v="256000"/>
    <n v="1280000"/>
    <n v="1024000"/>
    <n v="256000"/>
  </r>
  <r>
    <s v="ID_1456"/>
    <d v="2025-01-28T00:00:00"/>
    <x v="0"/>
    <x v="3"/>
    <x v="1"/>
    <s v="Retail"/>
    <s v="Store"/>
    <x v="4"/>
    <x v="1"/>
    <n v="180000"/>
    <n v="2"/>
    <x v="5"/>
    <n v="144000"/>
    <n v="360000"/>
    <n v="288000"/>
    <n v="72000"/>
  </r>
  <r>
    <s v="ID_1619"/>
    <d v="2025-02-24T00:00:00"/>
    <x v="2"/>
    <x v="1"/>
    <x v="1"/>
    <s v="Retail"/>
    <s v="Online"/>
    <x v="0"/>
    <x v="0"/>
    <n v="85000"/>
    <n v="1"/>
    <x v="3"/>
    <n v="68000"/>
    <n v="85000"/>
    <n v="68000"/>
    <n v="17000"/>
  </r>
  <r>
    <s v="ID_1239"/>
    <d v="2025-02-11T00:00:00"/>
    <x v="2"/>
    <x v="3"/>
    <x v="2"/>
    <s v="Corporate"/>
    <s v="Store"/>
    <x v="5"/>
    <x v="0"/>
    <n v="320000"/>
    <n v="7"/>
    <x v="3"/>
    <n v="256000"/>
    <n v="2240000"/>
    <n v="1792000"/>
    <n v="448000"/>
  </r>
  <r>
    <s v="ID_1587"/>
    <d v="2025-02-08T00:00:00"/>
    <x v="2"/>
    <x v="1"/>
    <x v="3"/>
    <s v="Corporate"/>
    <s v="Online"/>
    <x v="2"/>
    <x v="1"/>
    <n v="60000"/>
    <n v="9"/>
    <x v="0"/>
    <n v="48000"/>
    <n v="540000"/>
    <n v="432000"/>
    <n v="108000"/>
  </r>
  <r>
    <s v="ID_598"/>
    <d v="2025-01-03T00:00:00"/>
    <x v="0"/>
    <x v="3"/>
    <x v="3"/>
    <s v="Corporate"/>
    <s v="Store"/>
    <x v="0"/>
    <x v="0"/>
    <n v="85000"/>
    <n v="1"/>
    <x v="1"/>
    <n v="68000"/>
    <n v="85000"/>
    <n v="68000"/>
    <n v="17000"/>
  </r>
  <r>
    <s v="ID_1956"/>
    <d v="2025-03-26T00:00:00"/>
    <x v="3"/>
    <x v="1"/>
    <x v="1"/>
    <s v="Retail"/>
    <s v="Online"/>
    <x v="3"/>
    <x v="2"/>
    <n v="300000"/>
    <n v="6"/>
    <x v="5"/>
    <n v="240000"/>
    <n v="1800000"/>
    <n v="1440000"/>
    <n v="360000"/>
  </r>
  <r>
    <s v="ID_708"/>
    <d v="2025-01-17T00:00:00"/>
    <x v="0"/>
    <x v="3"/>
    <x v="1"/>
    <s v="Corporate"/>
    <s v="Online"/>
    <x v="1"/>
    <x v="1"/>
    <n v="30000"/>
    <n v="5"/>
    <x v="0"/>
    <n v="24000"/>
    <n v="150000"/>
    <n v="120000"/>
    <n v="30000"/>
  </r>
  <r>
    <s v="ID_138"/>
    <d v="2025-03-09T00:00:00"/>
    <x v="3"/>
    <x v="3"/>
    <x v="0"/>
    <s v="Retail"/>
    <s v="Store"/>
    <x v="6"/>
    <x v="2"/>
    <n v="150000"/>
    <n v="4"/>
    <x v="4"/>
    <n v="120000"/>
    <n v="600000"/>
    <n v="480000"/>
    <n v="120000"/>
  </r>
  <r>
    <s v="ID_2048"/>
    <d v="2025-03-26T00:00:00"/>
    <x v="3"/>
    <x v="2"/>
    <x v="0"/>
    <s v="Corporate"/>
    <s v="Store"/>
    <x v="6"/>
    <x v="2"/>
    <n v="150000"/>
    <n v="6"/>
    <x v="4"/>
    <n v="120000"/>
    <n v="900000"/>
    <n v="720000"/>
    <n v="180000"/>
  </r>
  <r>
    <s v="ID_2028"/>
    <d v="2025-04-19T00:00:00"/>
    <x v="1"/>
    <x v="3"/>
    <x v="1"/>
    <s v="Corporate"/>
    <s v="Store"/>
    <x v="6"/>
    <x v="2"/>
    <n v="150000"/>
    <n v="8"/>
    <x v="4"/>
    <n v="120000"/>
    <n v="1200000"/>
    <n v="960000"/>
    <n v="240000"/>
  </r>
  <r>
    <s v="ID_205"/>
    <d v="2025-01-16T00:00:00"/>
    <x v="0"/>
    <x v="2"/>
    <x v="1"/>
    <s v="Retail"/>
    <s v="Store"/>
    <x v="1"/>
    <x v="1"/>
    <n v="30000"/>
    <n v="6"/>
    <x v="0"/>
    <n v="24000"/>
    <n v="180000"/>
    <n v="144000"/>
    <n v="36000"/>
  </r>
  <r>
    <s v="ID_1892"/>
    <d v="2025-01-21T00:00:00"/>
    <x v="0"/>
    <x v="0"/>
    <x v="1"/>
    <s v="Retail"/>
    <s v="Online"/>
    <x v="8"/>
    <x v="2"/>
    <n v="250000"/>
    <n v="3"/>
    <x v="3"/>
    <n v="200000"/>
    <n v="750000"/>
    <n v="600000"/>
    <n v="150000"/>
  </r>
  <r>
    <s v="ID_138"/>
    <d v="2025-03-14T00:00:00"/>
    <x v="3"/>
    <x v="2"/>
    <x v="1"/>
    <s v="Corporate"/>
    <s v="Online"/>
    <x v="6"/>
    <x v="2"/>
    <n v="150000"/>
    <n v="5"/>
    <x v="0"/>
    <n v="120000"/>
    <n v="750000"/>
    <n v="600000"/>
    <n v="150000"/>
  </r>
  <r>
    <s v="ID_528"/>
    <d v="2025-03-18T00:00:00"/>
    <x v="3"/>
    <x v="0"/>
    <x v="1"/>
    <s v="Retail"/>
    <s v="Online"/>
    <x v="9"/>
    <x v="1"/>
    <n v="220000"/>
    <n v="1"/>
    <x v="4"/>
    <n v="176000"/>
    <n v="220000"/>
    <n v="176000"/>
    <n v="44000"/>
  </r>
  <r>
    <s v="ID_13"/>
    <d v="2025-01-13T00:00:00"/>
    <x v="0"/>
    <x v="3"/>
    <x v="1"/>
    <s v="Retail"/>
    <s v="Store"/>
    <x v="5"/>
    <x v="0"/>
    <n v="320000"/>
    <n v="10"/>
    <x v="3"/>
    <n v="256000"/>
    <n v="3200000"/>
    <n v="2560000"/>
    <n v="640000"/>
  </r>
  <r>
    <s v="ID_101"/>
    <d v="2025-01-26T00:00:00"/>
    <x v="0"/>
    <x v="2"/>
    <x v="0"/>
    <s v="Corporate"/>
    <s v="Store"/>
    <x v="2"/>
    <x v="1"/>
    <n v="60000"/>
    <n v="5"/>
    <x v="1"/>
    <n v="48000"/>
    <n v="300000"/>
    <n v="240000"/>
    <n v="60000"/>
  </r>
  <r>
    <s v="ID_1200"/>
    <d v="2025-04-10T00:00:00"/>
    <x v="1"/>
    <x v="1"/>
    <x v="3"/>
    <s v="Retail"/>
    <s v="Store"/>
    <x v="6"/>
    <x v="2"/>
    <n v="150000"/>
    <n v="7"/>
    <x v="5"/>
    <n v="120000"/>
    <n v="1050000"/>
    <n v="840000"/>
    <n v="210000"/>
  </r>
  <r>
    <s v="ID_656"/>
    <d v="2025-04-27T00:00:00"/>
    <x v="1"/>
    <x v="3"/>
    <x v="2"/>
    <s v="Retail"/>
    <s v="Online"/>
    <x v="2"/>
    <x v="1"/>
    <n v="60000"/>
    <n v="7"/>
    <x v="2"/>
    <n v="48000"/>
    <n v="420000"/>
    <n v="336000"/>
    <n v="84000"/>
  </r>
  <r>
    <s v="ID_1048"/>
    <d v="2025-02-10T00:00:00"/>
    <x v="2"/>
    <x v="3"/>
    <x v="0"/>
    <s v="Corporate"/>
    <s v="Store"/>
    <x v="9"/>
    <x v="1"/>
    <n v="220000"/>
    <n v="4"/>
    <x v="3"/>
    <n v="176000"/>
    <n v="880000"/>
    <n v="704000"/>
    <n v="176000"/>
  </r>
  <r>
    <s v="ID_1252"/>
    <d v="2025-02-21T00:00:00"/>
    <x v="2"/>
    <x v="1"/>
    <x v="2"/>
    <s v="Corporate"/>
    <s v="Store"/>
    <x v="8"/>
    <x v="2"/>
    <n v="250000"/>
    <n v="6"/>
    <x v="1"/>
    <n v="200000"/>
    <n v="1500000"/>
    <n v="1200000"/>
    <n v="300000"/>
  </r>
  <r>
    <s v="ID_1423"/>
    <d v="2025-03-07T00:00:00"/>
    <x v="3"/>
    <x v="3"/>
    <x v="0"/>
    <s v="Corporate"/>
    <s v="Online"/>
    <x v="7"/>
    <x v="2"/>
    <n v="420000"/>
    <n v="10"/>
    <x v="0"/>
    <n v="336000"/>
    <n v="4200000"/>
    <n v="3360000"/>
    <n v="840000"/>
  </r>
  <r>
    <s v="ID_1138"/>
    <d v="2025-03-30T00:00:00"/>
    <x v="3"/>
    <x v="1"/>
    <x v="0"/>
    <s v="Retail"/>
    <s v="Online"/>
    <x v="1"/>
    <x v="1"/>
    <n v="30000"/>
    <n v="9"/>
    <x v="5"/>
    <n v="24000"/>
    <n v="270000"/>
    <n v="216000"/>
    <n v="54000"/>
  </r>
  <r>
    <s v="ID_1675"/>
    <d v="2025-03-21T00:00:00"/>
    <x v="3"/>
    <x v="0"/>
    <x v="2"/>
    <s v="Retail"/>
    <s v="Store"/>
    <x v="4"/>
    <x v="1"/>
    <n v="180000"/>
    <n v="8"/>
    <x v="2"/>
    <n v="144000"/>
    <n v="1440000"/>
    <n v="1152000"/>
    <n v="288000"/>
  </r>
  <r>
    <s v="ID_464"/>
    <d v="2025-01-23T00:00:00"/>
    <x v="0"/>
    <x v="3"/>
    <x v="1"/>
    <s v="Retail"/>
    <s v="Online"/>
    <x v="7"/>
    <x v="2"/>
    <n v="420000"/>
    <n v="5"/>
    <x v="4"/>
    <n v="336000"/>
    <n v="2100000"/>
    <n v="1680000"/>
    <n v="420000"/>
  </r>
  <r>
    <s v="ID_382"/>
    <d v="2025-01-09T00:00:00"/>
    <x v="0"/>
    <x v="0"/>
    <x v="0"/>
    <s v="Corporate"/>
    <s v="Online"/>
    <x v="2"/>
    <x v="1"/>
    <n v="60000"/>
    <n v="9"/>
    <x v="0"/>
    <n v="48000"/>
    <n v="540000"/>
    <n v="432000"/>
    <n v="108000"/>
  </r>
  <r>
    <s v="ID_101"/>
    <d v="2025-02-12T00:00:00"/>
    <x v="2"/>
    <x v="2"/>
    <x v="2"/>
    <s v="Corporate"/>
    <s v="Store"/>
    <x v="0"/>
    <x v="0"/>
    <n v="85000"/>
    <n v="5"/>
    <x v="1"/>
    <n v="68000"/>
    <n v="425000"/>
    <n v="340000"/>
    <n v="85000"/>
  </r>
  <r>
    <s v="ID_1199"/>
    <d v="2025-04-05T00:00:00"/>
    <x v="1"/>
    <x v="2"/>
    <x v="2"/>
    <s v="Corporate"/>
    <s v="Online"/>
    <x v="0"/>
    <x v="0"/>
    <n v="85000"/>
    <n v="1"/>
    <x v="2"/>
    <n v="68000"/>
    <n v="85000"/>
    <n v="68000"/>
    <n v="17000"/>
  </r>
  <r>
    <s v="ID_259"/>
    <d v="2025-01-26T00:00:00"/>
    <x v="0"/>
    <x v="1"/>
    <x v="1"/>
    <s v="Retail"/>
    <s v="Store"/>
    <x v="2"/>
    <x v="1"/>
    <n v="60000"/>
    <n v="8"/>
    <x v="3"/>
    <n v="48000"/>
    <n v="480000"/>
    <n v="384000"/>
    <n v="96000"/>
  </r>
  <r>
    <s v="ID_403"/>
    <d v="2025-04-27T00:00:00"/>
    <x v="1"/>
    <x v="0"/>
    <x v="2"/>
    <s v="Corporate"/>
    <s v="Online"/>
    <x v="6"/>
    <x v="2"/>
    <n v="150000"/>
    <n v="5"/>
    <x v="4"/>
    <n v="120000"/>
    <n v="750000"/>
    <n v="600000"/>
    <n v="150000"/>
  </r>
  <r>
    <s v="ID_780"/>
    <d v="2025-03-30T00:00:00"/>
    <x v="3"/>
    <x v="0"/>
    <x v="3"/>
    <s v="Retail"/>
    <s v="Online"/>
    <x v="5"/>
    <x v="0"/>
    <n v="320000"/>
    <n v="10"/>
    <x v="3"/>
    <n v="256000"/>
    <n v="3200000"/>
    <n v="2560000"/>
    <n v="640000"/>
  </r>
  <r>
    <s v="ID_1613"/>
    <d v="2025-01-29T00:00:00"/>
    <x v="0"/>
    <x v="0"/>
    <x v="3"/>
    <s v="Corporate"/>
    <s v="Online"/>
    <x v="8"/>
    <x v="2"/>
    <n v="250000"/>
    <n v="6"/>
    <x v="5"/>
    <n v="200000"/>
    <n v="1500000"/>
    <n v="1200000"/>
    <n v="300000"/>
  </r>
  <r>
    <s v="ID_1019"/>
    <d v="2025-01-21T00:00:00"/>
    <x v="0"/>
    <x v="2"/>
    <x v="2"/>
    <s v="Corporate"/>
    <s v="Online"/>
    <x v="6"/>
    <x v="2"/>
    <n v="150000"/>
    <n v="3"/>
    <x v="0"/>
    <n v="120000"/>
    <n v="450000"/>
    <n v="360000"/>
    <n v="90000"/>
  </r>
  <r>
    <s v="ID_1303"/>
    <d v="2025-03-21T00:00:00"/>
    <x v="3"/>
    <x v="0"/>
    <x v="1"/>
    <s v="Corporate"/>
    <s v="Online"/>
    <x v="2"/>
    <x v="1"/>
    <n v="60000"/>
    <n v="10"/>
    <x v="4"/>
    <n v="48000"/>
    <n v="600000"/>
    <n v="480000"/>
    <n v="120000"/>
  </r>
  <r>
    <s v="ID_876"/>
    <d v="2025-04-11T00:00:00"/>
    <x v="1"/>
    <x v="3"/>
    <x v="2"/>
    <s v="Retail"/>
    <s v="Online"/>
    <x v="6"/>
    <x v="2"/>
    <n v="150000"/>
    <n v="8"/>
    <x v="2"/>
    <n v="120000"/>
    <n v="1200000"/>
    <n v="960000"/>
    <n v="240000"/>
  </r>
  <r>
    <s v="ID_412"/>
    <d v="2025-04-28T00:00:00"/>
    <x v="1"/>
    <x v="2"/>
    <x v="0"/>
    <s v="Retail"/>
    <s v="Online"/>
    <x v="8"/>
    <x v="2"/>
    <n v="250000"/>
    <n v="7"/>
    <x v="4"/>
    <n v="200000"/>
    <n v="1750000"/>
    <n v="1400000"/>
    <n v="350000"/>
  </r>
  <r>
    <s v="ID_438"/>
    <d v="2025-04-27T00:00:00"/>
    <x v="1"/>
    <x v="2"/>
    <x v="3"/>
    <s v="Corporate"/>
    <s v="Online"/>
    <x v="0"/>
    <x v="0"/>
    <n v="85000"/>
    <n v="6"/>
    <x v="3"/>
    <n v="68000"/>
    <n v="510000"/>
    <n v="408000"/>
    <n v="102000"/>
  </r>
  <r>
    <s v="ID_357"/>
    <d v="2025-02-11T00:00:00"/>
    <x v="2"/>
    <x v="3"/>
    <x v="0"/>
    <s v="Corporate"/>
    <s v="Online"/>
    <x v="4"/>
    <x v="1"/>
    <n v="180000"/>
    <n v="9"/>
    <x v="4"/>
    <n v="144000"/>
    <n v="1620000"/>
    <n v="1296000"/>
    <n v="324000"/>
  </r>
  <r>
    <s v="ID_1080"/>
    <d v="2025-03-24T00:00:00"/>
    <x v="3"/>
    <x v="0"/>
    <x v="3"/>
    <s v="Corporate"/>
    <s v="Online"/>
    <x v="1"/>
    <x v="1"/>
    <n v="30000"/>
    <n v="8"/>
    <x v="4"/>
    <n v="24000"/>
    <n v="240000"/>
    <n v="192000"/>
    <n v="48000"/>
  </r>
  <r>
    <s v="ID_926"/>
    <d v="2025-01-22T00:00:00"/>
    <x v="0"/>
    <x v="2"/>
    <x v="0"/>
    <s v="Corporate"/>
    <s v="Store"/>
    <x v="0"/>
    <x v="0"/>
    <n v="85000"/>
    <n v="1"/>
    <x v="1"/>
    <n v="68000"/>
    <n v="85000"/>
    <n v="68000"/>
    <n v="17000"/>
  </r>
  <r>
    <s v="ID_1177"/>
    <d v="2025-02-05T00:00:00"/>
    <x v="2"/>
    <x v="0"/>
    <x v="3"/>
    <s v="Corporate"/>
    <s v="Online"/>
    <x v="1"/>
    <x v="1"/>
    <n v="30000"/>
    <n v="8"/>
    <x v="5"/>
    <n v="24000"/>
    <n v="240000"/>
    <n v="192000"/>
    <n v="48000"/>
  </r>
  <r>
    <s v="ID_2073"/>
    <d v="2025-01-16T00:00:00"/>
    <x v="0"/>
    <x v="3"/>
    <x v="2"/>
    <s v="Retail"/>
    <s v="Online"/>
    <x v="5"/>
    <x v="0"/>
    <n v="320000"/>
    <n v="2"/>
    <x v="4"/>
    <n v="256000"/>
    <n v="640000"/>
    <n v="512000"/>
    <n v="128000"/>
  </r>
  <r>
    <s v="ID_1618"/>
    <d v="2025-03-15T00:00:00"/>
    <x v="3"/>
    <x v="1"/>
    <x v="0"/>
    <s v="Retail"/>
    <s v="Online"/>
    <x v="6"/>
    <x v="2"/>
    <n v="150000"/>
    <n v="5"/>
    <x v="4"/>
    <n v="120000"/>
    <n v="750000"/>
    <n v="600000"/>
    <n v="150000"/>
  </r>
  <r>
    <s v="ID_1489"/>
    <d v="2025-03-23T00:00:00"/>
    <x v="3"/>
    <x v="1"/>
    <x v="2"/>
    <s v="Corporate"/>
    <s v="Online"/>
    <x v="8"/>
    <x v="2"/>
    <n v="250000"/>
    <n v="5"/>
    <x v="5"/>
    <n v="200000"/>
    <n v="1250000"/>
    <n v="1000000"/>
    <n v="250000"/>
  </r>
  <r>
    <s v="ID_417"/>
    <d v="2025-01-19T00:00:00"/>
    <x v="0"/>
    <x v="3"/>
    <x v="3"/>
    <s v="Corporate"/>
    <s v="Online"/>
    <x v="9"/>
    <x v="1"/>
    <n v="220000"/>
    <n v="10"/>
    <x v="1"/>
    <n v="176000"/>
    <n v="2200000"/>
    <n v="1760000"/>
    <n v="440000"/>
  </r>
  <r>
    <s v="ID_2072"/>
    <d v="2025-04-13T00:00:00"/>
    <x v="1"/>
    <x v="3"/>
    <x v="2"/>
    <s v="Corporate"/>
    <s v="Online"/>
    <x v="2"/>
    <x v="1"/>
    <n v="60000"/>
    <n v="2"/>
    <x v="3"/>
    <n v="48000"/>
    <n v="120000"/>
    <n v="96000"/>
    <n v="24000"/>
  </r>
  <r>
    <s v="ID_706"/>
    <d v="2025-01-16T00:00:00"/>
    <x v="0"/>
    <x v="3"/>
    <x v="2"/>
    <s v="Corporate"/>
    <s v="Store"/>
    <x v="8"/>
    <x v="2"/>
    <n v="250000"/>
    <n v="1"/>
    <x v="4"/>
    <n v="200000"/>
    <n v="250000"/>
    <n v="200000"/>
    <n v="50000"/>
  </r>
  <r>
    <s v="ID_2012"/>
    <d v="2025-01-15T00:00:00"/>
    <x v="0"/>
    <x v="0"/>
    <x v="0"/>
    <s v="Retail"/>
    <s v="Online"/>
    <x v="4"/>
    <x v="1"/>
    <n v="180000"/>
    <n v="8"/>
    <x v="5"/>
    <n v="144000"/>
    <n v="1440000"/>
    <n v="1152000"/>
    <n v="288000"/>
  </r>
  <r>
    <s v="ID_576"/>
    <d v="2025-01-01T00:00:00"/>
    <x v="0"/>
    <x v="3"/>
    <x v="1"/>
    <s v="Retail"/>
    <s v="Online"/>
    <x v="6"/>
    <x v="2"/>
    <n v="150000"/>
    <n v="1"/>
    <x v="0"/>
    <n v="120000"/>
    <n v="150000"/>
    <n v="120000"/>
    <n v="30000"/>
  </r>
  <r>
    <s v="ID_450"/>
    <d v="2025-02-01T00:00:00"/>
    <x v="2"/>
    <x v="3"/>
    <x v="3"/>
    <s v="Retail"/>
    <s v="Online"/>
    <x v="1"/>
    <x v="1"/>
    <n v="30000"/>
    <n v="6"/>
    <x v="1"/>
    <n v="24000"/>
    <n v="180000"/>
    <n v="144000"/>
    <n v="36000"/>
  </r>
  <r>
    <s v="ID_232"/>
    <d v="2025-01-21T00:00:00"/>
    <x v="0"/>
    <x v="0"/>
    <x v="0"/>
    <s v="Corporate"/>
    <s v="Online"/>
    <x v="9"/>
    <x v="1"/>
    <n v="220000"/>
    <n v="10"/>
    <x v="5"/>
    <n v="176000"/>
    <n v="2200000"/>
    <n v="1760000"/>
    <n v="440000"/>
  </r>
  <r>
    <s v="ID_1773"/>
    <d v="2025-01-17T00:00:00"/>
    <x v="0"/>
    <x v="0"/>
    <x v="0"/>
    <s v="Retail"/>
    <s v="Store"/>
    <x v="7"/>
    <x v="2"/>
    <n v="420000"/>
    <n v="1"/>
    <x v="1"/>
    <n v="336000"/>
    <n v="420000"/>
    <n v="336000"/>
    <n v="84000"/>
  </r>
  <r>
    <s v="ID_1773"/>
    <d v="2025-01-14T00:00:00"/>
    <x v="0"/>
    <x v="0"/>
    <x v="1"/>
    <s v="Corporate"/>
    <s v="Store"/>
    <x v="3"/>
    <x v="2"/>
    <n v="300000"/>
    <n v="8"/>
    <x v="1"/>
    <n v="240000"/>
    <n v="2400000"/>
    <n v="1920000"/>
    <n v="480000"/>
  </r>
  <r>
    <s v="ID_362"/>
    <d v="2025-02-26T00:00:00"/>
    <x v="2"/>
    <x v="3"/>
    <x v="3"/>
    <s v="Corporate"/>
    <s v="Online"/>
    <x v="8"/>
    <x v="2"/>
    <n v="250000"/>
    <n v="3"/>
    <x v="0"/>
    <n v="200000"/>
    <n v="750000"/>
    <n v="600000"/>
    <n v="150000"/>
  </r>
  <r>
    <s v="ID_1136"/>
    <d v="2025-03-13T00:00:00"/>
    <x v="3"/>
    <x v="0"/>
    <x v="3"/>
    <s v="Corporate"/>
    <s v="Online"/>
    <x v="3"/>
    <x v="2"/>
    <n v="300000"/>
    <n v="4"/>
    <x v="3"/>
    <n v="240000"/>
    <n v="1200000"/>
    <n v="960000"/>
    <n v="240000"/>
  </r>
  <r>
    <s v="ID_1819"/>
    <d v="2025-04-02T00:00:00"/>
    <x v="1"/>
    <x v="0"/>
    <x v="2"/>
    <s v="Retail"/>
    <s v="Online"/>
    <x v="6"/>
    <x v="2"/>
    <n v="150000"/>
    <n v="6"/>
    <x v="3"/>
    <n v="120000"/>
    <n v="900000"/>
    <n v="720000"/>
    <n v="180000"/>
  </r>
  <r>
    <s v="ID_1425"/>
    <d v="2025-04-14T00:00:00"/>
    <x v="1"/>
    <x v="0"/>
    <x v="3"/>
    <s v="Retail"/>
    <s v="Online"/>
    <x v="7"/>
    <x v="2"/>
    <n v="420000"/>
    <n v="2"/>
    <x v="0"/>
    <n v="336000"/>
    <n v="840000"/>
    <n v="672000"/>
    <n v="168000"/>
  </r>
  <r>
    <s v="ID_15"/>
    <d v="2025-01-27T00:00:00"/>
    <x v="0"/>
    <x v="2"/>
    <x v="1"/>
    <s v="Retail"/>
    <s v="Online"/>
    <x v="9"/>
    <x v="1"/>
    <n v="220000"/>
    <n v="1"/>
    <x v="1"/>
    <n v="176000"/>
    <n v="220000"/>
    <n v="176000"/>
    <n v="44000"/>
  </r>
  <r>
    <s v="ID_519"/>
    <d v="2025-04-17T00:00:00"/>
    <x v="1"/>
    <x v="2"/>
    <x v="3"/>
    <s v="Retail"/>
    <s v="Store"/>
    <x v="9"/>
    <x v="1"/>
    <n v="220000"/>
    <n v="8"/>
    <x v="4"/>
    <n v="176000"/>
    <n v="1760000"/>
    <n v="1408000"/>
    <n v="352000"/>
  </r>
  <r>
    <s v="ID_725"/>
    <d v="2025-03-19T00:00:00"/>
    <x v="3"/>
    <x v="3"/>
    <x v="2"/>
    <s v="Retail"/>
    <s v="Store"/>
    <x v="1"/>
    <x v="1"/>
    <n v="30000"/>
    <n v="10"/>
    <x v="5"/>
    <n v="24000"/>
    <n v="300000"/>
    <n v="240000"/>
    <n v="60000"/>
  </r>
  <r>
    <s v="ID_434"/>
    <d v="2025-03-02T00:00:00"/>
    <x v="3"/>
    <x v="3"/>
    <x v="1"/>
    <s v="Corporate"/>
    <s v="Online"/>
    <x v="1"/>
    <x v="1"/>
    <n v="30000"/>
    <n v="4"/>
    <x v="5"/>
    <n v="24000"/>
    <n v="120000"/>
    <n v="96000"/>
    <n v="24000"/>
  </r>
  <r>
    <s v="ID_244"/>
    <d v="2025-04-07T00:00:00"/>
    <x v="1"/>
    <x v="0"/>
    <x v="0"/>
    <s v="Corporate"/>
    <s v="Online"/>
    <x v="4"/>
    <x v="1"/>
    <n v="180000"/>
    <n v="6"/>
    <x v="0"/>
    <n v="144000"/>
    <n v="1080000"/>
    <n v="864000"/>
    <n v="216000"/>
  </r>
  <r>
    <s v="ID_896"/>
    <d v="2025-04-03T00:00:00"/>
    <x v="1"/>
    <x v="0"/>
    <x v="3"/>
    <s v="Corporate"/>
    <s v="Online"/>
    <x v="3"/>
    <x v="2"/>
    <n v="300000"/>
    <n v="2"/>
    <x v="5"/>
    <n v="240000"/>
    <n v="600000"/>
    <n v="480000"/>
    <n v="120000"/>
  </r>
  <r>
    <s v="ID_1977"/>
    <d v="2025-01-27T00:00:00"/>
    <x v="0"/>
    <x v="1"/>
    <x v="1"/>
    <s v="Retail"/>
    <s v="Online"/>
    <x v="6"/>
    <x v="2"/>
    <n v="150000"/>
    <n v="9"/>
    <x v="0"/>
    <n v="120000"/>
    <n v="1350000"/>
    <n v="1080000"/>
    <n v="270000"/>
  </r>
  <r>
    <s v="ID_1307"/>
    <d v="2025-03-30T00:00:00"/>
    <x v="3"/>
    <x v="3"/>
    <x v="0"/>
    <s v="Retail"/>
    <s v="Store"/>
    <x v="6"/>
    <x v="2"/>
    <n v="150000"/>
    <n v="9"/>
    <x v="1"/>
    <n v="120000"/>
    <n v="1350000"/>
    <n v="1080000"/>
    <n v="270000"/>
  </r>
  <r>
    <s v="ID_1025"/>
    <d v="2025-02-07T00:00:00"/>
    <x v="2"/>
    <x v="0"/>
    <x v="0"/>
    <s v="Retail"/>
    <s v="Online"/>
    <x v="1"/>
    <x v="1"/>
    <n v="30000"/>
    <n v="4"/>
    <x v="0"/>
    <n v="24000"/>
    <n v="120000"/>
    <n v="96000"/>
    <n v="24000"/>
  </r>
  <r>
    <s v="ID_1543"/>
    <d v="2025-05-01T00:00:00"/>
    <x v="4"/>
    <x v="1"/>
    <x v="2"/>
    <s v="Corporate"/>
    <s v="Online"/>
    <x v="2"/>
    <x v="1"/>
    <n v="60000"/>
    <n v="9"/>
    <x v="2"/>
    <n v="48000"/>
    <n v="540000"/>
    <n v="432000"/>
    <n v="108000"/>
  </r>
  <r>
    <s v="ID_304"/>
    <d v="2025-01-10T00:00:00"/>
    <x v="0"/>
    <x v="2"/>
    <x v="1"/>
    <s v="Retail"/>
    <s v="Store"/>
    <x v="3"/>
    <x v="2"/>
    <n v="300000"/>
    <n v="9"/>
    <x v="2"/>
    <n v="240000"/>
    <n v="2700000"/>
    <n v="2160000"/>
    <n v="540000"/>
  </r>
  <r>
    <s v="ID_262"/>
    <d v="2025-04-21T00:00:00"/>
    <x v="1"/>
    <x v="3"/>
    <x v="3"/>
    <s v="Retail"/>
    <s v="Online"/>
    <x v="5"/>
    <x v="0"/>
    <n v="320000"/>
    <n v="3"/>
    <x v="5"/>
    <n v="256000"/>
    <n v="960000"/>
    <n v="768000"/>
    <n v="192000"/>
  </r>
  <r>
    <s v="ID_24"/>
    <d v="2025-04-25T00:00:00"/>
    <x v="1"/>
    <x v="0"/>
    <x v="0"/>
    <s v="Retail"/>
    <s v="Online"/>
    <x v="6"/>
    <x v="2"/>
    <n v="150000"/>
    <n v="1"/>
    <x v="0"/>
    <n v="120000"/>
    <n v="150000"/>
    <n v="120000"/>
    <n v="30000"/>
  </r>
  <r>
    <s v="ID_68"/>
    <d v="2025-04-02T00:00:00"/>
    <x v="1"/>
    <x v="3"/>
    <x v="1"/>
    <s v="Corporate"/>
    <s v="Online"/>
    <x v="3"/>
    <x v="2"/>
    <n v="300000"/>
    <n v="9"/>
    <x v="2"/>
    <n v="240000"/>
    <n v="2700000"/>
    <n v="2160000"/>
    <n v="540000"/>
  </r>
  <r>
    <s v="ID_1353"/>
    <d v="2025-01-14T00:00:00"/>
    <x v="0"/>
    <x v="1"/>
    <x v="1"/>
    <s v="Retail"/>
    <s v="Online"/>
    <x v="9"/>
    <x v="1"/>
    <n v="220000"/>
    <n v="3"/>
    <x v="1"/>
    <n v="176000"/>
    <n v="660000"/>
    <n v="528000"/>
    <n v="132000"/>
  </r>
  <r>
    <s v="ID_595"/>
    <d v="2025-04-19T00:00:00"/>
    <x v="1"/>
    <x v="0"/>
    <x v="2"/>
    <s v="Corporate"/>
    <s v="Online"/>
    <x v="9"/>
    <x v="1"/>
    <n v="220000"/>
    <n v="9"/>
    <x v="5"/>
    <n v="176000"/>
    <n v="1980000"/>
    <n v="1584000"/>
    <n v="396000"/>
  </r>
  <r>
    <s v="ID_1316"/>
    <d v="2025-01-07T00:00:00"/>
    <x v="0"/>
    <x v="1"/>
    <x v="2"/>
    <s v="Corporate"/>
    <s v="Store"/>
    <x v="2"/>
    <x v="1"/>
    <n v="60000"/>
    <n v="6"/>
    <x v="5"/>
    <n v="48000"/>
    <n v="360000"/>
    <n v="288000"/>
    <n v="72000"/>
  </r>
  <r>
    <s v="ID_1358"/>
    <d v="2025-02-04T00:00:00"/>
    <x v="2"/>
    <x v="3"/>
    <x v="2"/>
    <s v="Retail"/>
    <s v="Store"/>
    <x v="1"/>
    <x v="1"/>
    <n v="30000"/>
    <n v="10"/>
    <x v="3"/>
    <n v="24000"/>
    <n v="300000"/>
    <n v="240000"/>
    <n v="60000"/>
  </r>
  <r>
    <s v="ID_2063"/>
    <d v="2025-01-02T00:00:00"/>
    <x v="0"/>
    <x v="2"/>
    <x v="2"/>
    <s v="Corporate"/>
    <s v="Store"/>
    <x v="7"/>
    <x v="2"/>
    <n v="420000"/>
    <n v="8"/>
    <x v="5"/>
    <n v="336000"/>
    <n v="3360000"/>
    <n v="2688000"/>
    <n v="672000"/>
  </r>
  <r>
    <s v="ID_849"/>
    <d v="2025-03-26T00:00:00"/>
    <x v="3"/>
    <x v="2"/>
    <x v="2"/>
    <s v="Corporate"/>
    <s v="Online"/>
    <x v="2"/>
    <x v="1"/>
    <n v="60000"/>
    <n v="9"/>
    <x v="0"/>
    <n v="48000"/>
    <n v="540000"/>
    <n v="432000"/>
    <n v="108000"/>
  </r>
  <r>
    <s v="ID_1178"/>
    <d v="2025-01-18T00:00:00"/>
    <x v="0"/>
    <x v="1"/>
    <x v="2"/>
    <s v="Corporate"/>
    <s v="Online"/>
    <x v="8"/>
    <x v="2"/>
    <n v="250000"/>
    <n v="1"/>
    <x v="3"/>
    <n v="200000"/>
    <n v="250000"/>
    <n v="200000"/>
    <n v="50000"/>
  </r>
  <r>
    <s v="ID_553"/>
    <d v="2025-02-23T00:00:00"/>
    <x v="2"/>
    <x v="2"/>
    <x v="2"/>
    <s v="Retail"/>
    <s v="Online"/>
    <x v="2"/>
    <x v="1"/>
    <n v="60000"/>
    <n v="1"/>
    <x v="5"/>
    <n v="48000"/>
    <n v="60000"/>
    <n v="48000"/>
    <n v="12000"/>
  </r>
  <r>
    <s v="ID_40"/>
    <d v="2025-04-16T00:00:00"/>
    <x v="1"/>
    <x v="2"/>
    <x v="3"/>
    <s v="Retail"/>
    <s v="Online"/>
    <x v="7"/>
    <x v="2"/>
    <n v="420000"/>
    <n v="8"/>
    <x v="5"/>
    <n v="336000"/>
    <n v="3360000"/>
    <n v="2688000"/>
    <n v="672000"/>
  </r>
  <r>
    <s v="ID_152"/>
    <d v="2025-02-03T00:00:00"/>
    <x v="2"/>
    <x v="2"/>
    <x v="0"/>
    <s v="Corporate"/>
    <s v="Store"/>
    <x v="4"/>
    <x v="1"/>
    <n v="180000"/>
    <n v="4"/>
    <x v="5"/>
    <n v="144000"/>
    <n v="720000"/>
    <n v="576000"/>
    <n v="144000"/>
  </r>
  <r>
    <s v="ID_705"/>
    <d v="2025-03-17T00:00:00"/>
    <x v="3"/>
    <x v="1"/>
    <x v="2"/>
    <s v="Retail"/>
    <s v="Store"/>
    <x v="4"/>
    <x v="1"/>
    <n v="180000"/>
    <n v="7"/>
    <x v="5"/>
    <n v="144000"/>
    <n v="1260000"/>
    <n v="1008000"/>
    <n v="252000"/>
  </r>
  <r>
    <s v="ID_1963"/>
    <d v="2025-01-03T00:00:00"/>
    <x v="0"/>
    <x v="3"/>
    <x v="2"/>
    <s v="Retail"/>
    <s v="Online"/>
    <x v="1"/>
    <x v="1"/>
    <n v="30000"/>
    <n v="6"/>
    <x v="4"/>
    <n v="24000"/>
    <n v="180000"/>
    <n v="144000"/>
    <n v="36000"/>
  </r>
  <r>
    <s v="ID_769"/>
    <d v="2025-02-20T00:00:00"/>
    <x v="2"/>
    <x v="1"/>
    <x v="0"/>
    <s v="Retail"/>
    <s v="Online"/>
    <x v="4"/>
    <x v="1"/>
    <n v="180000"/>
    <n v="4"/>
    <x v="1"/>
    <n v="144000"/>
    <n v="720000"/>
    <n v="576000"/>
    <n v="144000"/>
  </r>
  <r>
    <s v="ID_1288"/>
    <d v="2025-04-25T00:00:00"/>
    <x v="1"/>
    <x v="1"/>
    <x v="3"/>
    <s v="Corporate"/>
    <s v="Store"/>
    <x v="3"/>
    <x v="2"/>
    <n v="300000"/>
    <n v="3"/>
    <x v="2"/>
    <n v="240000"/>
    <n v="900000"/>
    <n v="720000"/>
    <n v="180000"/>
  </r>
  <r>
    <s v="ID_1095"/>
    <d v="2025-01-21T00:00:00"/>
    <x v="0"/>
    <x v="0"/>
    <x v="1"/>
    <s v="Retail"/>
    <s v="Online"/>
    <x v="2"/>
    <x v="1"/>
    <n v="60000"/>
    <n v="3"/>
    <x v="0"/>
    <n v="48000"/>
    <n v="180000"/>
    <n v="144000"/>
    <n v="36000"/>
  </r>
  <r>
    <s v="ID_2019"/>
    <d v="2025-02-20T00:00:00"/>
    <x v="2"/>
    <x v="1"/>
    <x v="0"/>
    <s v="Corporate"/>
    <s v="Online"/>
    <x v="9"/>
    <x v="1"/>
    <n v="220000"/>
    <n v="1"/>
    <x v="2"/>
    <n v="176000"/>
    <n v="220000"/>
    <n v="176000"/>
    <n v="44000"/>
  </r>
  <r>
    <s v="ID_1665"/>
    <d v="2025-02-05T00:00:00"/>
    <x v="2"/>
    <x v="3"/>
    <x v="1"/>
    <s v="Retail"/>
    <s v="Online"/>
    <x v="3"/>
    <x v="2"/>
    <n v="300000"/>
    <n v="2"/>
    <x v="1"/>
    <n v="240000"/>
    <n v="600000"/>
    <n v="480000"/>
    <n v="120000"/>
  </r>
  <r>
    <s v="ID_1284"/>
    <d v="2025-03-05T00:00:00"/>
    <x v="3"/>
    <x v="2"/>
    <x v="2"/>
    <s v="Retail"/>
    <s v="Online"/>
    <x v="6"/>
    <x v="2"/>
    <n v="150000"/>
    <n v="3"/>
    <x v="1"/>
    <n v="120000"/>
    <n v="450000"/>
    <n v="360000"/>
    <n v="90000"/>
  </r>
  <r>
    <s v="ID_948"/>
    <d v="2025-02-04T00:00:00"/>
    <x v="2"/>
    <x v="3"/>
    <x v="1"/>
    <s v="Corporate"/>
    <s v="Online"/>
    <x v="0"/>
    <x v="0"/>
    <n v="85000"/>
    <n v="1"/>
    <x v="1"/>
    <n v="68000"/>
    <n v="85000"/>
    <n v="68000"/>
    <n v="17000"/>
  </r>
  <r>
    <s v="ID_972"/>
    <d v="2025-01-02T00:00:00"/>
    <x v="0"/>
    <x v="2"/>
    <x v="1"/>
    <s v="Retail"/>
    <s v="Store"/>
    <x v="1"/>
    <x v="1"/>
    <n v="30000"/>
    <n v="6"/>
    <x v="0"/>
    <n v="24000"/>
    <n v="180000"/>
    <n v="144000"/>
    <n v="36000"/>
  </r>
  <r>
    <s v="ID_999"/>
    <d v="2025-03-02T00:00:00"/>
    <x v="3"/>
    <x v="0"/>
    <x v="2"/>
    <s v="Corporate"/>
    <s v="Online"/>
    <x v="6"/>
    <x v="2"/>
    <n v="150000"/>
    <n v="5"/>
    <x v="2"/>
    <n v="120000"/>
    <n v="750000"/>
    <n v="600000"/>
    <n v="150000"/>
  </r>
  <r>
    <s v="ID_1291"/>
    <d v="2025-04-19T00:00:00"/>
    <x v="1"/>
    <x v="0"/>
    <x v="1"/>
    <s v="Retail"/>
    <s v="Store"/>
    <x v="1"/>
    <x v="1"/>
    <n v="30000"/>
    <n v="5"/>
    <x v="4"/>
    <n v="24000"/>
    <n v="150000"/>
    <n v="120000"/>
    <n v="30000"/>
  </r>
  <r>
    <s v="ID_1803"/>
    <d v="2025-04-12T00:00:00"/>
    <x v="1"/>
    <x v="1"/>
    <x v="1"/>
    <s v="Retail"/>
    <s v="Store"/>
    <x v="4"/>
    <x v="1"/>
    <n v="180000"/>
    <n v="9"/>
    <x v="5"/>
    <n v="144000"/>
    <n v="1620000"/>
    <n v="1296000"/>
    <n v="324000"/>
  </r>
  <r>
    <s v="ID_1340"/>
    <d v="2025-02-05T00:00:00"/>
    <x v="2"/>
    <x v="3"/>
    <x v="2"/>
    <s v="Corporate"/>
    <s v="Store"/>
    <x v="2"/>
    <x v="1"/>
    <n v="60000"/>
    <n v="6"/>
    <x v="2"/>
    <n v="48000"/>
    <n v="360000"/>
    <n v="288000"/>
    <n v="72000"/>
  </r>
  <r>
    <s v="ID_876"/>
    <d v="2025-03-19T00:00:00"/>
    <x v="3"/>
    <x v="3"/>
    <x v="1"/>
    <s v="Retail"/>
    <s v="Store"/>
    <x v="8"/>
    <x v="2"/>
    <n v="250000"/>
    <n v="10"/>
    <x v="1"/>
    <n v="200000"/>
    <n v="2500000"/>
    <n v="2000000"/>
    <n v="500000"/>
  </r>
  <r>
    <s v="ID_1776"/>
    <d v="2025-02-04T00:00:00"/>
    <x v="2"/>
    <x v="2"/>
    <x v="2"/>
    <s v="Retail"/>
    <s v="Store"/>
    <x v="7"/>
    <x v="2"/>
    <n v="420000"/>
    <n v="3"/>
    <x v="1"/>
    <n v="336000"/>
    <n v="1260000"/>
    <n v="1008000"/>
    <n v="252000"/>
  </r>
  <r>
    <s v="ID_1320"/>
    <d v="2025-01-12T00:00:00"/>
    <x v="0"/>
    <x v="3"/>
    <x v="0"/>
    <s v="Corporate"/>
    <s v="Store"/>
    <x v="6"/>
    <x v="2"/>
    <n v="150000"/>
    <n v="3"/>
    <x v="1"/>
    <n v="120000"/>
    <n v="450000"/>
    <n v="360000"/>
    <n v="90000"/>
  </r>
  <r>
    <s v="ID_1251"/>
    <d v="2025-03-31T00:00:00"/>
    <x v="3"/>
    <x v="2"/>
    <x v="3"/>
    <s v="Corporate"/>
    <s v="Store"/>
    <x v="9"/>
    <x v="1"/>
    <n v="220000"/>
    <n v="4"/>
    <x v="1"/>
    <n v="176000"/>
    <n v="880000"/>
    <n v="704000"/>
    <n v="176000"/>
  </r>
  <r>
    <s v="ID_293"/>
    <d v="2025-01-01T00:00:00"/>
    <x v="0"/>
    <x v="2"/>
    <x v="1"/>
    <s v="Corporate"/>
    <s v="Store"/>
    <x v="0"/>
    <x v="0"/>
    <n v="85000"/>
    <n v="10"/>
    <x v="1"/>
    <n v="68000"/>
    <n v="850000"/>
    <n v="680000"/>
    <n v="170000"/>
  </r>
  <r>
    <s v="ID_126"/>
    <d v="2025-03-20T00:00:00"/>
    <x v="3"/>
    <x v="3"/>
    <x v="2"/>
    <s v="Retail"/>
    <s v="Store"/>
    <x v="3"/>
    <x v="2"/>
    <n v="300000"/>
    <n v="6"/>
    <x v="5"/>
    <n v="240000"/>
    <n v="1800000"/>
    <n v="1440000"/>
    <n v="360000"/>
  </r>
  <r>
    <s v="ID_1392"/>
    <d v="2025-02-25T00:00:00"/>
    <x v="2"/>
    <x v="0"/>
    <x v="0"/>
    <s v="Retail"/>
    <s v="Online"/>
    <x v="3"/>
    <x v="2"/>
    <n v="300000"/>
    <n v="8"/>
    <x v="4"/>
    <n v="240000"/>
    <n v="2400000"/>
    <n v="1920000"/>
    <n v="480000"/>
  </r>
  <r>
    <s v="ID_132"/>
    <d v="2025-02-03T00:00:00"/>
    <x v="2"/>
    <x v="2"/>
    <x v="3"/>
    <s v="Corporate"/>
    <s v="Store"/>
    <x v="5"/>
    <x v="0"/>
    <n v="320000"/>
    <n v="4"/>
    <x v="2"/>
    <n v="256000"/>
    <n v="1280000"/>
    <n v="1024000"/>
    <n v="256000"/>
  </r>
  <r>
    <s v="ID_1267"/>
    <d v="2025-04-06T00:00:00"/>
    <x v="1"/>
    <x v="2"/>
    <x v="1"/>
    <s v="Corporate"/>
    <s v="Online"/>
    <x v="4"/>
    <x v="1"/>
    <n v="180000"/>
    <n v="5"/>
    <x v="5"/>
    <n v="144000"/>
    <n v="900000"/>
    <n v="720000"/>
    <n v="180000"/>
  </r>
  <r>
    <s v="ID_274"/>
    <d v="2025-01-01T00:00:00"/>
    <x v="0"/>
    <x v="0"/>
    <x v="0"/>
    <s v="Retail"/>
    <s v="Store"/>
    <x v="4"/>
    <x v="1"/>
    <n v="180000"/>
    <n v="6"/>
    <x v="3"/>
    <n v="144000"/>
    <n v="1080000"/>
    <n v="864000"/>
    <n v="216000"/>
  </r>
  <r>
    <s v="ID_682"/>
    <d v="2025-03-15T00:00:00"/>
    <x v="3"/>
    <x v="1"/>
    <x v="2"/>
    <s v="Corporate"/>
    <s v="Store"/>
    <x v="6"/>
    <x v="2"/>
    <n v="150000"/>
    <n v="9"/>
    <x v="2"/>
    <n v="120000"/>
    <n v="1350000"/>
    <n v="1080000"/>
    <n v="270000"/>
  </r>
  <r>
    <s v="ID_1039"/>
    <d v="2025-01-31T00:00:00"/>
    <x v="0"/>
    <x v="0"/>
    <x v="0"/>
    <s v="Retail"/>
    <s v="Online"/>
    <x v="6"/>
    <x v="2"/>
    <n v="150000"/>
    <n v="1"/>
    <x v="3"/>
    <n v="120000"/>
    <n v="150000"/>
    <n v="120000"/>
    <n v="30000"/>
  </r>
  <r>
    <s v="ID_1704"/>
    <d v="2025-01-12T00:00:00"/>
    <x v="0"/>
    <x v="1"/>
    <x v="2"/>
    <s v="Retail"/>
    <s v="Online"/>
    <x v="4"/>
    <x v="1"/>
    <n v="180000"/>
    <n v="8"/>
    <x v="3"/>
    <n v="144000"/>
    <n v="1440000"/>
    <n v="1152000"/>
    <n v="288000"/>
  </r>
  <r>
    <s v="ID_136"/>
    <d v="2025-03-11T00:00:00"/>
    <x v="3"/>
    <x v="0"/>
    <x v="0"/>
    <s v="Retail"/>
    <s v="Store"/>
    <x v="4"/>
    <x v="1"/>
    <n v="180000"/>
    <n v="6"/>
    <x v="2"/>
    <n v="144000"/>
    <n v="1080000"/>
    <n v="864000"/>
    <n v="216000"/>
  </r>
  <r>
    <s v="ID_1045"/>
    <d v="2025-04-11T00:00:00"/>
    <x v="1"/>
    <x v="3"/>
    <x v="3"/>
    <s v="Corporate"/>
    <s v="Online"/>
    <x v="4"/>
    <x v="1"/>
    <n v="180000"/>
    <n v="3"/>
    <x v="4"/>
    <n v="144000"/>
    <n v="540000"/>
    <n v="432000"/>
    <n v="108000"/>
  </r>
  <r>
    <s v="ID_2098"/>
    <d v="2025-03-14T00:00:00"/>
    <x v="3"/>
    <x v="3"/>
    <x v="2"/>
    <s v="Retail"/>
    <s v="Online"/>
    <x v="6"/>
    <x v="2"/>
    <n v="150000"/>
    <n v="10"/>
    <x v="0"/>
    <n v="120000"/>
    <n v="1500000"/>
    <n v="1200000"/>
    <n v="300000"/>
  </r>
  <r>
    <s v="ID_226"/>
    <d v="2025-04-12T00:00:00"/>
    <x v="1"/>
    <x v="2"/>
    <x v="2"/>
    <s v="Retail"/>
    <s v="Store"/>
    <x v="4"/>
    <x v="1"/>
    <n v="180000"/>
    <n v="8"/>
    <x v="4"/>
    <n v="144000"/>
    <n v="1440000"/>
    <n v="1152000"/>
    <n v="288000"/>
  </r>
  <r>
    <s v="ID_666"/>
    <d v="2025-02-20T00:00:00"/>
    <x v="2"/>
    <x v="0"/>
    <x v="2"/>
    <s v="Retail"/>
    <s v="Store"/>
    <x v="3"/>
    <x v="2"/>
    <n v="300000"/>
    <n v="8"/>
    <x v="2"/>
    <n v="240000"/>
    <n v="2400000"/>
    <n v="1920000"/>
    <n v="480000"/>
  </r>
  <r>
    <s v="ID_1683"/>
    <d v="2025-02-05T00:00:00"/>
    <x v="2"/>
    <x v="0"/>
    <x v="2"/>
    <s v="Retail"/>
    <s v="Store"/>
    <x v="5"/>
    <x v="0"/>
    <n v="320000"/>
    <n v="9"/>
    <x v="3"/>
    <n v="256000"/>
    <n v="2880000"/>
    <n v="2304000"/>
    <n v="576000"/>
  </r>
  <r>
    <s v="ID_1920"/>
    <d v="2025-01-18T00:00:00"/>
    <x v="0"/>
    <x v="2"/>
    <x v="2"/>
    <s v="Retail"/>
    <s v="Online"/>
    <x v="5"/>
    <x v="0"/>
    <n v="320000"/>
    <n v="7"/>
    <x v="5"/>
    <n v="256000"/>
    <n v="2240000"/>
    <n v="1792000"/>
    <n v="448000"/>
  </r>
  <r>
    <s v="ID_932"/>
    <d v="2025-04-26T00:00:00"/>
    <x v="1"/>
    <x v="1"/>
    <x v="3"/>
    <s v="Retail"/>
    <s v="Online"/>
    <x v="6"/>
    <x v="2"/>
    <n v="150000"/>
    <n v="7"/>
    <x v="1"/>
    <n v="120000"/>
    <n v="1050000"/>
    <n v="840000"/>
    <n v="210000"/>
  </r>
  <r>
    <s v="ID_522"/>
    <d v="2025-01-21T00:00:00"/>
    <x v="0"/>
    <x v="1"/>
    <x v="3"/>
    <s v="Retail"/>
    <s v="Store"/>
    <x v="9"/>
    <x v="1"/>
    <n v="220000"/>
    <n v="6"/>
    <x v="5"/>
    <n v="176000"/>
    <n v="1320000"/>
    <n v="1056000"/>
    <n v="264000"/>
  </r>
  <r>
    <s v="ID_219"/>
    <d v="2025-03-16T00:00:00"/>
    <x v="3"/>
    <x v="3"/>
    <x v="1"/>
    <s v="Retail"/>
    <s v="Online"/>
    <x v="8"/>
    <x v="2"/>
    <n v="250000"/>
    <n v="1"/>
    <x v="3"/>
    <n v="200000"/>
    <n v="250000"/>
    <n v="200000"/>
    <n v="50000"/>
  </r>
  <r>
    <s v="ID_1886"/>
    <d v="2025-03-18T00:00:00"/>
    <x v="3"/>
    <x v="0"/>
    <x v="1"/>
    <s v="Retail"/>
    <s v="Online"/>
    <x v="2"/>
    <x v="1"/>
    <n v="60000"/>
    <n v="4"/>
    <x v="1"/>
    <n v="48000"/>
    <n v="240000"/>
    <n v="192000"/>
    <n v="48000"/>
  </r>
  <r>
    <s v="ID_1134"/>
    <d v="2025-01-02T00:00:00"/>
    <x v="0"/>
    <x v="3"/>
    <x v="1"/>
    <s v="Retail"/>
    <s v="Online"/>
    <x v="0"/>
    <x v="0"/>
    <n v="85000"/>
    <n v="9"/>
    <x v="1"/>
    <n v="68000"/>
    <n v="765000"/>
    <n v="612000"/>
    <n v="153000"/>
  </r>
  <r>
    <s v="ID_1882"/>
    <d v="2025-03-02T00:00:00"/>
    <x v="3"/>
    <x v="0"/>
    <x v="0"/>
    <s v="Retail"/>
    <s v="Online"/>
    <x v="4"/>
    <x v="1"/>
    <n v="180000"/>
    <n v="5"/>
    <x v="0"/>
    <n v="144000"/>
    <n v="900000"/>
    <n v="720000"/>
    <n v="180000"/>
  </r>
  <r>
    <s v="ID_876"/>
    <d v="2025-01-24T00:00:00"/>
    <x v="0"/>
    <x v="0"/>
    <x v="1"/>
    <s v="Retail"/>
    <s v="Store"/>
    <x v="6"/>
    <x v="2"/>
    <n v="150000"/>
    <n v="4"/>
    <x v="0"/>
    <n v="120000"/>
    <n v="600000"/>
    <n v="480000"/>
    <n v="120000"/>
  </r>
  <r>
    <s v="ID_618"/>
    <d v="2025-02-15T00:00:00"/>
    <x v="2"/>
    <x v="3"/>
    <x v="1"/>
    <s v="Retail"/>
    <s v="Online"/>
    <x v="6"/>
    <x v="2"/>
    <n v="150000"/>
    <n v="4"/>
    <x v="2"/>
    <n v="120000"/>
    <n v="600000"/>
    <n v="480000"/>
    <n v="120000"/>
  </r>
  <r>
    <s v="ID_1015"/>
    <d v="2025-04-16T00:00:00"/>
    <x v="1"/>
    <x v="1"/>
    <x v="1"/>
    <s v="Corporate"/>
    <s v="Online"/>
    <x v="1"/>
    <x v="1"/>
    <n v="30000"/>
    <n v="2"/>
    <x v="2"/>
    <n v="24000"/>
    <n v="60000"/>
    <n v="48000"/>
    <n v="12000"/>
  </r>
  <r>
    <s v="ID_313"/>
    <d v="2025-04-24T00:00:00"/>
    <x v="1"/>
    <x v="2"/>
    <x v="3"/>
    <s v="Corporate"/>
    <s v="Online"/>
    <x v="4"/>
    <x v="1"/>
    <n v="180000"/>
    <n v="6"/>
    <x v="4"/>
    <n v="144000"/>
    <n v="1080000"/>
    <n v="864000"/>
    <n v="216000"/>
  </r>
  <r>
    <s v="ID_513"/>
    <d v="2025-04-10T00:00:00"/>
    <x v="1"/>
    <x v="3"/>
    <x v="2"/>
    <s v="Corporate"/>
    <s v="Store"/>
    <x v="2"/>
    <x v="1"/>
    <n v="60000"/>
    <n v="9"/>
    <x v="5"/>
    <n v="48000"/>
    <n v="540000"/>
    <n v="432000"/>
    <n v="108000"/>
  </r>
  <r>
    <s v="ID_1026"/>
    <d v="2025-03-03T00:00:00"/>
    <x v="3"/>
    <x v="2"/>
    <x v="0"/>
    <s v="Retail"/>
    <s v="Online"/>
    <x v="6"/>
    <x v="2"/>
    <n v="150000"/>
    <n v="3"/>
    <x v="1"/>
    <n v="120000"/>
    <n v="450000"/>
    <n v="360000"/>
    <n v="90000"/>
  </r>
  <r>
    <s v="ID_1654"/>
    <d v="2025-04-18T00:00:00"/>
    <x v="1"/>
    <x v="3"/>
    <x v="1"/>
    <s v="Retail"/>
    <s v="Online"/>
    <x v="0"/>
    <x v="0"/>
    <n v="85000"/>
    <n v="3"/>
    <x v="2"/>
    <n v="68000"/>
    <n v="255000"/>
    <n v="204000"/>
    <n v="51000"/>
  </r>
  <r>
    <s v="ID_293"/>
    <d v="2025-04-03T00:00:00"/>
    <x v="1"/>
    <x v="1"/>
    <x v="0"/>
    <s v="Corporate"/>
    <s v="Store"/>
    <x v="1"/>
    <x v="1"/>
    <n v="30000"/>
    <n v="3"/>
    <x v="3"/>
    <n v="24000"/>
    <n v="90000"/>
    <n v="72000"/>
    <n v="18000"/>
  </r>
  <r>
    <s v="ID_1233"/>
    <d v="2025-03-08T00:00:00"/>
    <x v="3"/>
    <x v="1"/>
    <x v="2"/>
    <s v="Corporate"/>
    <s v="Online"/>
    <x v="0"/>
    <x v="0"/>
    <n v="85000"/>
    <n v="2"/>
    <x v="0"/>
    <n v="68000"/>
    <n v="170000"/>
    <n v="136000"/>
    <n v="34000"/>
  </r>
  <r>
    <s v="ID_616"/>
    <d v="2025-01-10T00:00:00"/>
    <x v="0"/>
    <x v="0"/>
    <x v="3"/>
    <s v="Corporate"/>
    <s v="Online"/>
    <x v="1"/>
    <x v="1"/>
    <n v="30000"/>
    <n v="6"/>
    <x v="0"/>
    <n v="24000"/>
    <n v="180000"/>
    <n v="144000"/>
    <n v="36000"/>
  </r>
  <r>
    <s v="ID_1027"/>
    <d v="2025-04-28T00:00:00"/>
    <x v="1"/>
    <x v="0"/>
    <x v="3"/>
    <s v="Corporate"/>
    <s v="Online"/>
    <x v="5"/>
    <x v="0"/>
    <n v="320000"/>
    <n v="1"/>
    <x v="0"/>
    <n v="256000"/>
    <n v="320000"/>
    <n v="256000"/>
    <n v="64000"/>
  </r>
  <r>
    <s v="ID_1583"/>
    <d v="2025-04-19T00:00:00"/>
    <x v="1"/>
    <x v="2"/>
    <x v="1"/>
    <s v="Retail"/>
    <s v="Store"/>
    <x v="7"/>
    <x v="2"/>
    <n v="420000"/>
    <n v="5"/>
    <x v="4"/>
    <n v="336000"/>
    <n v="2100000"/>
    <n v="1680000"/>
    <n v="420000"/>
  </r>
  <r>
    <s v="ID_997"/>
    <d v="2025-04-02T00:00:00"/>
    <x v="1"/>
    <x v="0"/>
    <x v="3"/>
    <s v="Retail"/>
    <s v="Store"/>
    <x v="1"/>
    <x v="1"/>
    <n v="30000"/>
    <n v="9"/>
    <x v="5"/>
    <n v="24000"/>
    <n v="270000"/>
    <n v="216000"/>
    <n v="54000"/>
  </r>
  <r>
    <s v="ID_947"/>
    <d v="2025-01-18T00:00:00"/>
    <x v="0"/>
    <x v="2"/>
    <x v="3"/>
    <s v="Retail"/>
    <s v="Online"/>
    <x v="2"/>
    <x v="1"/>
    <n v="60000"/>
    <n v="8"/>
    <x v="4"/>
    <n v="48000"/>
    <n v="480000"/>
    <n v="384000"/>
    <n v="96000"/>
  </r>
  <r>
    <s v="ID_1792"/>
    <d v="2025-01-10T00:00:00"/>
    <x v="0"/>
    <x v="0"/>
    <x v="2"/>
    <s v="Retail"/>
    <s v="Online"/>
    <x v="3"/>
    <x v="2"/>
    <n v="300000"/>
    <n v="2"/>
    <x v="2"/>
    <n v="240000"/>
    <n v="600000"/>
    <n v="480000"/>
    <n v="120000"/>
  </r>
  <r>
    <s v="ID_737"/>
    <d v="2025-03-16T00:00:00"/>
    <x v="3"/>
    <x v="2"/>
    <x v="0"/>
    <s v="Retail"/>
    <s v="Online"/>
    <x v="9"/>
    <x v="1"/>
    <n v="220000"/>
    <n v="7"/>
    <x v="2"/>
    <n v="176000"/>
    <n v="1540000"/>
    <n v="1232000"/>
    <n v="308000"/>
  </r>
  <r>
    <s v="ID_1635"/>
    <d v="2025-02-08T00:00:00"/>
    <x v="2"/>
    <x v="3"/>
    <x v="1"/>
    <s v="Corporate"/>
    <s v="Store"/>
    <x v="3"/>
    <x v="2"/>
    <n v="300000"/>
    <n v="8"/>
    <x v="0"/>
    <n v="240000"/>
    <n v="2400000"/>
    <n v="1920000"/>
    <n v="480000"/>
  </r>
  <r>
    <s v="ID_1105"/>
    <d v="2025-02-12T00:00:00"/>
    <x v="2"/>
    <x v="1"/>
    <x v="1"/>
    <s v="Corporate"/>
    <s v="Store"/>
    <x v="7"/>
    <x v="2"/>
    <n v="420000"/>
    <n v="10"/>
    <x v="3"/>
    <n v="336000"/>
    <n v="4200000"/>
    <n v="3360000"/>
    <n v="840000"/>
  </r>
  <r>
    <s v="ID_979"/>
    <d v="2025-04-10T00:00:00"/>
    <x v="1"/>
    <x v="1"/>
    <x v="3"/>
    <s v="Corporate"/>
    <s v="Online"/>
    <x v="3"/>
    <x v="2"/>
    <n v="300000"/>
    <n v="2"/>
    <x v="3"/>
    <n v="240000"/>
    <n v="600000"/>
    <n v="480000"/>
    <n v="120000"/>
  </r>
  <r>
    <s v="ID_411"/>
    <d v="2025-02-07T00:00:00"/>
    <x v="2"/>
    <x v="1"/>
    <x v="1"/>
    <s v="Corporate"/>
    <s v="Online"/>
    <x v="9"/>
    <x v="1"/>
    <n v="220000"/>
    <n v="3"/>
    <x v="2"/>
    <n v="176000"/>
    <n v="660000"/>
    <n v="528000"/>
    <n v="132000"/>
  </r>
  <r>
    <s v="ID_617"/>
    <d v="2025-02-03T00:00:00"/>
    <x v="2"/>
    <x v="1"/>
    <x v="2"/>
    <s v="Corporate"/>
    <s v="Store"/>
    <x v="0"/>
    <x v="0"/>
    <n v="85000"/>
    <n v="6"/>
    <x v="1"/>
    <n v="68000"/>
    <n v="510000"/>
    <n v="408000"/>
    <n v="102000"/>
  </r>
  <r>
    <s v="ID_1998"/>
    <d v="2025-02-24T00:00:00"/>
    <x v="2"/>
    <x v="3"/>
    <x v="3"/>
    <s v="Corporate"/>
    <s v="Online"/>
    <x v="5"/>
    <x v="0"/>
    <n v="320000"/>
    <n v="10"/>
    <x v="5"/>
    <n v="256000"/>
    <n v="3200000"/>
    <n v="2560000"/>
    <n v="640000"/>
  </r>
  <r>
    <s v="ID_2062"/>
    <d v="2025-01-03T00:00:00"/>
    <x v="0"/>
    <x v="1"/>
    <x v="0"/>
    <s v="Corporate"/>
    <s v="Online"/>
    <x v="3"/>
    <x v="2"/>
    <n v="300000"/>
    <n v="2"/>
    <x v="1"/>
    <n v="240000"/>
    <n v="600000"/>
    <n v="480000"/>
    <n v="120000"/>
  </r>
  <r>
    <s v="ID_430"/>
    <d v="2025-03-19T00:00:00"/>
    <x v="3"/>
    <x v="2"/>
    <x v="0"/>
    <s v="Corporate"/>
    <s v="Store"/>
    <x v="1"/>
    <x v="1"/>
    <n v="30000"/>
    <n v="6"/>
    <x v="5"/>
    <n v="24000"/>
    <n v="180000"/>
    <n v="144000"/>
    <n v="36000"/>
  </r>
  <r>
    <s v="ID_297"/>
    <d v="2025-02-14T00:00:00"/>
    <x v="2"/>
    <x v="2"/>
    <x v="0"/>
    <s v="Corporate"/>
    <s v="Store"/>
    <x v="2"/>
    <x v="1"/>
    <n v="60000"/>
    <n v="2"/>
    <x v="2"/>
    <n v="48000"/>
    <n v="120000"/>
    <n v="96000"/>
    <n v="24000"/>
  </r>
  <r>
    <s v="ID_1208"/>
    <d v="2025-01-03T00:00:00"/>
    <x v="0"/>
    <x v="3"/>
    <x v="2"/>
    <s v="Retail"/>
    <s v="Online"/>
    <x v="9"/>
    <x v="1"/>
    <n v="220000"/>
    <n v="5"/>
    <x v="0"/>
    <n v="176000"/>
    <n v="1100000"/>
    <n v="880000"/>
    <n v="220000"/>
  </r>
  <r>
    <s v="ID_884"/>
    <d v="2025-02-05T00:00:00"/>
    <x v="2"/>
    <x v="0"/>
    <x v="3"/>
    <s v="Retail"/>
    <s v="Store"/>
    <x v="4"/>
    <x v="1"/>
    <n v="180000"/>
    <n v="6"/>
    <x v="5"/>
    <n v="144000"/>
    <n v="1080000"/>
    <n v="864000"/>
    <n v="216000"/>
  </r>
  <r>
    <s v="ID_737"/>
    <d v="2025-04-15T00:00:00"/>
    <x v="1"/>
    <x v="3"/>
    <x v="0"/>
    <s v="Retail"/>
    <s v="Online"/>
    <x v="8"/>
    <x v="2"/>
    <n v="250000"/>
    <n v="4"/>
    <x v="3"/>
    <n v="200000"/>
    <n v="1000000"/>
    <n v="800000"/>
    <n v="200000"/>
  </r>
  <r>
    <s v="ID_367"/>
    <d v="2025-03-09T00:00:00"/>
    <x v="3"/>
    <x v="3"/>
    <x v="2"/>
    <s v="Corporate"/>
    <s v="Online"/>
    <x v="0"/>
    <x v="0"/>
    <n v="85000"/>
    <n v="10"/>
    <x v="1"/>
    <n v="68000"/>
    <n v="850000"/>
    <n v="680000"/>
    <n v="170000"/>
  </r>
  <r>
    <s v="ID_1914"/>
    <d v="2025-03-18T00:00:00"/>
    <x v="3"/>
    <x v="0"/>
    <x v="1"/>
    <s v="Retail"/>
    <s v="Online"/>
    <x v="3"/>
    <x v="2"/>
    <n v="300000"/>
    <n v="6"/>
    <x v="1"/>
    <n v="240000"/>
    <n v="1800000"/>
    <n v="1440000"/>
    <n v="360000"/>
  </r>
  <r>
    <s v="ID_1764"/>
    <d v="2025-01-15T00:00:00"/>
    <x v="0"/>
    <x v="3"/>
    <x v="1"/>
    <s v="Corporate"/>
    <s v="Store"/>
    <x v="9"/>
    <x v="1"/>
    <n v="220000"/>
    <n v="3"/>
    <x v="0"/>
    <n v="176000"/>
    <n v="660000"/>
    <n v="528000"/>
    <n v="132000"/>
  </r>
  <r>
    <s v="ID_329"/>
    <d v="2025-01-06T00:00:00"/>
    <x v="0"/>
    <x v="3"/>
    <x v="2"/>
    <s v="Retail"/>
    <s v="Store"/>
    <x v="1"/>
    <x v="1"/>
    <n v="30000"/>
    <n v="8"/>
    <x v="5"/>
    <n v="24000"/>
    <n v="240000"/>
    <n v="192000"/>
    <n v="48000"/>
  </r>
  <r>
    <s v="ID_1728"/>
    <d v="2025-03-11T00:00:00"/>
    <x v="3"/>
    <x v="3"/>
    <x v="0"/>
    <s v="Corporate"/>
    <s v="Online"/>
    <x v="0"/>
    <x v="0"/>
    <n v="85000"/>
    <n v="2"/>
    <x v="0"/>
    <n v="68000"/>
    <n v="170000"/>
    <n v="136000"/>
    <n v="34000"/>
  </r>
  <r>
    <s v="ID_814"/>
    <d v="2025-02-01T00:00:00"/>
    <x v="2"/>
    <x v="2"/>
    <x v="3"/>
    <s v="Retail"/>
    <s v="Store"/>
    <x v="6"/>
    <x v="2"/>
    <n v="150000"/>
    <n v="3"/>
    <x v="3"/>
    <n v="120000"/>
    <n v="450000"/>
    <n v="360000"/>
    <n v="90000"/>
  </r>
  <r>
    <s v="ID_906"/>
    <d v="2025-03-26T00:00:00"/>
    <x v="3"/>
    <x v="1"/>
    <x v="3"/>
    <s v="Retail"/>
    <s v="Store"/>
    <x v="0"/>
    <x v="0"/>
    <n v="85000"/>
    <n v="1"/>
    <x v="4"/>
    <n v="68000"/>
    <n v="85000"/>
    <n v="68000"/>
    <n v="17000"/>
  </r>
  <r>
    <s v="ID_148"/>
    <d v="2025-02-24T00:00:00"/>
    <x v="2"/>
    <x v="2"/>
    <x v="0"/>
    <s v="Corporate"/>
    <s v="Store"/>
    <x v="8"/>
    <x v="2"/>
    <n v="250000"/>
    <n v="3"/>
    <x v="5"/>
    <n v="200000"/>
    <n v="750000"/>
    <n v="600000"/>
    <n v="150000"/>
  </r>
  <r>
    <s v="ID_72"/>
    <d v="2025-04-01T00:00:00"/>
    <x v="1"/>
    <x v="1"/>
    <x v="0"/>
    <s v="Corporate"/>
    <s v="Store"/>
    <x v="7"/>
    <x v="2"/>
    <n v="420000"/>
    <n v="2"/>
    <x v="0"/>
    <n v="336000"/>
    <n v="840000"/>
    <n v="672000"/>
    <n v="168000"/>
  </r>
  <r>
    <s v="ID_585"/>
    <d v="2025-03-08T00:00:00"/>
    <x v="3"/>
    <x v="0"/>
    <x v="2"/>
    <s v="Retail"/>
    <s v="Online"/>
    <x v="6"/>
    <x v="2"/>
    <n v="150000"/>
    <n v="9"/>
    <x v="2"/>
    <n v="120000"/>
    <n v="1350000"/>
    <n v="1080000"/>
    <n v="270000"/>
  </r>
  <r>
    <s v="ID_140"/>
    <d v="2025-01-16T00:00:00"/>
    <x v="0"/>
    <x v="3"/>
    <x v="3"/>
    <s v="Retail"/>
    <s v="Store"/>
    <x v="1"/>
    <x v="1"/>
    <n v="30000"/>
    <n v="9"/>
    <x v="1"/>
    <n v="24000"/>
    <n v="270000"/>
    <n v="216000"/>
    <n v="54000"/>
  </r>
  <r>
    <s v="ID_809"/>
    <d v="2025-04-03T00:00:00"/>
    <x v="1"/>
    <x v="1"/>
    <x v="1"/>
    <s v="Corporate"/>
    <s v="Store"/>
    <x v="9"/>
    <x v="1"/>
    <n v="220000"/>
    <n v="6"/>
    <x v="5"/>
    <n v="176000"/>
    <n v="1320000"/>
    <n v="1056000"/>
    <n v="264000"/>
  </r>
  <r>
    <s v="ID_1180"/>
    <d v="2025-04-02T00:00:00"/>
    <x v="1"/>
    <x v="3"/>
    <x v="2"/>
    <s v="Corporate"/>
    <s v="Store"/>
    <x v="1"/>
    <x v="1"/>
    <n v="30000"/>
    <n v="3"/>
    <x v="5"/>
    <n v="24000"/>
    <n v="90000"/>
    <n v="72000"/>
    <n v="18000"/>
  </r>
  <r>
    <s v="ID_884"/>
    <d v="2025-02-01T00:00:00"/>
    <x v="2"/>
    <x v="0"/>
    <x v="2"/>
    <s v="Retail"/>
    <s v="Online"/>
    <x v="7"/>
    <x v="2"/>
    <n v="420000"/>
    <n v="10"/>
    <x v="1"/>
    <n v="336000"/>
    <n v="4200000"/>
    <n v="3360000"/>
    <n v="840000"/>
  </r>
  <r>
    <s v="ID_1583"/>
    <d v="2025-04-12T00:00:00"/>
    <x v="1"/>
    <x v="3"/>
    <x v="3"/>
    <s v="Corporate"/>
    <s v="Online"/>
    <x v="1"/>
    <x v="1"/>
    <n v="30000"/>
    <n v="2"/>
    <x v="4"/>
    <n v="24000"/>
    <n v="60000"/>
    <n v="48000"/>
    <n v="12000"/>
  </r>
  <r>
    <s v="ID_632"/>
    <d v="2025-02-03T00:00:00"/>
    <x v="2"/>
    <x v="1"/>
    <x v="0"/>
    <s v="Corporate"/>
    <s v="Store"/>
    <x v="6"/>
    <x v="2"/>
    <n v="150000"/>
    <n v="5"/>
    <x v="1"/>
    <n v="120000"/>
    <n v="750000"/>
    <n v="600000"/>
    <n v="150000"/>
  </r>
  <r>
    <s v="ID_988"/>
    <d v="2025-04-16T00:00:00"/>
    <x v="1"/>
    <x v="2"/>
    <x v="3"/>
    <s v="Retail"/>
    <s v="Store"/>
    <x v="6"/>
    <x v="2"/>
    <n v="150000"/>
    <n v="10"/>
    <x v="4"/>
    <n v="120000"/>
    <n v="1500000"/>
    <n v="1200000"/>
    <n v="300000"/>
  </r>
  <r>
    <s v="ID_770"/>
    <d v="2025-01-11T00:00:00"/>
    <x v="0"/>
    <x v="0"/>
    <x v="3"/>
    <s v="Corporate"/>
    <s v="Online"/>
    <x v="4"/>
    <x v="1"/>
    <n v="180000"/>
    <n v="3"/>
    <x v="1"/>
    <n v="144000"/>
    <n v="540000"/>
    <n v="432000"/>
    <n v="108000"/>
  </r>
  <r>
    <s v="ID_557"/>
    <d v="2025-02-02T00:00:00"/>
    <x v="2"/>
    <x v="1"/>
    <x v="2"/>
    <s v="Corporate"/>
    <s v="Online"/>
    <x v="1"/>
    <x v="1"/>
    <n v="30000"/>
    <n v="10"/>
    <x v="2"/>
    <n v="24000"/>
    <n v="300000"/>
    <n v="240000"/>
    <n v="60000"/>
  </r>
  <r>
    <s v="ID_1410"/>
    <d v="2025-01-04T00:00:00"/>
    <x v="0"/>
    <x v="1"/>
    <x v="0"/>
    <s v="Retail"/>
    <s v="Online"/>
    <x v="7"/>
    <x v="2"/>
    <n v="420000"/>
    <n v="2"/>
    <x v="2"/>
    <n v="336000"/>
    <n v="840000"/>
    <n v="672000"/>
    <n v="168000"/>
  </r>
  <r>
    <s v="ID_907"/>
    <d v="2025-03-14T00:00:00"/>
    <x v="3"/>
    <x v="2"/>
    <x v="0"/>
    <s v="Corporate"/>
    <s v="Online"/>
    <x v="5"/>
    <x v="0"/>
    <n v="320000"/>
    <n v="1"/>
    <x v="3"/>
    <n v="256000"/>
    <n v="320000"/>
    <n v="256000"/>
    <n v="64000"/>
  </r>
  <r>
    <s v="ID_1521"/>
    <d v="2025-03-27T00:00:00"/>
    <x v="3"/>
    <x v="3"/>
    <x v="1"/>
    <s v="Retail"/>
    <s v="Online"/>
    <x v="6"/>
    <x v="2"/>
    <n v="150000"/>
    <n v="2"/>
    <x v="2"/>
    <n v="120000"/>
    <n v="300000"/>
    <n v="240000"/>
    <n v="60000"/>
  </r>
  <r>
    <s v="ID_1395"/>
    <d v="2025-04-25T00:00:00"/>
    <x v="1"/>
    <x v="1"/>
    <x v="1"/>
    <s v="Corporate"/>
    <s v="Store"/>
    <x v="1"/>
    <x v="1"/>
    <n v="30000"/>
    <n v="9"/>
    <x v="5"/>
    <n v="24000"/>
    <n v="270000"/>
    <n v="216000"/>
    <n v="54000"/>
  </r>
  <r>
    <s v="ID_1233"/>
    <d v="2025-02-26T00:00:00"/>
    <x v="2"/>
    <x v="0"/>
    <x v="1"/>
    <s v="Retail"/>
    <s v="Online"/>
    <x v="0"/>
    <x v="0"/>
    <n v="85000"/>
    <n v="7"/>
    <x v="3"/>
    <n v="68000"/>
    <n v="595000"/>
    <n v="476000"/>
    <n v="119000"/>
  </r>
  <r>
    <s v="ID_1368"/>
    <d v="2025-02-02T00:00:00"/>
    <x v="2"/>
    <x v="3"/>
    <x v="0"/>
    <s v="Corporate"/>
    <s v="Online"/>
    <x v="6"/>
    <x v="2"/>
    <n v="150000"/>
    <n v="5"/>
    <x v="1"/>
    <n v="120000"/>
    <n v="750000"/>
    <n v="600000"/>
    <n v="150000"/>
  </r>
  <r>
    <s v="ID_1757"/>
    <d v="2025-01-01T00:00:00"/>
    <x v="0"/>
    <x v="0"/>
    <x v="2"/>
    <s v="Retail"/>
    <s v="Store"/>
    <x v="5"/>
    <x v="0"/>
    <n v="320000"/>
    <n v="9"/>
    <x v="0"/>
    <n v="256000"/>
    <n v="2880000"/>
    <n v="2304000"/>
    <n v="576000"/>
  </r>
  <r>
    <s v="ID_399"/>
    <d v="2025-03-06T00:00:00"/>
    <x v="3"/>
    <x v="3"/>
    <x v="1"/>
    <s v="Retail"/>
    <s v="Online"/>
    <x v="5"/>
    <x v="0"/>
    <n v="320000"/>
    <n v="10"/>
    <x v="3"/>
    <n v="256000"/>
    <n v="3200000"/>
    <n v="2560000"/>
    <n v="640000"/>
  </r>
  <r>
    <s v="ID_864"/>
    <d v="2025-01-03T00:00:00"/>
    <x v="0"/>
    <x v="3"/>
    <x v="2"/>
    <s v="Corporate"/>
    <s v="Online"/>
    <x v="0"/>
    <x v="0"/>
    <n v="85000"/>
    <n v="7"/>
    <x v="3"/>
    <n v="68000"/>
    <n v="595000"/>
    <n v="476000"/>
    <n v="119000"/>
  </r>
  <r>
    <s v="ID_1600"/>
    <d v="2025-04-21T00:00:00"/>
    <x v="1"/>
    <x v="2"/>
    <x v="2"/>
    <s v="Retail"/>
    <s v="Online"/>
    <x v="2"/>
    <x v="1"/>
    <n v="60000"/>
    <n v="4"/>
    <x v="3"/>
    <n v="48000"/>
    <n v="240000"/>
    <n v="192000"/>
    <n v="48000"/>
  </r>
  <r>
    <s v="ID_1223"/>
    <d v="2025-04-04T00:00:00"/>
    <x v="1"/>
    <x v="1"/>
    <x v="2"/>
    <s v="Retail"/>
    <s v="Store"/>
    <x v="2"/>
    <x v="1"/>
    <n v="60000"/>
    <n v="7"/>
    <x v="1"/>
    <n v="48000"/>
    <n v="420000"/>
    <n v="336000"/>
    <n v="84000"/>
  </r>
  <r>
    <s v="ID_1422"/>
    <d v="2025-04-08T00:00:00"/>
    <x v="1"/>
    <x v="2"/>
    <x v="1"/>
    <s v="Corporate"/>
    <s v="Online"/>
    <x v="6"/>
    <x v="2"/>
    <n v="150000"/>
    <n v="7"/>
    <x v="5"/>
    <n v="120000"/>
    <n v="1050000"/>
    <n v="840000"/>
    <n v="210000"/>
  </r>
  <r>
    <s v="ID_1262"/>
    <d v="2025-04-22T00:00:00"/>
    <x v="1"/>
    <x v="0"/>
    <x v="1"/>
    <s v="Retail"/>
    <s v="Online"/>
    <x v="0"/>
    <x v="0"/>
    <n v="85000"/>
    <n v="3"/>
    <x v="1"/>
    <n v="68000"/>
    <n v="255000"/>
    <n v="204000"/>
    <n v="51000"/>
  </r>
  <r>
    <s v="ID_382"/>
    <d v="2025-03-19T00:00:00"/>
    <x v="3"/>
    <x v="2"/>
    <x v="3"/>
    <s v="Retail"/>
    <s v="Online"/>
    <x v="0"/>
    <x v="0"/>
    <n v="85000"/>
    <n v="10"/>
    <x v="2"/>
    <n v="68000"/>
    <n v="850000"/>
    <n v="680000"/>
    <n v="170000"/>
  </r>
  <r>
    <s v="ID_339"/>
    <d v="2025-04-22T00:00:00"/>
    <x v="1"/>
    <x v="1"/>
    <x v="1"/>
    <s v="Corporate"/>
    <s v="Store"/>
    <x v="3"/>
    <x v="2"/>
    <n v="300000"/>
    <n v="10"/>
    <x v="1"/>
    <n v="240000"/>
    <n v="3000000"/>
    <n v="2400000"/>
    <n v="600000"/>
  </r>
  <r>
    <s v="ID_505"/>
    <d v="2025-03-20T00:00:00"/>
    <x v="3"/>
    <x v="2"/>
    <x v="3"/>
    <s v="Retail"/>
    <s v="Store"/>
    <x v="2"/>
    <x v="1"/>
    <n v="60000"/>
    <n v="3"/>
    <x v="0"/>
    <n v="48000"/>
    <n v="180000"/>
    <n v="144000"/>
    <n v="36000"/>
  </r>
  <r>
    <s v="ID_1220"/>
    <d v="2025-02-27T00:00:00"/>
    <x v="2"/>
    <x v="1"/>
    <x v="0"/>
    <s v="Corporate"/>
    <s v="Online"/>
    <x v="2"/>
    <x v="1"/>
    <n v="60000"/>
    <n v="3"/>
    <x v="1"/>
    <n v="48000"/>
    <n v="180000"/>
    <n v="144000"/>
    <n v="36000"/>
  </r>
  <r>
    <s v="ID_933"/>
    <d v="2025-01-20T00:00:00"/>
    <x v="0"/>
    <x v="0"/>
    <x v="1"/>
    <s v="Retail"/>
    <s v="Online"/>
    <x v="0"/>
    <x v="0"/>
    <n v="85000"/>
    <n v="6"/>
    <x v="1"/>
    <n v="68000"/>
    <n v="510000"/>
    <n v="408000"/>
    <n v="102000"/>
  </r>
  <r>
    <s v="ID_607"/>
    <d v="2025-04-24T00:00:00"/>
    <x v="1"/>
    <x v="1"/>
    <x v="2"/>
    <s v="Corporate"/>
    <s v="Store"/>
    <x v="7"/>
    <x v="2"/>
    <n v="420000"/>
    <n v="2"/>
    <x v="4"/>
    <n v="336000"/>
    <n v="840000"/>
    <n v="672000"/>
    <n v="168000"/>
  </r>
  <r>
    <s v="ID_1031"/>
    <d v="2025-02-15T00:00:00"/>
    <x v="2"/>
    <x v="3"/>
    <x v="3"/>
    <s v="Retail"/>
    <s v="Store"/>
    <x v="8"/>
    <x v="2"/>
    <n v="250000"/>
    <n v="6"/>
    <x v="5"/>
    <n v="200000"/>
    <n v="1500000"/>
    <n v="1200000"/>
    <n v="300000"/>
  </r>
  <r>
    <s v="ID_1906"/>
    <d v="2025-03-11T00:00:00"/>
    <x v="3"/>
    <x v="3"/>
    <x v="0"/>
    <s v="Retail"/>
    <s v="Online"/>
    <x v="6"/>
    <x v="2"/>
    <n v="150000"/>
    <n v="8"/>
    <x v="1"/>
    <n v="120000"/>
    <n v="1200000"/>
    <n v="960000"/>
    <n v="240000"/>
  </r>
  <r>
    <s v="ID_1997"/>
    <d v="2025-04-28T00:00:00"/>
    <x v="1"/>
    <x v="1"/>
    <x v="2"/>
    <s v="Corporate"/>
    <s v="Online"/>
    <x v="6"/>
    <x v="2"/>
    <n v="150000"/>
    <n v="10"/>
    <x v="1"/>
    <n v="120000"/>
    <n v="1500000"/>
    <n v="1200000"/>
    <n v="300000"/>
  </r>
  <r>
    <s v="ID_1405"/>
    <d v="2025-04-22T00:00:00"/>
    <x v="1"/>
    <x v="1"/>
    <x v="2"/>
    <s v="Retail"/>
    <s v="Online"/>
    <x v="8"/>
    <x v="2"/>
    <n v="250000"/>
    <n v="5"/>
    <x v="5"/>
    <n v="200000"/>
    <n v="1250000"/>
    <n v="1000000"/>
    <n v="250000"/>
  </r>
  <r>
    <s v="ID_1605"/>
    <d v="2025-02-16T00:00:00"/>
    <x v="2"/>
    <x v="0"/>
    <x v="2"/>
    <s v="Retail"/>
    <s v="Store"/>
    <x v="5"/>
    <x v="0"/>
    <n v="320000"/>
    <n v="9"/>
    <x v="0"/>
    <n v="256000"/>
    <n v="2880000"/>
    <n v="2304000"/>
    <n v="576000"/>
  </r>
  <r>
    <s v="ID_666"/>
    <d v="2025-03-19T00:00:00"/>
    <x v="3"/>
    <x v="0"/>
    <x v="0"/>
    <s v="Corporate"/>
    <s v="Store"/>
    <x v="4"/>
    <x v="1"/>
    <n v="180000"/>
    <n v="10"/>
    <x v="5"/>
    <n v="144000"/>
    <n v="1800000"/>
    <n v="1440000"/>
    <n v="360000"/>
  </r>
  <r>
    <s v="ID_2077"/>
    <d v="2025-02-07T00:00:00"/>
    <x v="2"/>
    <x v="0"/>
    <x v="2"/>
    <s v="Corporate"/>
    <s v="Store"/>
    <x v="2"/>
    <x v="1"/>
    <n v="60000"/>
    <n v="6"/>
    <x v="4"/>
    <n v="48000"/>
    <n v="360000"/>
    <n v="288000"/>
    <n v="72000"/>
  </r>
  <r>
    <s v="ID_196"/>
    <d v="2025-01-16T00:00:00"/>
    <x v="0"/>
    <x v="0"/>
    <x v="2"/>
    <s v="Corporate"/>
    <s v="Online"/>
    <x v="6"/>
    <x v="2"/>
    <n v="150000"/>
    <n v="10"/>
    <x v="2"/>
    <n v="120000"/>
    <n v="1500000"/>
    <n v="1200000"/>
    <n v="300000"/>
  </r>
  <r>
    <s v="ID_243"/>
    <d v="2025-02-26T00:00:00"/>
    <x v="2"/>
    <x v="1"/>
    <x v="0"/>
    <s v="Retail"/>
    <s v="Online"/>
    <x v="8"/>
    <x v="2"/>
    <n v="250000"/>
    <n v="5"/>
    <x v="4"/>
    <n v="200000"/>
    <n v="1250000"/>
    <n v="1000000"/>
    <n v="250000"/>
  </r>
  <r>
    <s v="ID_1562"/>
    <d v="2025-01-22T00:00:00"/>
    <x v="0"/>
    <x v="0"/>
    <x v="2"/>
    <s v="Retail"/>
    <s v="Online"/>
    <x v="4"/>
    <x v="1"/>
    <n v="180000"/>
    <n v="3"/>
    <x v="0"/>
    <n v="144000"/>
    <n v="540000"/>
    <n v="432000"/>
    <n v="108000"/>
  </r>
  <r>
    <s v="ID_831"/>
    <d v="2025-02-14T00:00:00"/>
    <x v="2"/>
    <x v="0"/>
    <x v="2"/>
    <s v="Corporate"/>
    <s v="Store"/>
    <x v="5"/>
    <x v="0"/>
    <n v="320000"/>
    <n v="5"/>
    <x v="4"/>
    <n v="256000"/>
    <n v="1600000"/>
    <n v="1280000"/>
    <n v="320000"/>
  </r>
  <r>
    <s v="ID_1938"/>
    <d v="2025-02-05T00:00:00"/>
    <x v="2"/>
    <x v="2"/>
    <x v="0"/>
    <s v="Retail"/>
    <s v="Store"/>
    <x v="5"/>
    <x v="0"/>
    <n v="320000"/>
    <n v="10"/>
    <x v="1"/>
    <n v="256000"/>
    <n v="3200000"/>
    <n v="2560000"/>
    <n v="640000"/>
  </r>
  <r>
    <s v="ID_763"/>
    <d v="2025-02-26T00:00:00"/>
    <x v="2"/>
    <x v="1"/>
    <x v="0"/>
    <s v="Corporate"/>
    <s v="Online"/>
    <x v="1"/>
    <x v="1"/>
    <n v="30000"/>
    <n v="5"/>
    <x v="0"/>
    <n v="24000"/>
    <n v="150000"/>
    <n v="120000"/>
    <n v="30000"/>
  </r>
  <r>
    <s v="ID_301"/>
    <d v="2025-02-19T00:00:00"/>
    <x v="2"/>
    <x v="3"/>
    <x v="0"/>
    <s v="Corporate"/>
    <s v="Store"/>
    <x v="7"/>
    <x v="2"/>
    <n v="420000"/>
    <n v="3"/>
    <x v="0"/>
    <n v="336000"/>
    <n v="1260000"/>
    <n v="1008000"/>
    <n v="252000"/>
  </r>
  <r>
    <s v="ID_286"/>
    <d v="2025-03-08T00:00:00"/>
    <x v="3"/>
    <x v="1"/>
    <x v="2"/>
    <s v="Retail"/>
    <s v="Online"/>
    <x v="1"/>
    <x v="1"/>
    <n v="30000"/>
    <n v="4"/>
    <x v="3"/>
    <n v="24000"/>
    <n v="120000"/>
    <n v="96000"/>
    <n v="24000"/>
  </r>
  <r>
    <s v="ID_1002"/>
    <d v="2025-04-08T00:00:00"/>
    <x v="1"/>
    <x v="1"/>
    <x v="0"/>
    <s v="Retail"/>
    <s v="Online"/>
    <x v="4"/>
    <x v="1"/>
    <n v="180000"/>
    <n v="4"/>
    <x v="0"/>
    <n v="144000"/>
    <n v="720000"/>
    <n v="576000"/>
    <n v="144000"/>
  </r>
  <r>
    <s v="ID_676"/>
    <d v="2025-02-23T00:00:00"/>
    <x v="2"/>
    <x v="1"/>
    <x v="1"/>
    <s v="Retail"/>
    <s v="Online"/>
    <x v="8"/>
    <x v="2"/>
    <n v="250000"/>
    <n v="5"/>
    <x v="5"/>
    <n v="200000"/>
    <n v="1250000"/>
    <n v="1000000"/>
    <n v="250000"/>
  </r>
  <r>
    <s v="ID_2025"/>
    <d v="2025-03-25T00:00:00"/>
    <x v="3"/>
    <x v="0"/>
    <x v="3"/>
    <s v="Corporate"/>
    <s v="Store"/>
    <x v="4"/>
    <x v="1"/>
    <n v="180000"/>
    <n v="3"/>
    <x v="3"/>
    <n v="144000"/>
    <n v="540000"/>
    <n v="432000"/>
    <n v="108000"/>
  </r>
  <r>
    <s v="ID_335"/>
    <d v="2025-03-20T00:00:00"/>
    <x v="3"/>
    <x v="1"/>
    <x v="0"/>
    <s v="Retail"/>
    <s v="Online"/>
    <x v="3"/>
    <x v="2"/>
    <n v="300000"/>
    <n v="5"/>
    <x v="5"/>
    <n v="240000"/>
    <n v="1500000"/>
    <n v="1200000"/>
    <n v="300000"/>
  </r>
  <r>
    <s v="ID_1627"/>
    <d v="2025-01-19T00:00:00"/>
    <x v="0"/>
    <x v="0"/>
    <x v="2"/>
    <s v="Retail"/>
    <s v="Store"/>
    <x v="0"/>
    <x v="0"/>
    <n v="85000"/>
    <n v="8"/>
    <x v="3"/>
    <n v="68000"/>
    <n v="680000"/>
    <n v="544000"/>
    <n v="136000"/>
  </r>
  <r>
    <s v="ID_1497"/>
    <d v="2025-04-20T00:00:00"/>
    <x v="1"/>
    <x v="1"/>
    <x v="1"/>
    <s v="Corporate"/>
    <s v="Online"/>
    <x v="4"/>
    <x v="1"/>
    <n v="180000"/>
    <n v="6"/>
    <x v="5"/>
    <n v="144000"/>
    <n v="1080000"/>
    <n v="864000"/>
    <n v="216000"/>
  </r>
  <r>
    <s v="ID_630"/>
    <d v="2025-01-23T00:00:00"/>
    <x v="0"/>
    <x v="1"/>
    <x v="1"/>
    <s v="Corporate"/>
    <s v="Online"/>
    <x v="7"/>
    <x v="2"/>
    <n v="420000"/>
    <n v="7"/>
    <x v="4"/>
    <n v="336000"/>
    <n v="2940000"/>
    <n v="2352000"/>
    <n v="588000"/>
  </r>
  <r>
    <s v="ID_603"/>
    <d v="2025-03-06T00:00:00"/>
    <x v="3"/>
    <x v="2"/>
    <x v="2"/>
    <s v="Corporate"/>
    <s v="Online"/>
    <x v="6"/>
    <x v="2"/>
    <n v="150000"/>
    <n v="8"/>
    <x v="0"/>
    <n v="120000"/>
    <n v="1200000"/>
    <n v="960000"/>
    <n v="240000"/>
  </r>
  <r>
    <s v="ID_512"/>
    <d v="2025-04-12T00:00:00"/>
    <x v="1"/>
    <x v="1"/>
    <x v="2"/>
    <s v="Retail"/>
    <s v="Online"/>
    <x v="0"/>
    <x v="0"/>
    <n v="85000"/>
    <n v="6"/>
    <x v="4"/>
    <n v="68000"/>
    <n v="510000"/>
    <n v="408000"/>
    <n v="102000"/>
  </r>
  <r>
    <s v="ID_804"/>
    <d v="2025-04-21T00:00:00"/>
    <x v="1"/>
    <x v="2"/>
    <x v="0"/>
    <s v="Retail"/>
    <s v="Store"/>
    <x v="4"/>
    <x v="1"/>
    <n v="180000"/>
    <n v="9"/>
    <x v="2"/>
    <n v="144000"/>
    <n v="1620000"/>
    <n v="1296000"/>
    <n v="324000"/>
  </r>
  <r>
    <s v="ID_1971"/>
    <d v="2025-03-11T00:00:00"/>
    <x v="3"/>
    <x v="0"/>
    <x v="2"/>
    <s v="Corporate"/>
    <s v="Online"/>
    <x v="8"/>
    <x v="2"/>
    <n v="250000"/>
    <n v="5"/>
    <x v="4"/>
    <n v="200000"/>
    <n v="1250000"/>
    <n v="1000000"/>
    <n v="250000"/>
  </r>
  <r>
    <s v="ID_621"/>
    <d v="2025-01-04T00:00:00"/>
    <x v="0"/>
    <x v="3"/>
    <x v="2"/>
    <s v="Retail"/>
    <s v="Store"/>
    <x v="5"/>
    <x v="0"/>
    <n v="320000"/>
    <n v="9"/>
    <x v="2"/>
    <n v="256000"/>
    <n v="2880000"/>
    <n v="2304000"/>
    <n v="576000"/>
  </r>
  <r>
    <s v="ID_1010"/>
    <d v="2025-01-19T00:00:00"/>
    <x v="0"/>
    <x v="3"/>
    <x v="1"/>
    <s v="Corporate"/>
    <s v="Store"/>
    <x v="6"/>
    <x v="2"/>
    <n v="150000"/>
    <n v="7"/>
    <x v="1"/>
    <n v="120000"/>
    <n v="1050000"/>
    <n v="840000"/>
    <n v="210000"/>
  </r>
  <r>
    <s v="ID_786"/>
    <d v="2025-03-19T00:00:00"/>
    <x v="3"/>
    <x v="1"/>
    <x v="0"/>
    <s v="Retail"/>
    <s v="Online"/>
    <x v="7"/>
    <x v="2"/>
    <n v="420000"/>
    <n v="9"/>
    <x v="4"/>
    <n v="336000"/>
    <n v="3780000"/>
    <n v="3024000"/>
    <n v="756000"/>
  </r>
  <r>
    <s v="ID_1228"/>
    <d v="2025-01-10T00:00:00"/>
    <x v="0"/>
    <x v="2"/>
    <x v="1"/>
    <s v="Corporate"/>
    <s v="Store"/>
    <x v="2"/>
    <x v="1"/>
    <n v="60000"/>
    <n v="4"/>
    <x v="1"/>
    <n v="48000"/>
    <n v="240000"/>
    <n v="192000"/>
    <n v="48000"/>
  </r>
  <r>
    <s v="ID_123"/>
    <d v="2025-04-28T00:00:00"/>
    <x v="1"/>
    <x v="0"/>
    <x v="2"/>
    <s v="Retail"/>
    <s v="Store"/>
    <x v="8"/>
    <x v="2"/>
    <n v="250000"/>
    <n v="5"/>
    <x v="1"/>
    <n v="200000"/>
    <n v="1250000"/>
    <n v="1000000"/>
    <n v="250000"/>
  </r>
  <r>
    <s v="ID_545"/>
    <d v="2025-01-09T00:00:00"/>
    <x v="0"/>
    <x v="0"/>
    <x v="2"/>
    <s v="Corporate"/>
    <s v="Online"/>
    <x v="3"/>
    <x v="2"/>
    <n v="300000"/>
    <n v="8"/>
    <x v="3"/>
    <n v="240000"/>
    <n v="2400000"/>
    <n v="1920000"/>
    <n v="480000"/>
  </r>
  <r>
    <s v="ID_215"/>
    <d v="2025-01-30T00:00:00"/>
    <x v="0"/>
    <x v="0"/>
    <x v="2"/>
    <s v="Corporate"/>
    <s v="Online"/>
    <x v="7"/>
    <x v="2"/>
    <n v="420000"/>
    <n v="4"/>
    <x v="5"/>
    <n v="336000"/>
    <n v="1680000"/>
    <n v="1344000"/>
    <n v="336000"/>
  </r>
  <r>
    <s v="ID_491"/>
    <d v="2025-03-17T00:00:00"/>
    <x v="3"/>
    <x v="0"/>
    <x v="2"/>
    <s v="Corporate"/>
    <s v="Store"/>
    <x v="1"/>
    <x v="1"/>
    <n v="30000"/>
    <n v="4"/>
    <x v="1"/>
    <n v="24000"/>
    <n v="120000"/>
    <n v="96000"/>
    <n v="24000"/>
  </r>
  <r>
    <s v="ID_109"/>
    <d v="2025-01-10T00:00:00"/>
    <x v="0"/>
    <x v="1"/>
    <x v="3"/>
    <s v="Retail"/>
    <s v="Online"/>
    <x v="5"/>
    <x v="0"/>
    <n v="320000"/>
    <n v="7"/>
    <x v="1"/>
    <n v="256000"/>
    <n v="2240000"/>
    <n v="1792000"/>
    <n v="448000"/>
  </r>
  <r>
    <s v="ID_1308"/>
    <d v="2025-01-02T00:00:00"/>
    <x v="0"/>
    <x v="2"/>
    <x v="1"/>
    <s v="Retail"/>
    <s v="Online"/>
    <x v="6"/>
    <x v="2"/>
    <n v="150000"/>
    <n v="8"/>
    <x v="4"/>
    <n v="120000"/>
    <n v="1200000"/>
    <n v="960000"/>
    <n v="240000"/>
  </r>
  <r>
    <s v="ID_676"/>
    <d v="2025-03-14T00:00:00"/>
    <x v="3"/>
    <x v="0"/>
    <x v="1"/>
    <s v="Retail"/>
    <s v="Store"/>
    <x v="2"/>
    <x v="1"/>
    <n v="60000"/>
    <n v="7"/>
    <x v="2"/>
    <n v="48000"/>
    <n v="420000"/>
    <n v="336000"/>
    <n v="84000"/>
  </r>
  <r>
    <s v="ID_857"/>
    <d v="2025-04-19T00:00:00"/>
    <x v="1"/>
    <x v="2"/>
    <x v="2"/>
    <s v="Retail"/>
    <s v="Online"/>
    <x v="4"/>
    <x v="1"/>
    <n v="180000"/>
    <n v="4"/>
    <x v="1"/>
    <n v="144000"/>
    <n v="720000"/>
    <n v="576000"/>
    <n v="144000"/>
  </r>
  <r>
    <s v="ID_125"/>
    <d v="2025-04-26T00:00:00"/>
    <x v="1"/>
    <x v="0"/>
    <x v="2"/>
    <s v="Corporate"/>
    <s v="Store"/>
    <x v="7"/>
    <x v="2"/>
    <n v="420000"/>
    <n v="8"/>
    <x v="4"/>
    <n v="336000"/>
    <n v="3360000"/>
    <n v="2688000"/>
    <n v="672000"/>
  </r>
  <r>
    <s v="ID_802"/>
    <d v="2025-02-17T00:00:00"/>
    <x v="2"/>
    <x v="0"/>
    <x v="2"/>
    <s v="Retail"/>
    <s v="Store"/>
    <x v="3"/>
    <x v="2"/>
    <n v="300000"/>
    <n v="2"/>
    <x v="5"/>
    <n v="240000"/>
    <n v="600000"/>
    <n v="480000"/>
    <n v="120000"/>
  </r>
  <r>
    <s v="ID_986"/>
    <d v="2025-03-27T00:00:00"/>
    <x v="3"/>
    <x v="2"/>
    <x v="1"/>
    <s v="Corporate"/>
    <s v="Online"/>
    <x v="7"/>
    <x v="2"/>
    <n v="420000"/>
    <n v="3"/>
    <x v="4"/>
    <n v="336000"/>
    <n v="1260000"/>
    <n v="1008000"/>
    <n v="252000"/>
  </r>
  <r>
    <s v="ID_1331"/>
    <d v="2025-03-06T00:00:00"/>
    <x v="3"/>
    <x v="3"/>
    <x v="2"/>
    <s v="Retail"/>
    <s v="Online"/>
    <x v="0"/>
    <x v="0"/>
    <n v="85000"/>
    <n v="3"/>
    <x v="2"/>
    <n v="68000"/>
    <n v="255000"/>
    <n v="204000"/>
    <n v="51000"/>
  </r>
  <r>
    <s v="ID_1337"/>
    <d v="2025-01-17T00:00:00"/>
    <x v="0"/>
    <x v="0"/>
    <x v="3"/>
    <s v="Corporate"/>
    <s v="Store"/>
    <x v="2"/>
    <x v="1"/>
    <n v="60000"/>
    <n v="8"/>
    <x v="1"/>
    <n v="48000"/>
    <n v="480000"/>
    <n v="384000"/>
    <n v="96000"/>
  </r>
  <r>
    <s v="ID_346"/>
    <d v="2025-01-07T00:00:00"/>
    <x v="0"/>
    <x v="0"/>
    <x v="1"/>
    <s v="Corporate"/>
    <s v="Store"/>
    <x v="4"/>
    <x v="1"/>
    <n v="180000"/>
    <n v="10"/>
    <x v="3"/>
    <n v="144000"/>
    <n v="1800000"/>
    <n v="1440000"/>
    <n v="360000"/>
  </r>
  <r>
    <s v="ID_779"/>
    <d v="2025-03-19T00:00:00"/>
    <x v="3"/>
    <x v="1"/>
    <x v="3"/>
    <s v="Corporate"/>
    <s v="Online"/>
    <x v="4"/>
    <x v="1"/>
    <n v="180000"/>
    <n v="7"/>
    <x v="0"/>
    <n v="144000"/>
    <n v="1260000"/>
    <n v="1008000"/>
    <n v="252000"/>
  </r>
  <r>
    <s v="ID_1736"/>
    <d v="2025-01-11T00:00:00"/>
    <x v="0"/>
    <x v="1"/>
    <x v="3"/>
    <s v="Retail"/>
    <s v="Store"/>
    <x v="1"/>
    <x v="1"/>
    <n v="30000"/>
    <n v="3"/>
    <x v="2"/>
    <n v="24000"/>
    <n v="90000"/>
    <n v="72000"/>
    <n v="18000"/>
  </r>
  <r>
    <s v="ID_946"/>
    <d v="2025-04-20T00:00:00"/>
    <x v="1"/>
    <x v="3"/>
    <x v="0"/>
    <s v="Corporate"/>
    <s v="Store"/>
    <x v="1"/>
    <x v="1"/>
    <n v="30000"/>
    <n v="6"/>
    <x v="1"/>
    <n v="24000"/>
    <n v="180000"/>
    <n v="144000"/>
    <n v="36000"/>
  </r>
  <r>
    <s v="ID_352"/>
    <d v="2025-04-12T00:00:00"/>
    <x v="1"/>
    <x v="3"/>
    <x v="1"/>
    <s v="Corporate"/>
    <s v="Online"/>
    <x v="7"/>
    <x v="2"/>
    <n v="420000"/>
    <n v="4"/>
    <x v="4"/>
    <n v="336000"/>
    <n v="1680000"/>
    <n v="1344000"/>
    <n v="336000"/>
  </r>
  <r>
    <s v="ID_1086"/>
    <d v="2025-03-07T00:00:00"/>
    <x v="3"/>
    <x v="1"/>
    <x v="2"/>
    <s v="Retail"/>
    <s v="Online"/>
    <x v="9"/>
    <x v="1"/>
    <n v="220000"/>
    <n v="8"/>
    <x v="5"/>
    <n v="176000"/>
    <n v="1760000"/>
    <n v="1408000"/>
    <n v="352000"/>
  </r>
  <r>
    <s v="ID_770"/>
    <d v="2025-02-27T00:00:00"/>
    <x v="2"/>
    <x v="3"/>
    <x v="1"/>
    <s v="Corporate"/>
    <s v="Store"/>
    <x v="0"/>
    <x v="0"/>
    <n v="85000"/>
    <n v="5"/>
    <x v="0"/>
    <n v="68000"/>
    <n v="425000"/>
    <n v="340000"/>
    <n v="85000"/>
  </r>
  <r>
    <s v="ID_312"/>
    <d v="2025-04-12T00:00:00"/>
    <x v="1"/>
    <x v="0"/>
    <x v="1"/>
    <s v="Retail"/>
    <s v="Online"/>
    <x v="5"/>
    <x v="0"/>
    <n v="320000"/>
    <n v="7"/>
    <x v="2"/>
    <n v="256000"/>
    <n v="2240000"/>
    <n v="1792000"/>
    <n v="448000"/>
  </r>
  <r>
    <s v="ID_479"/>
    <d v="2025-04-03T00:00:00"/>
    <x v="1"/>
    <x v="2"/>
    <x v="1"/>
    <s v="Corporate"/>
    <s v="Store"/>
    <x v="4"/>
    <x v="1"/>
    <n v="180000"/>
    <n v="6"/>
    <x v="0"/>
    <n v="144000"/>
    <n v="1080000"/>
    <n v="864000"/>
    <n v="216000"/>
  </r>
  <r>
    <s v="ID_735"/>
    <d v="2025-01-19T00:00:00"/>
    <x v="0"/>
    <x v="1"/>
    <x v="3"/>
    <s v="Corporate"/>
    <s v="Online"/>
    <x v="2"/>
    <x v="1"/>
    <n v="60000"/>
    <n v="2"/>
    <x v="4"/>
    <n v="48000"/>
    <n v="120000"/>
    <n v="96000"/>
    <n v="24000"/>
  </r>
  <r>
    <s v="ID_468"/>
    <d v="2025-02-24T00:00:00"/>
    <x v="2"/>
    <x v="0"/>
    <x v="3"/>
    <s v="Corporate"/>
    <s v="Store"/>
    <x v="4"/>
    <x v="1"/>
    <n v="180000"/>
    <n v="5"/>
    <x v="1"/>
    <n v="144000"/>
    <n v="900000"/>
    <n v="720000"/>
    <n v="180000"/>
  </r>
  <r>
    <s v="ID_407"/>
    <d v="2025-04-28T00:00:00"/>
    <x v="1"/>
    <x v="1"/>
    <x v="3"/>
    <s v="Corporate"/>
    <s v="Store"/>
    <x v="6"/>
    <x v="2"/>
    <n v="150000"/>
    <n v="6"/>
    <x v="4"/>
    <n v="120000"/>
    <n v="900000"/>
    <n v="720000"/>
    <n v="180000"/>
  </r>
  <r>
    <s v="ID_1718"/>
    <d v="2025-01-27T00:00:00"/>
    <x v="0"/>
    <x v="1"/>
    <x v="0"/>
    <s v="Corporate"/>
    <s v="Store"/>
    <x v="1"/>
    <x v="1"/>
    <n v="30000"/>
    <n v="2"/>
    <x v="4"/>
    <n v="24000"/>
    <n v="60000"/>
    <n v="48000"/>
    <n v="12000"/>
  </r>
  <r>
    <s v="ID_151"/>
    <d v="2025-04-23T00:00:00"/>
    <x v="1"/>
    <x v="3"/>
    <x v="0"/>
    <s v="Retail"/>
    <s v="Online"/>
    <x v="8"/>
    <x v="2"/>
    <n v="250000"/>
    <n v="9"/>
    <x v="4"/>
    <n v="200000"/>
    <n v="2250000"/>
    <n v="1800000"/>
    <n v="450000"/>
  </r>
  <r>
    <s v="ID_1021"/>
    <d v="2025-01-21T00:00:00"/>
    <x v="0"/>
    <x v="0"/>
    <x v="2"/>
    <s v="Retail"/>
    <s v="Store"/>
    <x v="2"/>
    <x v="1"/>
    <n v="60000"/>
    <n v="4"/>
    <x v="1"/>
    <n v="48000"/>
    <n v="240000"/>
    <n v="192000"/>
    <n v="48000"/>
  </r>
  <r>
    <s v="ID_430"/>
    <d v="2025-03-27T00:00:00"/>
    <x v="3"/>
    <x v="1"/>
    <x v="0"/>
    <s v="Retail"/>
    <s v="Online"/>
    <x v="6"/>
    <x v="2"/>
    <n v="150000"/>
    <n v="9"/>
    <x v="4"/>
    <n v="120000"/>
    <n v="1350000"/>
    <n v="1080000"/>
    <n v="270000"/>
  </r>
  <r>
    <s v="ID_1068"/>
    <d v="2025-01-18T00:00:00"/>
    <x v="0"/>
    <x v="3"/>
    <x v="1"/>
    <s v="Corporate"/>
    <s v="Store"/>
    <x v="4"/>
    <x v="1"/>
    <n v="180000"/>
    <n v="3"/>
    <x v="0"/>
    <n v="144000"/>
    <n v="540000"/>
    <n v="432000"/>
    <n v="108000"/>
  </r>
  <r>
    <s v="ID_807"/>
    <d v="2025-03-26T00:00:00"/>
    <x v="3"/>
    <x v="0"/>
    <x v="0"/>
    <s v="Retail"/>
    <s v="Online"/>
    <x v="4"/>
    <x v="1"/>
    <n v="180000"/>
    <n v="10"/>
    <x v="0"/>
    <n v="144000"/>
    <n v="1800000"/>
    <n v="1440000"/>
    <n v="360000"/>
  </r>
  <r>
    <s v="ID_1355"/>
    <d v="2025-01-19T00:00:00"/>
    <x v="0"/>
    <x v="1"/>
    <x v="1"/>
    <s v="Retail"/>
    <s v="Online"/>
    <x v="9"/>
    <x v="1"/>
    <n v="220000"/>
    <n v="2"/>
    <x v="0"/>
    <n v="176000"/>
    <n v="440000"/>
    <n v="352000"/>
    <n v="88000"/>
  </r>
  <r>
    <s v="ID_1496"/>
    <d v="2025-04-02T00:00:00"/>
    <x v="1"/>
    <x v="3"/>
    <x v="0"/>
    <s v="Corporate"/>
    <s v="Online"/>
    <x v="7"/>
    <x v="2"/>
    <n v="420000"/>
    <n v="10"/>
    <x v="2"/>
    <n v="336000"/>
    <n v="4200000"/>
    <n v="3360000"/>
    <n v="840000"/>
  </r>
  <r>
    <s v="ID_1106"/>
    <d v="2025-03-20T00:00:00"/>
    <x v="3"/>
    <x v="0"/>
    <x v="0"/>
    <s v="Retail"/>
    <s v="Store"/>
    <x v="1"/>
    <x v="1"/>
    <n v="30000"/>
    <n v="9"/>
    <x v="5"/>
    <n v="24000"/>
    <n v="270000"/>
    <n v="216000"/>
    <n v="54000"/>
  </r>
  <r>
    <s v="ID_1497"/>
    <d v="2025-01-19T00:00:00"/>
    <x v="0"/>
    <x v="0"/>
    <x v="3"/>
    <s v="Corporate"/>
    <s v="Online"/>
    <x v="5"/>
    <x v="0"/>
    <n v="320000"/>
    <n v="6"/>
    <x v="3"/>
    <n v="256000"/>
    <n v="1920000"/>
    <n v="1536000"/>
    <n v="384000"/>
  </r>
  <r>
    <s v="ID_1088"/>
    <d v="2025-01-24T00:00:00"/>
    <x v="0"/>
    <x v="0"/>
    <x v="3"/>
    <s v="Retail"/>
    <s v="Store"/>
    <x v="7"/>
    <x v="2"/>
    <n v="420000"/>
    <n v="2"/>
    <x v="5"/>
    <n v="336000"/>
    <n v="840000"/>
    <n v="672000"/>
    <n v="168000"/>
  </r>
  <r>
    <s v="ID_140"/>
    <d v="2025-04-23T00:00:00"/>
    <x v="1"/>
    <x v="2"/>
    <x v="2"/>
    <s v="Corporate"/>
    <s v="Online"/>
    <x v="5"/>
    <x v="0"/>
    <n v="320000"/>
    <n v="10"/>
    <x v="3"/>
    <n v="256000"/>
    <n v="3200000"/>
    <n v="2560000"/>
    <n v="640000"/>
  </r>
  <r>
    <s v="ID_670"/>
    <d v="2025-02-06T00:00:00"/>
    <x v="2"/>
    <x v="1"/>
    <x v="2"/>
    <s v="Corporate"/>
    <s v="Store"/>
    <x v="3"/>
    <x v="2"/>
    <n v="300000"/>
    <n v="8"/>
    <x v="5"/>
    <n v="240000"/>
    <n v="2400000"/>
    <n v="1920000"/>
    <n v="480000"/>
  </r>
  <r>
    <s v="ID_291"/>
    <d v="2025-02-07T00:00:00"/>
    <x v="2"/>
    <x v="1"/>
    <x v="0"/>
    <s v="Corporate"/>
    <s v="Online"/>
    <x v="2"/>
    <x v="1"/>
    <n v="60000"/>
    <n v="1"/>
    <x v="1"/>
    <n v="48000"/>
    <n v="60000"/>
    <n v="48000"/>
    <n v="12000"/>
  </r>
  <r>
    <s v="ID_1121"/>
    <d v="2025-03-21T00:00:00"/>
    <x v="3"/>
    <x v="2"/>
    <x v="1"/>
    <s v="Corporate"/>
    <s v="Online"/>
    <x v="0"/>
    <x v="0"/>
    <n v="85000"/>
    <n v="3"/>
    <x v="1"/>
    <n v="68000"/>
    <n v="255000"/>
    <n v="204000"/>
    <n v="51000"/>
  </r>
  <r>
    <s v="ID_468"/>
    <d v="2025-03-25T00:00:00"/>
    <x v="3"/>
    <x v="1"/>
    <x v="2"/>
    <s v="Corporate"/>
    <s v="Store"/>
    <x v="1"/>
    <x v="1"/>
    <n v="30000"/>
    <n v="10"/>
    <x v="0"/>
    <n v="24000"/>
    <n v="300000"/>
    <n v="240000"/>
    <n v="60000"/>
  </r>
  <r>
    <s v="ID_84"/>
    <d v="2025-01-22T00:00:00"/>
    <x v="0"/>
    <x v="1"/>
    <x v="2"/>
    <s v="Corporate"/>
    <s v="Online"/>
    <x v="1"/>
    <x v="1"/>
    <n v="30000"/>
    <n v="4"/>
    <x v="3"/>
    <n v="24000"/>
    <n v="120000"/>
    <n v="96000"/>
    <n v="24000"/>
  </r>
  <r>
    <s v="ID_601"/>
    <d v="2025-01-27T00:00:00"/>
    <x v="0"/>
    <x v="2"/>
    <x v="3"/>
    <s v="Corporate"/>
    <s v="Store"/>
    <x v="6"/>
    <x v="2"/>
    <n v="150000"/>
    <n v="3"/>
    <x v="1"/>
    <n v="120000"/>
    <n v="450000"/>
    <n v="360000"/>
    <n v="90000"/>
  </r>
  <r>
    <s v="ID_1313"/>
    <d v="2025-04-14T00:00:00"/>
    <x v="1"/>
    <x v="0"/>
    <x v="0"/>
    <s v="Corporate"/>
    <s v="Online"/>
    <x v="6"/>
    <x v="2"/>
    <n v="150000"/>
    <n v="3"/>
    <x v="0"/>
    <n v="120000"/>
    <n v="450000"/>
    <n v="360000"/>
    <n v="90000"/>
  </r>
  <r>
    <s v="ID_1888"/>
    <d v="2025-04-30T00:00:00"/>
    <x v="1"/>
    <x v="1"/>
    <x v="2"/>
    <s v="Corporate"/>
    <s v="Store"/>
    <x v="0"/>
    <x v="0"/>
    <n v="85000"/>
    <n v="8"/>
    <x v="0"/>
    <n v="68000"/>
    <n v="680000"/>
    <n v="544000"/>
    <n v="136000"/>
  </r>
  <r>
    <s v="ID_1863"/>
    <d v="2025-04-07T00:00:00"/>
    <x v="1"/>
    <x v="2"/>
    <x v="2"/>
    <s v="Corporate"/>
    <s v="Online"/>
    <x v="7"/>
    <x v="2"/>
    <n v="420000"/>
    <n v="7"/>
    <x v="0"/>
    <n v="336000"/>
    <n v="2940000"/>
    <n v="2352000"/>
    <n v="588000"/>
  </r>
  <r>
    <s v="ID_1736"/>
    <d v="2025-01-22T00:00:00"/>
    <x v="0"/>
    <x v="1"/>
    <x v="3"/>
    <s v="Corporate"/>
    <s v="Store"/>
    <x v="6"/>
    <x v="2"/>
    <n v="150000"/>
    <n v="3"/>
    <x v="1"/>
    <n v="120000"/>
    <n v="450000"/>
    <n v="360000"/>
    <n v="90000"/>
  </r>
  <r>
    <s v="ID_1720"/>
    <d v="2025-04-25T00:00:00"/>
    <x v="1"/>
    <x v="0"/>
    <x v="3"/>
    <s v="Corporate"/>
    <s v="Store"/>
    <x v="5"/>
    <x v="0"/>
    <n v="320000"/>
    <n v="1"/>
    <x v="2"/>
    <n v="256000"/>
    <n v="320000"/>
    <n v="256000"/>
    <n v="64000"/>
  </r>
  <r>
    <s v="ID_1987"/>
    <d v="2025-02-09T00:00:00"/>
    <x v="2"/>
    <x v="1"/>
    <x v="3"/>
    <s v="Corporate"/>
    <s v="Online"/>
    <x v="4"/>
    <x v="1"/>
    <n v="180000"/>
    <n v="5"/>
    <x v="0"/>
    <n v="144000"/>
    <n v="900000"/>
    <n v="720000"/>
    <n v="180000"/>
  </r>
  <r>
    <s v="ID_649"/>
    <d v="2025-03-28T00:00:00"/>
    <x v="3"/>
    <x v="3"/>
    <x v="2"/>
    <s v="Corporate"/>
    <s v="Store"/>
    <x v="3"/>
    <x v="2"/>
    <n v="300000"/>
    <n v="1"/>
    <x v="2"/>
    <n v="240000"/>
    <n v="300000"/>
    <n v="240000"/>
    <n v="60000"/>
  </r>
  <r>
    <s v="ID_1462"/>
    <d v="2025-04-09T00:00:00"/>
    <x v="1"/>
    <x v="1"/>
    <x v="0"/>
    <s v="Corporate"/>
    <s v="Online"/>
    <x v="4"/>
    <x v="1"/>
    <n v="180000"/>
    <n v="8"/>
    <x v="4"/>
    <n v="144000"/>
    <n v="1440000"/>
    <n v="1152000"/>
    <n v="288000"/>
  </r>
  <r>
    <s v="ID_1794"/>
    <d v="2025-04-05T00:00:00"/>
    <x v="1"/>
    <x v="2"/>
    <x v="2"/>
    <s v="Corporate"/>
    <s v="Online"/>
    <x v="4"/>
    <x v="1"/>
    <n v="180000"/>
    <n v="3"/>
    <x v="3"/>
    <n v="144000"/>
    <n v="540000"/>
    <n v="432000"/>
    <n v="108000"/>
  </r>
  <r>
    <s v="ID_1383"/>
    <d v="2025-01-11T00:00:00"/>
    <x v="0"/>
    <x v="0"/>
    <x v="3"/>
    <s v="Corporate"/>
    <s v="Store"/>
    <x v="5"/>
    <x v="0"/>
    <n v="320000"/>
    <n v="6"/>
    <x v="5"/>
    <n v="256000"/>
    <n v="1920000"/>
    <n v="1536000"/>
    <n v="384000"/>
  </r>
  <r>
    <s v="ID_716"/>
    <d v="2025-01-18T00:00:00"/>
    <x v="0"/>
    <x v="0"/>
    <x v="3"/>
    <s v="Corporate"/>
    <s v="Store"/>
    <x v="2"/>
    <x v="1"/>
    <n v="60000"/>
    <n v="10"/>
    <x v="0"/>
    <n v="48000"/>
    <n v="600000"/>
    <n v="480000"/>
    <n v="120000"/>
  </r>
  <r>
    <s v="ID_1735"/>
    <d v="2025-02-24T00:00:00"/>
    <x v="2"/>
    <x v="2"/>
    <x v="1"/>
    <s v="Corporate"/>
    <s v="Store"/>
    <x v="3"/>
    <x v="2"/>
    <n v="300000"/>
    <n v="1"/>
    <x v="4"/>
    <n v="240000"/>
    <n v="300000"/>
    <n v="240000"/>
    <n v="60000"/>
  </r>
  <r>
    <s v="ID_1072"/>
    <d v="2025-03-11T00:00:00"/>
    <x v="3"/>
    <x v="0"/>
    <x v="1"/>
    <s v="Corporate"/>
    <s v="Online"/>
    <x v="4"/>
    <x v="1"/>
    <n v="180000"/>
    <n v="1"/>
    <x v="1"/>
    <n v="144000"/>
    <n v="180000"/>
    <n v="144000"/>
    <n v="36000"/>
  </r>
  <r>
    <s v="ID_217"/>
    <d v="2025-01-22T00:00:00"/>
    <x v="0"/>
    <x v="1"/>
    <x v="1"/>
    <s v="Retail"/>
    <s v="Store"/>
    <x v="9"/>
    <x v="1"/>
    <n v="220000"/>
    <n v="8"/>
    <x v="4"/>
    <n v="176000"/>
    <n v="1760000"/>
    <n v="1408000"/>
    <n v="352000"/>
  </r>
  <r>
    <s v="ID_211"/>
    <d v="2025-02-01T00:00:00"/>
    <x v="2"/>
    <x v="3"/>
    <x v="1"/>
    <s v="Corporate"/>
    <s v="Store"/>
    <x v="0"/>
    <x v="0"/>
    <n v="85000"/>
    <n v="7"/>
    <x v="2"/>
    <n v="68000"/>
    <n v="595000"/>
    <n v="476000"/>
    <n v="119000"/>
  </r>
  <r>
    <s v="ID_988"/>
    <d v="2025-02-09T00:00:00"/>
    <x v="2"/>
    <x v="0"/>
    <x v="0"/>
    <s v="Retail"/>
    <s v="Store"/>
    <x v="4"/>
    <x v="1"/>
    <n v="180000"/>
    <n v="9"/>
    <x v="5"/>
    <n v="144000"/>
    <n v="1620000"/>
    <n v="1296000"/>
    <n v="324000"/>
  </r>
  <r>
    <s v="ID_870"/>
    <d v="2025-02-03T00:00:00"/>
    <x v="2"/>
    <x v="3"/>
    <x v="0"/>
    <s v="Corporate"/>
    <s v="Online"/>
    <x v="5"/>
    <x v="0"/>
    <n v="320000"/>
    <n v="3"/>
    <x v="3"/>
    <n v="256000"/>
    <n v="960000"/>
    <n v="768000"/>
    <n v="192000"/>
  </r>
  <r>
    <s v="ID_1082"/>
    <d v="2025-04-01T00:00:00"/>
    <x v="1"/>
    <x v="3"/>
    <x v="0"/>
    <s v="Corporate"/>
    <s v="Online"/>
    <x v="6"/>
    <x v="2"/>
    <n v="150000"/>
    <n v="4"/>
    <x v="0"/>
    <n v="120000"/>
    <n v="600000"/>
    <n v="480000"/>
    <n v="120000"/>
  </r>
  <r>
    <s v="ID_973"/>
    <d v="2025-04-02T00:00:00"/>
    <x v="1"/>
    <x v="1"/>
    <x v="1"/>
    <s v="Retail"/>
    <s v="Online"/>
    <x v="9"/>
    <x v="1"/>
    <n v="220000"/>
    <n v="10"/>
    <x v="5"/>
    <n v="176000"/>
    <n v="2200000"/>
    <n v="1760000"/>
    <n v="440000"/>
  </r>
  <r>
    <s v="ID_755"/>
    <d v="2025-02-15T00:00:00"/>
    <x v="2"/>
    <x v="2"/>
    <x v="0"/>
    <s v="Corporate"/>
    <s v="Online"/>
    <x v="6"/>
    <x v="2"/>
    <n v="150000"/>
    <n v="6"/>
    <x v="0"/>
    <n v="120000"/>
    <n v="900000"/>
    <n v="720000"/>
    <n v="180000"/>
  </r>
  <r>
    <s v="ID_1389"/>
    <d v="2025-01-15T00:00:00"/>
    <x v="0"/>
    <x v="0"/>
    <x v="1"/>
    <s v="Corporate"/>
    <s v="Store"/>
    <x v="4"/>
    <x v="1"/>
    <n v="180000"/>
    <n v="1"/>
    <x v="2"/>
    <n v="144000"/>
    <n v="180000"/>
    <n v="144000"/>
    <n v="36000"/>
  </r>
  <r>
    <s v="ID_1954"/>
    <d v="2025-04-21T00:00:00"/>
    <x v="1"/>
    <x v="1"/>
    <x v="2"/>
    <s v="Retail"/>
    <s v="Online"/>
    <x v="1"/>
    <x v="1"/>
    <n v="30000"/>
    <n v="2"/>
    <x v="3"/>
    <n v="24000"/>
    <n v="60000"/>
    <n v="48000"/>
    <n v="12000"/>
  </r>
  <r>
    <s v="ID_1606"/>
    <d v="2025-03-01T00:00:00"/>
    <x v="3"/>
    <x v="3"/>
    <x v="3"/>
    <s v="Corporate"/>
    <s v="Online"/>
    <x v="5"/>
    <x v="0"/>
    <n v="320000"/>
    <n v="7"/>
    <x v="0"/>
    <n v="256000"/>
    <n v="2240000"/>
    <n v="1792000"/>
    <n v="448000"/>
  </r>
  <r>
    <s v="ID_903"/>
    <d v="2025-02-07T00:00:00"/>
    <x v="2"/>
    <x v="3"/>
    <x v="2"/>
    <s v="Retail"/>
    <s v="Store"/>
    <x v="0"/>
    <x v="0"/>
    <n v="85000"/>
    <n v="10"/>
    <x v="1"/>
    <n v="68000"/>
    <n v="850000"/>
    <n v="680000"/>
    <n v="170000"/>
  </r>
  <r>
    <s v="ID_1033"/>
    <d v="2025-04-05T00:00:00"/>
    <x v="1"/>
    <x v="1"/>
    <x v="0"/>
    <s v="Corporate"/>
    <s v="Online"/>
    <x v="4"/>
    <x v="1"/>
    <n v="180000"/>
    <n v="7"/>
    <x v="2"/>
    <n v="144000"/>
    <n v="1260000"/>
    <n v="1008000"/>
    <n v="252000"/>
  </r>
  <r>
    <s v="ID_1362"/>
    <d v="2025-03-24T00:00:00"/>
    <x v="3"/>
    <x v="2"/>
    <x v="1"/>
    <s v="Retail"/>
    <s v="Online"/>
    <x v="7"/>
    <x v="2"/>
    <n v="420000"/>
    <n v="5"/>
    <x v="3"/>
    <n v="336000"/>
    <n v="2100000"/>
    <n v="1680000"/>
    <n v="420000"/>
  </r>
  <r>
    <s v="ID_863"/>
    <d v="2025-04-04T00:00:00"/>
    <x v="1"/>
    <x v="2"/>
    <x v="3"/>
    <s v="Corporate"/>
    <s v="Store"/>
    <x v="5"/>
    <x v="0"/>
    <n v="320000"/>
    <n v="8"/>
    <x v="1"/>
    <n v="256000"/>
    <n v="2560000"/>
    <n v="2048000"/>
    <n v="512000"/>
  </r>
  <r>
    <s v="ID_88"/>
    <d v="2025-02-25T00:00:00"/>
    <x v="2"/>
    <x v="1"/>
    <x v="2"/>
    <s v="Corporate"/>
    <s v="Store"/>
    <x v="4"/>
    <x v="1"/>
    <n v="180000"/>
    <n v="5"/>
    <x v="2"/>
    <n v="144000"/>
    <n v="900000"/>
    <n v="720000"/>
    <n v="180000"/>
  </r>
  <r>
    <s v="ID_259"/>
    <d v="2025-03-23T00:00:00"/>
    <x v="3"/>
    <x v="3"/>
    <x v="0"/>
    <s v="Corporate"/>
    <s v="Store"/>
    <x v="7"/>
    <x v="2"/>
    <n v="420000"/>
    <n v="2"/>
    <x v="0"/>
    <n v="336000"/>
    <n v="840000"/>
    <n v="672000"/>
    <n v="168000"/>
  </r>
  <r>
    <s v="ID_1734"/>
    <d v="2025-03-28T00:00:00"/>
    <x v="3"/>
    <x v="3"/>
    <x v="2"/>
    <s v="Retail"/>
    <s v="Online"/>
    <x v="3"/>
    <x v="2"/>
    <n v="300000"/>
    <n v="8"/>
    <x v="1"/>
    <n v="240000"/>
    <n v="2400000"/>
    <n v="1920000"/>
    <n v="480000"/>
  </r>
  <r>
    <s v="ID_713"/>
    <d v="2025-01-02T00:00:00"/>
    <x v="0"/>
    <x v="1"/>
    <x v="2"/>
    <s v="Retail"/>
    <s v="Online"/>
    <x v="5"/>
    <x v="0"/>
    <n v="320000"/>
    <n v="1"/>
    <x v="1"/>
    <n v="256000"/>
    <n v="320000"/>
    <n v="256000"/>
    <n v="64000"/>
  </r>
  <r>
    <s v="ID_548"/>
    <d v="2025-01-17T00:00:00"/>
    <x v="0"/>
    <x v="1"/>
    <x v="2"/>
    <s v="Retail"/>
    <s v="Online"/>
    <x v="7"/>
    <x v="2"/>
    <n v="420000"/>
    <n v="9"/>
    <x v="0"/>
    <n v="336000"/>
    <n v="3780000"/>
    <n v="3024000"/>
    <n v="756000"/>
  </r>
  <r>
    <s v="ID_1061"/>
    <d v="2025-02-17T00:00:00"/>
    <x v="2"/>
    <x v="1"/>
    <x v="3"/>
    <s v="Corporate"/>
    <s v="Store"/>
    <x v="0"/>
    <x v="0"/>
    <n v="85000"/>
    <n v="8"/>
    <x v="5"/>
    <n v="68000"/>
    <n v="680000"/>
    <n v="544000"/>
    <n v="136000"/>
  </r>
  <r>
    <s v="ID_1834"/>
    <d v="2025-02-03T00:00:00"/>
    <x v="2"/>
    <x v="3"/>
    <x v="0"/>
    <s v="Corporate"/>
    <s v="Store"/>
    <x v="7"/>
    <x v="2"/>
    <n v="420000"/>
    <n v="10"/>
    <x v="3"/>
    <n v="336000"/>
    <n v="4200000"/>
    <n v="3360000"/>
    <n v="840000"/>
  </r>
  <r>
    <s v="ID_1484"/>
    <d v="2025-02-11T00:00:00"/>
    <x v="2"/>
    <x v="1"/>
    <x v="0"/>
    <s v="Retail"/>
    <s v="Store"/>
    <x v="8"/>
    <x v="2"/>
    <n v="250000"/>
    <n v="1"/>
    <x v="3"/>
    <n v="200000"/>
    <n v="250000"/>
    <n v="200000"/>
    <n v="50000"/>
  </r>
  <r>
    <s v="ID_152"/>
    <d v="2025-02-22T00:00:00"/>
    <x v="2"/>
    <x v="1"/>
    <x v="3"/>
    <s v="Corporate"/>
    <s v="Online"/>
    <x v="9"/>
    <x v="1"/>
    <n v="220000"/>
    <n v="5"/>
    <x v="5"/>
    <n v="176000"/>
    <n v="1100000"/>
    <n v="880000"/>
    <n v="220000"/>
  </r>
  <r>
    <s v="ID_1457"/>
    <d v="2025-03-19T00:00:00"/>
    <x v="3"/>
    <x v="3"/>
    <x v="1"/>
    <s v="Retail"/>
    <s v="Online"/>
    <x v="3"/>
    <x v="2"/>
    <n v="300000"/>
    <n v="1"/>
    <x v="0"/>
    <n v="240000"/>
    <n v="300000"/>
    <n v="240000"/>
    <n v="60000"/>
  </r>
  <r>
    <s v="ID_371"/>
    <d v="2025-02-26T00:00:00"/>
    <x v="2"/>
    <x v="3"/>
    <x v="2"/>
    <s v="Corporate"/>
    <s v="Store"/>
    <x v="2"/>
    <x v="1"/>
    <n v="60000"/>
    <n v="6"/>
    <x v="4"/>
    <n v="48000"/>
    <n v="360000"/>
    <n v="288000"/>
    <n v="72000"/>
  </r>
  <r>
    <s v="ID_1411"/>
    <d v="2025-03-04T00:00:00"/>
    <x v="3"/>
    <x v="2"/>
    <x v="3"/>
    <s v="Retail"/>
    <s v="Online"/>
    <x v="2"/>
    <x v="1"/>
    <n v="60000"/>
    <n v="8"/>
    <x v="1"/>
    <n v="48000"/>
    <n v="480000"/>
    <n v="384000"/>
    <n v="96000"/>
  </r>
  <r>
    <s v="ID_1245"/>
    <d v="2025-04-03T00:00:00"/>
    <x v="1"/>
    <x v="2"/>
    <x v="2"/>
    <s v="Retail"/>
    <s v="Store"/>
    <x v="9"/>
    <x v="1"/>
    <n v="220000"/>
    <n v="3"/>
    <x v="4"/>
    <n v="176000"/>
    <n v="660000"/>
    <n v="528000"/>
    <n v="132000"/>
  </r>
  <r>
    <s v="ID_921"/>
    <d v="2025-03-23T00:00:00"/>
    <x v="3"/>
    <x v="3"/>
    <x v="3"/>
    <s v="Retail"/>
    <s v="Online"/>
    <x v="2"/>
    <x v="1"/>
    <n v="60000"/>
    <n v="1"/>
    <x v="3"/>
    <n v="48000"/>
    <n v="60000"/>
    <n v="48000"/>
    <n v="12000"/>
  </r>
  <r>
    <s v="ID_1305"/>
    <d v="2025-03-16T00:00:00"/>
    <x v="3"/>
    <x v="1"/>
    <x v="1"/>
    <s v="Corporate"/>
    <s v="Online"/>
    <x v="6"/>
    <x v="2"/>
    <n v="150000"/>
    <n v="1"/>
    <x v="2"/>
    <n v="120000"/>
    <n v="150000"/>
    <n v="120000"/>
    <n v="30000"/>
  </r>
  <r>
    <s v="ID_1428"/>
    <d v="2025-03-16T00:00:00"/>
    <x v="3"/>
    <x v="0"/>
    <x v="2"/>
    <s v="Corporate"/>
    <s v="Online"/>
    <x v="5"/>
    <x v="0"/>
    <n v="320000"/>
    <n v="7"/>
    <x v="5"/>
    <n v="256000"/>
    <n v="2240000"/>
    <n v="1792000"/>
    <n v="448000"/>
  </r>
  <r>
    <s v="ID_967"/>
    <d v="2025-02-21T00:00:00"/>
    <x v="2"/>
    <x v="2"/>
    <x v="2"/>
    <s v="Retail"/>
    <s v="Store"/>
    <x v="0"/>
    <x v="0"/>
    <n v="85000"/>
    <n v="10"/>
    <x v="2"/>
    <n v="68000"/>
    <n v="850000"/>
    <n v="680000"/>
    <n v="170000"/>
  </r>
  <r>
    <s v="ID_294"/>
    <d v="2025-04-20T00:00:00"/>
    <x v="1"/>
    <x v="0"/>
    <x v="0"/>
    <s v="Corporate"/>
    <s v="Online"/>
    <x v="6"/>
    <x v="2"/>
    <n v="150000"/>
    <n v="10"/>
    <x v="0"/>
    <n v="120000"/>
    <n v="1500000"/>
    <n v="1200000"/>
    <n v="300000"/>
  </r>
  <r>
    <s v="ID_229"/>
    <d v="2025-01-24T00:00:00"/>
    <x v="0"/>
    <x v="2"/>
    <x v="1"/>
    <s v="Corporate"/>
    <s v="Online"/>
    <x v="2"/>
    <x v="1"/>
    <n v="60000"/>
    <n v="2"/>
    <x v="2"/>
    <n v="48000"/>
    <n v="120000"/>
    <n v="96000"/>
    <n v="24000"/>
  </r>
  <r>
    <s v="ID_1293"/>
    <d v="2025-03-08T00:00:00"/>
    <x v="3"/>
    <x v="3"/>
    <x v="3"/>
    <s v="Corporate"/>
    <s v="Online"/>
    <x v="3"/>
    <x v="2"/>
    <n v="300000"/>
    <n v="6"/>
    <x v="0"/>
    <n v="240000"/>
    <n v="1800000"/>
    <n v="1440000"/>
    <n v="360000"/>
  </r>
  <r>
    <s v="ID_1825"/>
    <d v="2025-03-04T00:00:00"/>
    <x v="3"/>
    <x v="1"/>
    <x v="2"/>
    <s v="Retail"/>
    <s v="Online"/>
    <x v="6"/>
    <x v="2"/>
    <n v="150000"/>
    <n v="3"/>
    <x v="4"/>
    <n v="120000"/>
    <n v="450000"/>
    <n v="360000"/>
    <n v="90000"/>
  </r>
  <r>
    <s v="ID_1606"/>
    <d v="2025-03-30T00:00:00"/>
    <x v="3"/>
    <x v="0"/>
    <x v="0"/>
    <s v="Corporate"/>
    <s v="Online"/>
    <x v="1"/>
    <x v="1"/>
    <n v="30000"/>
    <n v="2"/>
    <x v="1"/>
    <n v="24000"/>
    <n v="60000"/>
    <n v="48000"/>
    <n v="12000"/>
  </r>
  <r>
    <s v="ID_1096"/>
    <d v="2025-01-11T00:00:00"/>
    <x v="0"/>
    <x v="1"/>
    <x v="1"/>
    <s v="Retail"/>
    <s v="Online"/>
    <x v="4"/>
    <x v="1"/>
    <n v="180000"/>
    <n v="2"/>
    <x v="4"/>
    <n v="144000"/>
    <n v="360000"/>
    <n v="288000"/>
    <n v="72000"/>
  </r>
  <r>
    <s v="ID_729"/>
    <d v="2025-01-23T00:00:00"/>
    <x v="0"/>
    <x v="0"/>
    <x v="2"/>
    <s v="Corporate"/>
    <s v="Online"/>
    <x v="5"/>
    <x v="0"/>
    <n v="320000"/>
    <n v="3"/>
    <x v="2"/>
    <n v="256000"/>
    <n v="960000"/>
    <n v="768000"/>
    <n v="192000"/>
  </r>
  <r>
    <s v="ID_699"/>
    <d v="2025-01-05T00:00:00"/>
    <x v="0"/>
    <x v="2"/>
    <x v="2"/>
    <s v="Corporate"/>
    <s v="Store"/>
    <x v="1"/>
    <x v="1"/>
    <n v="30000"/>
    <n v="3"/>
    <x v="4"/>
    <n v="24000"/>
    <n v="90000"/>
    <n v="72000"/>
    <n v="18000"/>
  </r>
  <r>
    <s v="ID_1065"/>
    <d v="2025-04-17T00:00:00"/>
    <x v="1"/>
    <x v="0"/>
    <x v="3"/>
    <s v="Retail"/>
    <s v="Store"/>
    <x v="0"/>
    <x v="0"/>
    <n v="85000"/>
    <n v="3"/>
    <x v="3"/>
    <n v="68000"/>
    <n v="255000"/>
    <n v="204000"/>
    <n v="51000"/>
  </r>
  <r>
    <s v="ID_597"/>
    <d v="2025-02-26T00:00:00"/>
    <x v="2"/>
    <x v="3"/>
    <x v="2"/>
    <s v="Retail"/>
    <s v="Store"/>
    <x v="0"/>
    <x v="0"/>
    <n v="85000"/>
    <n v="10"/>
    <x v="4"/>
    <n v="68000"/>
    <n v="850000"/>
    <n v="680000"/>
    <n v="170000"/>
  </r>
  <r>
    <s v="ID_373"/>
    <d v="2025-03-06T00:00:00"/>
    <x v="3"/>
    <x v="1"/>
    <x v="0"/>
    <s v="Corporate"/>
    <s v="Store"/>
    <x v="4"/>
    <x v="1"/>
    <n v="180000"/>
    <n v="10"/>
    <x v="0"/>
    <n v="144000"/>
    <n v="1800000"/>
    <n v="1440000"/>
    <n v="360000"/>
  </r>
  <r>
    <s v="ID_755"/>
    <d v="2025-01-16T00:00:00"/>
    <x v="0"/>
    <x v="0"/>
    <x v="1"/>
    <s v="Retail"/>
    <s v="Store"/>
    <x v="9"/>
    <x v="1"/>
    <n v="220000"/>
    <n v="9"/>
    <x v="2"/>
    <n v="176000"/>
    <n v="1980000"/>
    <n v="1584000"/>
    <n v="396000"/>
  </r>
  <r>
    <s v="ID_897"/>
    <d v="2025-03-03T00:00:00"/>
    <x v="3"/>
    <x v="0"/>
    <x v="3"/>
    <s v="Corporate"/>
    <s v="Store"/>
    <x v="7"/>
    <x v="2"/>
    <n v="420000"/>
    <n v="9"/>
    <x v="2"/>
    <n v="336000"/>
    <n v="3780000"/>
    <n v="3024000"/>
    <n v="756000"/>
  </r>
  <r>
    <s v="ID_159"/>
    <d v="2025-02-24T00:00:00"/>
    <x v="2"/>
    <x v="1"/>
    <x v="0"/>
    <s v="Corporate"/>
    <s v="Online"/>
    <x v="4"/>
    <x v="1"/>
    <n v="180000"/>
    <n v="2"/>
    <x v="4"/>
    <n v="144000"/>
    <n v="360000"/>
    <n v="288000"/>
    <n v="72000"/>
  </r>
  <r>
    <s v="ID_1350"/>
    <d v="2025-03-16T00:00:00"/>
    <x v="3"/>
    <x v="0"/>
    <x v="1"/>
    <s v="Corporate"/>
    <s v="Online"/>
    <x v="3"/>
    <x v="2"/>
    <n v="300000"/>
    <n v="3"/>
    <x v="1"/>
    <n v="240000"/>
    <n v="900000"/>
    <n v="720000"/>
    <n v="180000"/>
  </r>
  <r>
    <s v="ID_73"/>
    <d v="2025-02-25T00:00:00"/>
    <x v="2"/>
    <x v="3"/>
    <x v="2"/>
    <s v="Corporate"/>
    <s v="Online"/>
    <x v="4"/>
    <x v="1"/>
    <n v="180000"/>
    <n v="1"/>
    <x v="5"/>
    <n v="144000"/>
    <n v="180000"/>
    <n v="144000"/>
    <n v="36000"/>
  </r>
  <r>
    <s v="ID_1713"/>
    <d v="2025-04-11T00:00:00"/>
    <x v="1"/>
    <x v="3"/>
    <x v="1"/>
    <s v="Retail"/>
    <s v="Store"/>
    <x v="5"/>
    <x v="0"/>
    <n v="320000"/>
    <n v="9"/>
    <x v="3"/>
    <n v="256000"/>
    <n v="2880000"/>
    <n v="2304000"/>
    <n v="576000"/>
  </r>
  <r>
    <s v="ID_1043"/>
    <d v="2025-03-18T00:00:00"/>
    <x v="3"/>
    <x v="3"/>
    <x v="0"/>
    <s v="Retail"/>
    <s v="Online"/>
    <x v="5"/>
    <x v="0"/>
    <n v="320000"/>
    <n v="5"/>
    <x v="1"/>
    <n v="256000"/>
    <n v="1600000"/>
    <n v="1280000"/>
    <n v="320000"/>
  </r>
  <r>
    <s v="ID_1430"/>
    <d v="2025-02-20T00:00:00"/>
    <x v="2"/>
    <x v="3"/>
    <x v="3"/>
    <s v="Retail"/>
    <s v="Online"/>
    <x v="2"/>
    <x v="1"/>
    <n v="60000"/>
    <n v="8"/>
    <x v="5"/>
    <n v="48000"/>
    <n v="480000"/>
    <n v="384000"/>
    <n v="96000"/>
  </r>
  <r>
    <s v="ID_977"/>
    <d v="2025-03-05T00:00:00"/>
    <x v="3"/>
    <x v="2"/>
    <x v="0"/>
    <s v="Corporate"/>
    <s v="Online"/>
    <x v="0"/>
    <x v="0"/>
    <n v="85000"/>
    <n v="8"/>
    <x v="1"/>
    <n v="68000"/>
    <n v="680000"/>
    <n v="544000"/>
    <n v="136000"/>
  </r>
  <r>
    <s v="ID_1875"/>
    <d v="2025-03-31T00:00:00"/>
    <x v="3"/>
    <x v="1"/>
    <x v="0"/>
    <s v="Retail"/>
    <s v="Store"/>
    <x v="5"/>
    <x v="0"/>
    <n v="320000"/>
    <n v="5"/>
    <x v="1"/>
    <n v="256000"/>
    <n v="1600000"/>
    <n v="1280000"/>
    <n v="320000"/>
  </r>
  <r>
    <s v="ID_2098"/>
    <d v="2025-02-18T00:00:00"/>
    <x v="2"/>
    <x v="3"/>
    <x v="2"/>
    <s v="Corporate"/>
    <s v="Online"/>
    <x v="6"/>
    <x v="2"/>
    <n v="150000"/>
    <n v="3"/>
    <x v="4"/>
    <n v="120000"/>
    <n v="450000"/>
    <n v="360000"/>
    <n v="90000"/>
  </r>
  <r>
    <s v="ID_57"/>
    <d v="2025-01-09T00:00:00"/>
    <x v="0"/>
    <x v="3"/>
    <x v="2"/>
    <s v="Retail"/>
    <s v="Store"/>
    <x v="6"/>
    <x v="2"/>
    <n v="150000"/>
    <n v="1"/>
    <x v="0"/>
    <n v="120000"/>
    <n v="150000"/>
    <n v="120000"/>
    <n v="30000"/>
  </r>
  <r>
    <s v="ID_1011"/>
    <d v="2025-04-21T00:00:00"/>
    <x v="1"/>
    <x v="2"/>
    <x v="2"/>
    <s v="Corporate"/>
    <s v="Online"/>
    <x v="2"/>
    <x v="1"/>
    <n v="60000"/>
    <n v="7"/>
    <x v="1"/>
    <n v="48000"/>
    <n v="420000"/>
    <n v="336000"/>
    <n v="84000"/>
  </r>
  <r>
    <s v="ID_2050"/>
    <d v="2025-03-09T00:00:00"/>
    <x v="3"/>
    <x v="0"/>
    <x v="0"/>
    <s v="Retail"/>
    <s v="Online"/>
    <x v="4"/>
    <x v="1"/>
    <n v="180000"/>
    <n v="1"/>
    <x v="1"/>
    <n v="144000"/>
    <n v="180000"/>
    <n v="144000"/>
    <n v="36000"/>
  </r>
  <r>
    <s v="ID_972"/>
    <d v="2025-04-29T00:00:00"/>
    <x v="1"/>
    <x v="2"/>
    <x v="0"/>
    <s v="Corporate"/>
    <s v="Online"/>
    <x v="4"/>
    <x v="1"/>
    <n v="180000"/>
    <n v="1"/>
    <x v="3"/>
    <n v="144000"/>
    <n v="180000"/>
    <n v="144000"/>
    <n v="36000"/>
  </r>
  <r>
    <s v="ID_263"/>
    <d v="2025-02-08T00:00:00"/>
    <x v="2"/>
    <x v="2"/>
    <x v="0"/>
    <s v="Retail"/>
    <s v="Store"/>
    <x v="8"/>
    <x v="2"/>
    <n v="250000"/>
    <n v="9"/>
    <x v="0"/>
    <n v="200000"/>
    <n v="2250000"/>
    <n v="1800000"/>
    <n v="450000"/>
  </r>
  <r>
    <s v="ID_724"/>
    <d v="2025-03-20T00:00:00"/>
    <x v="3"/>
    <x v="0"/>
    <x v="2"/>
    <s v="Corporate"/>
    <s v="Online"/>
    <x v="5"/>
    <x v="0"/>
    <n v="320000"/>
    <n v="1"/>
    <x v="1"/>
    <n v="256000"/>
    <n v="320000"/>
    <n v="256000"/>
    <n v="64000"/>
  </r>
  <r>
    <s v="ID_923"/>
    <d v="2025-02-07T00:00:00"/>
    <x v="2"/>
    <x v="2"/>
    <x v="1"/>
    <s v="Retail"/>
    <s v="Store"/>
    <x v="4"/>
    <x v="1"/>
    <n v="180000"/>
    <n v="10"/>
    <x v="0"/>
    <n v="144000"/>
    <n v="1800000"/>
    <n v="1440000"/>
    <n v="360000"/>
  </r>
  <r>
    <s v="ID_854"/>
    <d v="2025-04-07T00:00:00"/>
    <x v="1"/>
    <x v="1"/>
    <x v="2"/>
    <s v="Retail"/>
    <s v="Store"/>
    <x v="3"/>
    <x v="2"/>
    <n v="300000"/>
    <n v="10"/>
    <x v="3"/>
    <n v="240000"/>
    <n v="3000000"/>
    <n v="2400000"/>
    <n v="600000"/>
  </r>
  <r>
    <s v="ID_1368"/>
    <d v="2025-04-15T00:00:00"/>
    <x v="1"/>
    <x v="2"/>
    <x v="0"/>
    <s v="Retail"/>
    <s v="Online"/>
    <x v="7"/>
    <x v="2"/>
    <n v="420000"/>
    <n v="4"/>
    <x v="4"/>
    <n v="336000"/>
    <n v="1680000"/>
    <n v="1344000"/>
    <n v="336000"/>
  </r>
  <r>
    <s v="ID_63"/>
    <d v="2025-04-20T00:00:00"/>
    <x v="1"/>
    <x v="0"/>
    <x v="0"/>
    <s v="Corporate"/>
    <s v="Store"/>
    <x v="1"/>
    <x v="1"/>
    <n v="30000"/>
    <n v="4"/>
    <x v="2"/>
    <n v="24000"/>
    <n v="120000"/>
    <n v="96000"/>
    <n v="24000"/>
  </r>
  <r>
    <s v="ID_733"/>
    <d v="2025-03-25T00:00:00"/>
    <x v="3"/>
    <x v="3"/>
    <x v="2"/>
    <s v="Retail"/>
    <s v="Online"/>
    <x v="1"/>
    <x v="1"/>
    <n v="30000"/>
    <n v="10"/>
    <x v="3"/>
    <n v="24000"/>
    <n v="300000"/>
    <n v="240000"/>
    <n v="60000"/>
  </r>
  <r>
    <s v="ID_364"/>
    <d v="2025-04-08T00:00:00"/>
    <x v="1"/>
    <x v="2"/>
    <x v="0"/>
    <s v="Corporate"/>
    <s v="Store"/>
    <x v="2"/>
    <x v="1"/>
    <n v="60000"/>
    <n v="7"/>
    <x v="0"/>
    <n v="48000"/>
    <n v="420000"/>
    <n v="336000"/>
    <n v="84000"/>
  </r>
  <r>
    <s v="ID_834"/>
    <d v="2025-03-19T00:00:00"/>
    <x v="3"/>
    <x v="3"/>
    <x v="0"/>
    <s v="Corporate"/>
    <s v="Store"/>
    <x v="4"/>
    <x v="1"/>
    <n v="180000"/>
    <n v="4"/>
    <x v="5"/>
    <n v="144000"/>
    <n v="720000"/>
    <n v="576000"/>
    <n v="144000"/>
  </r>
  <r>
    <s v="ID_815"/>
    <d v="2025-02-02T00:00:00"/>
    <x v="2"/>
    <x v="0"/>
    <x v="3"/>
    <s v="Retail"/>
    <s v="Store"/>
    <x v="1"/>
    <x v="1"/>
    <n v="30000"/>
    <n v="7"/>
    <x v="3"/>
    <n v="24000"/>
    <n v="210000"/>
    <n v="168000"/>
    <n v="42000"/>
  </r>
  <r>
    <s v="ID_1226"/>
    <d v="2025-03-05T00:00:00"/>
    <x v="3"/>
    <x v="2"/>
    <x v="1"/>
    <s v="Corporate"/>
    <s v="Store"/>
    <x v="7"/>
    <x v="2"/>
    <n v="420000"/>
    <n v="10"/>
    <x v="0"/>
    <n v="336000"/>
    <n v="4200000"/>
    <n v="3360000"/>
    <n v="840000"/>
  </r>
  <r>
    <s v="ID_1620"/>
    <d v="2025-02-23T00:00:00"/>
    <x v="2"/>
    <x v="1"/>
    <x v="0"/>
    <s v="Corporate"/>
    <s v="Online"/>
    <x v="7"/>
    <x v="2"/>
    <n v="420000"/>
    <n v="7"/>
    <x v="3"/>
    <n v="336000"/>
    <n v="2940000"/>
    <n v="2352000"/>
    <n v="588000"/>
  </r>
  <r>
    <s v="ID_459"/>
    <d v="2025-04-27T00:00:00"/>
    <x v="1"/>
    <x v="2"/>
    <x v="2"/>
    <s v="Retail"/>
    <s v="Store"/>
    <x v="8"/>
    <x v="2"/>
    <n v="250000"/>
    <n v="5"/>
    <x v="1"/>
    <n v="200000"/>
    <n v="1250000"/>
    <n v="1000000"/>
    <n v="250000"/>
  </r>
  <r>
    <s v="ID_1634"/>
    <d v="2025-01-12T00:00:00"/>
    <x v="0"/>
    <x v="0"/>
    <x v="3"/>
    <s v="Corporate"/>
    <s v="Online"/>
    <x v="7"/>
    <x v="2"/>
    <n v="420000"/>
    <n v="5"/>
    <x v="2"/>
    <n v="336000"/>
    <n v="2100000"/>
    <n v="1680000"/>
    <n v="420000"/>
  </r>
  <r>
    <s v="ID_1551"/>
    <d v="2025-04-13T00:00:00"/>
    <x v="1"/>
    <x v="1"/>
    <x v="2"/>
    <s v="Corporate"/>
    <s v="Store"/>
    <x v="5"/>
    <x v="0"/>
    <n v="320000"/>
    <n v="2"/>
    <x v="2"/>
    <n v="256000"/>
    <n v="640000"/>
    <n v="512000"/>
    <n v="128000"/>
  </r>
  <r>
    <s v="ID_949"/>
    <d v="2025-04-15T00:00:00"/>
    <x v="1"/>
    <x v="3"/>
    <x v="0"/>
    <s v="Retail"/>
    <s v="Store"/>
    <x v="3"/>
    <x v="2"/>
    <n v="300000"/>
    <n v="10"/>
    <x v="4"/>
    <n v="240000"/>
    <n v="3000000"/>
    <n v="2400000"/>
    <n v="600000"/>
  </r>
  <r>
    <s v="ID_721"/>
    <d v="2025-01-23T00:00:00"/>
    <x v="0"/>
    <x v="1"/>
    <x v="0"/>
    <s v="Retail"/>
    <s v="Online"/>
    <x v="8"/>
    <x v="2"/>
    <n v="250000"/>
    <n v="5"/>
    <x v="4"/>
    <n v="200000"/>
    <n v="1250000"/>
    <n v="1000000"/>
    <n v="250000"/>
  </r>
  <r>
    <s v="ID_628"/>
    <d v="2025-04-08T00:00:00"/>
    <x v="1"/>
    <x v="2"/>
    <x v="2"/>
    <s v="Corporate"/>
    <s v="Store"/>
    <x v="8"/>
    <x v="2"/>
    <n v="250000"/>
    <n v="2"/>
    <x v="1"/>
    <n v="200000"/>
    <n v="500000"/>
    <n v="400000"/>
    <n v="100000"/>
  </r>
  <r>
    <s v="ID_1720"/>
    <d v="2025-01-21T00:00:00"/>
    <x v="0"/>
    <x v="3"/>
    <x v="1"/>
    <s v="Retail"/>
    <s v="Store"/>
    <x v="4"/>
    <x v="1"/>
    <n v="180000"/>
    <n v="1"/>
    <x v="0"/>
    <n v="144000"/>
    <n v="180000"/>
    <n v="144000"/>
    <n v="36000"/>
  </r>
  <r>
    <s v="ID_1993"/>
    <d v="2025-03-30T00:00:00"/>
    <x v="3"/>
    <x v="1"/>
    <x v="1"/>
    <s v="Retail"/>
    <s v="Store"/>
    <x v="5"/>
    <x v="0"/>
    <n v="320000"/>
    <n v="10"/>
    <x v="3"/>
    <n v="256000"/>
    <n v="3200000"/>
    <n v="2560000"/>
    <n v="640000"/>
  </r>
  <r>
    <s v="ID_1986"/>
    <d v="2025-02-11T00:00:00"/>
    <x v="2"/>
    <x v="2"/>
    <x v="2"/>
    <s v="Corporate"/>
    <s v="Store"/>
    <x v="6"/>
    <x v="2"/>
    <n v="150000"/>
    <n v="2"/>
    <x v="0"/>
    <n v="120000"/>
    <n v="300000"/>
    <n v="240000"/>
    <n v="60000"/>
  </r>
  <r>
    <s v="ID_1443"/>
    <d v="2025-03-13T00:00:00"/>
    <x v="3"/>
    <x v="1"/>
    <x v="1"/>
    <s v="Retail"/>
    <s v="Store"/>
    <x v="4"/>
    <x v="1"/>
    <n v="180000"/>
    <n v="10"/>
    <x v="2"/>
    <n v="144000"/>
    <n v="1800000"/>
    <n v="1440000"/>
    <n v="360000"/>
  </r>
  <r>
    <s v="ID_1220"/>
    <d v="2025-04-19T00:00:00"/>
    <x v="1"/>
    <x v="0"/>
    <x v="1"/>
    <s v="Retail"/>
    <s v="Online"/>
    <x v="6"/>
    <x v="2"/>
    <n v="150000"/>
    <n v="2"/>
    <x v="2"/>
    <n v="120000"/>
    <n v="300000"/>
    <n v="240000"/>
    <n v="60000"/>
  </r>
  <r>
    <s v="ID_1980"/>
    <d v="2025-04-19T00:00:00"/>
    <x v="1"/>
    <x v="2"/>
    <x v="2"/>
    <s v="Corporate"/>
    <s v="Store"/>
    <x v="2"/>
    <x v="1"/>
    <n v="60000"/>
    <n v="10"/>
    <x v="2"/>
    <n v="48000"/>
    <n v="600000"/>
    <n v="480000"/>
    <n v="120000"/>
  </r>
  <r>
    <s v="ID_1507"/>
    <d v="2025-03-18T00:00:00"/>
    <x v="3"/>
    <x v="0"/>
    <x v="3"/>
    <s v="Corporate"/>
    <s v="Online"/>
    <x v="9"/>
    <x v="1"/>
    <n v="220000"/>
    <n v="4"/>
    <x v="3"/>
    <n v="176000"/>
    <n v="880000"/>
    <n v="704000"/>
    <n v="176000"/>
  </r>
  <r>
    <s v="ID_1296"/>
    <d v="2025-04-27T00:00:00"/>
    <x v="1"/>
    <x v="2"/>
    <x v="1"/>
    <s v="Retail"/>
    <s v="Online"/>
    <x v="2"/>
    <x v="1"/>
    <n v="60000"/>
    <n v="5"/>
    <x v="3"/>
    <n v="48000"/>
    <n v="300000"/>
    <n v="240000"/>
    <n v="60000"/>
  </r>
  <r>
    <s v="ID_715"/>
    <d v="2025-02-11T00:00:00"/>
    <x v="2"/>
    <x v="2"/>
    <x v="3"/>
    <s v="Corporate"/>
    <s v="Online"/>
    <x v="8"/>
    <x v="2"/>
    <n v="250000"/>
    <n v="3"/>
    <x v="1"/>
    <n v="200000"/>
    <n v="750000"/>
    <n v="600000"/>
    <n v="150000"/>
  </r>
  <r>
    <s v="ID_1354"/>
    <d v="2025-01-16T00:00:00"/>
    <x v="0"/>
    <x v="2"/>
    <x v="1"/>
    <s v="Corporate"/>
    <s v="Store"/>
    <x v="6"/>
    <x v="2"/>
    <n v="150000"/>
    <n v="1"/>
    <x v="4"/>
    <n v="120000"/>
    <n v="150000"/>
    <n v="120000"/>
    <n v="30000"/>
  </r>
  <r>
    <s v="ID_841"/>
    <d v="2025-02-24T00:00:00"/>
    <x v="2"/>
    <x v="3"/>
    <x v="3"/>
    <s v="Corporate"/>
    <s v="Store"/>
    <x v="9"/>
    <x v="1"/>
    <n v="220000"/>
    <n v="1"/>
    <x v="1"/>
    <n v="176000"/>
    <n v="220000"/>
    <n v="176000"/>
    <n v="44000"/>
  </r>
  <r>
    <s v="ID_2039"/>
    <d v="2025-01-04T00:00:00"/>
    <x v="0"/>
    <x v="1"/>
    <x v="2"/>
    <s v="Retail"/>
    <s v="Store"/>
    <x v="8"/>
    <x v="2"/>
    <n v="250000"/>
    <n v="6"/>
    <x v="4"/>
    <n v="200000"/>
    <n v="1500000"/>
    <n v="1200000"/>
    <n v="300000"/>
  </r>
  <r>
    <s v="ID_222"/>
    <d v="2025-03-19T00:00:00"/>
    <x v="3"/>
    <x v="0"/>
    <x v="3"/>
    <s v="Retail"/>
    <s v="Store"/>
    <x v="9"/>
    <x v="1"/>
    <n v="220000"/>
    <n v="10"/>
    <x v="3"/>
    <n v="176000"/>
    <n v="2200000"/>
    <n v="1760000"/>
    <n v="440000"/>
  </r>
  <r>
    <s v="ID_963"/>
    <d v="2025-04-26T00:00:00"/>
    <x v="1"/>
    <x v="1"/>
    <x v="0"/>
    <s v="Retail"/>
    <s v="Store"/>
    <x v="4"/>
    <x v="1"/>
    <n v="180000"/>
    <n v="10"/>
    <x v="1"/>
    <n v="144000"/>
    <n v="1800000"/>
    <n v="1440000"/>
    <n v="360000"/>
  </r>
  <r>
    <s v="ID_1628"/>
    <d v="2025-03-10T00:00:00"/>
    <x v="3"/>
    <x v="0"/>
    <x v="0"/>
    <s v="Corporate"/>
    <s v="Online"/>
    <x v="2"/>
    <x v="1"/>
    <n v="60000"/>
    <n v="6"/>
    <x v="5"/>
    <n v="48000"/>
    <n v="360000"/>
    <n v="288000"/>
    <n v="72000"/>
  </r>
  <r>
    <s v="ID_1748"/>
    <d v="2025-04-20T00:00:00"/>
    <x v="1"/>
    <x v="3"/>
    <x v="2"/>
    <s v="Retail"/>
    <s v="Store"/>
    <x v="9"/>
    <x v="1"/>
    <n v="220000"/>
    <n v="4"/>
    <x v="1"/>
    <n v="176000"/>
    <n v="880000"/>
    <n v="704000"/>
    <n v="176000"/>
  </r>
  <r>
    <s v="ID_1307"/>
    <d v="2025-02-13T00:00:00"/>
    <x v="2"/>
    <x v="2"/>
    <x v="3"/>
    <s v="Corporate"/>
    <s v="Online"/>
    <x v="6"/>
    <x v="2"/>
    <n v="150000"/>
    <n v="1"/>
    <x v="1"/>
    <n v="120000"/>
    <n v="150000"/>
    <n v="120000"/>
    <n v="30000"/>
  </r>
  <r>
    <s v="ID_1693"/>
    <d v="2025-02-03T00:00:00"/>
    <x v="2"/>
    <x v="2"/>
    <x v="2"/>
    <s v="Retail"/>
    <s v="Store"/>
    <x v="4"/>
    <x v="1"/>
    <n v="180000"/>
    <n v="1"/>
    <x v="2"/>
    <n v="144000"/>
    <n v="180000"/>
    <n v="144000"/>
    <n v="36000"/>
  </r>
  <r>
    <s v="ID_935"/>
    <d v="2025-04-11T00:00:00"/>
    <x v="1"/>
    <x v="1"/>
    <x v="3"/>
    <s v="Corporate"/>
    <s v="Store"/>
    <x v="9"/>
    <x v="1"/>
    <n v="220000"/>
    <n v="8"/>
    <x v="2"/>
    <n v="176000"/>
    <n v="1760000"/>
    <n v="1408000"/>
    <n v="352000"/>
  </r>
  <r>
    <s v="ID_857"/>
    <d v="2025-01-26T00:00:00"/>
    <x v="0"/>
    <x v="0"/>
    <x v="1"/>
    <s v="Retail"/>
    <s v="Store"/>
    <x v="8"/>
    <x v="2"/>
    <n v="250000"/>
    <n v="3"/>
    <x v="1"/>
    <n v="200000"/>
    <n v="750000"/>
    <n v="600000"/>
    <n v="150000"/>
  </r>
  <r>
    <s v="ID_612"/>
    <d v="2025-03-05T00:00:00"/>
    <x v="3"/>
    <x v="3"/>
    <x v="1"/>
    <s v="Corporate"/>
    <s v="Store"/>
    <x v="2"/>
    <x v="1"/>
    <n v="60000"/>
    <n v="1"/>
    <x v="3"/>
    <n v="48000"/>
    <n v="60000"/>
    <n v="48000"/>
    <n v="12000"/>
  </r>
  <r>
    <s v="ID_916"/>
    <d v="2025-04-13T00:00:00"/>
    <x v="1"/>
    <x v="1"/>
    <x v="3"/>
    <s v="Retail"/>
    <s v="Store"/>
    <x v="5"/>
    <x v="0"/>
    <n v="320000"/>
    <n v="4"/>
    <x v="0"/>
    <n v="256000"/>
    <n v="1280000"/>
    <n v="1024000"/>
    <n v="256000"/>
  </r>
  <r>
    <s v="ID_602"/>
    <d v="2025-03-15T00:00:00"/>
    <x v="3"/>
    <x v="2"/>
    <x v="2"/>
    <s v="Corporate"/>
    <s v="Store"/>
    <x v="7"/>
    <x v="2"/>
    <n v="420000"/>
    <n v="8"/>
    <x v="1"/>
    <n v="336000"/>
    <n v="3360000"/>
    <n v="2688000"/>
    <n v="672000"/>
  </r>
  <r>
    <s v="ID_802"/>
    <d v="2025-02-21T00:00:00"/>
    <x v="2"/>
    <x v="2"/>
    <x v="1"/>
    <s v="Corporate"/>
    <s v="Store"/>
    <x v="7"/>
    <x v="2"/>
    <n v="420000"/>
    <n v="8"/>
    <x v="3"/>
    <n v="336000"/>
    <n v="3360000"/>
    <n v="2688000"/>
    <n v="672000"/>
  </r>
  <r>
    <s v="ID_1753"/>
    <d v="2025-01-30T00:00:00"/>
    <x v="0"/>
    <x v="3"/>
    <x v="1"/>
    <s v="Retail"/>
    <s v="Store"/>
    <x v="2"/>
    <x v="1"/>
    <n v="60000"/>
    <n v="1"/>
    <x v="5"/>
    <n v="48000"/>
    <n v="60000"/>
    <n v="48000"/>
    <n v="12000"/>
  </r>
  <r>
    <s v="ID_396"/>
    <d v="2025-03-04T00:00:00"/>
    <x v="3"/>
    <x v="1"/>
    <x v="0"/>
    <s v="Corporate"/>
    <s v="Store"/>
    <x v="4"/>
    <x v="1"/>
    <n v="180000"/>
    <n v="8"/>
    <x v="1"/>
    <n v="144000"/>
    <n v="1440000"/>
    <n v="1152000"/>
    <n v="288000"/>
  </r>
  <r>
    <s v="ID_1249"/>
    <d v="2025-01-02T00:00:00"/>
    <x v="0"/>
    <x v="0"/>
    <x v="1"/>
    <s v="Corporate"/>
    <s v="Store"/>
    <x v="4"/>
    <x v="1"/>
    <n v="180000"/>
    <n v="2"/>
    <x v="1"/>
    <n v="144000"/>
    <n v="360000"/>
    <n v="288000"/>
    <n v="72000"/>
  </r>
  <r>
    <s v="ID_909"/>
    <d v="2025-04-20T00:00:00"/>
    <x v="1"/>
    <x v="2"/>
    <x v="1"/>
    <s v="Corporate"/>
    <s v="Online"/>
    <x v="3"/>
    <x v="2"/>
    <n v="300000"/>
    <n v="7"/>
    <x v="3"/>
    <n v="240000"/>
    <n v="2100000"/>
    <n v="1680000"/>
    <n v="420000"/>
  </r>
  <r>
    <s v="ID_883"/>
    <d v="2025-01-10T00:00:00"/>
    <x v="0"/>
    <x v="0"/>
    <x v="2"/>
    <s v="Retail"/>
    <s v="Online"/>
    <x v="8"/>
    <x v="2"/>
    <n v="250000"/>
    <n v="6"/>
    <x v="3"/>
    <n v="200000"/>
    <n v="1500000"/>
    <n v="1200000"/>
    <n v="300000"/>
  </r>
  <r>
    <s v="ID_683"/>
    <d v="2025-04-10T00:00:00"/>
    <x v="1"/>
    <x v="3"/>
    <x v="2"/>
    <s v="Retail"/>
    <s v="Store"/>
    <x v="6"/>
    <x v="2"/>
    <n v="150000"/>
    <n v="5"/>
    <x v="1"/>
    <n v="120000"/>
    <n v="750000"/>
    <n v="600000"/>
    <n v="150000"/>
  </r>
  <r>
    <s v="ID_85"/>
    <d v="2025-03-09T00:00:00"/>
    <x v="3"/>
    <x v="0"/>
    <x v="3"/>
    <s v="Retail"/>
    <s v="Online"/>
    <x v="0"/>
    <x v="0"/>
    <n v="85000"/>
    <n v="10"/>
    <x v="1"/>
    <n v="68000"/>
    <n v="850000"/>
    <n v="680000"/>
    <n v="170000"/>
  </r>
  <r>
    <s v="ID_380"/>
    <d v="2025-01-15T00:00:00"/>
    <x v="0"/>
    <x v="3"/>
    <x v="3"/>
    <s v="Retail"/>
    <s v="Online"/>
    <x v="0"/>
    <x v="0"/>
    <n v="85000"/>
    <n v="8"/>
    <x v="3"/>
    <n v="68000"/>
    <n v="680000"/>
    <n v="544000"/>
    <n v="136000"/>
  </r>
  <r>
    <s v="ID_1347"/>
    <d v="2025-05-01T00:00:00"/>
    <x v="4"/>
    <x v="2"/>
    <x v="0"/>
    <s v="Retail"/>
    <s v="Online"/>
    <x v="0"/>
    <x v="0"/>
    <n v="85000"/>
    <n v="2"/>
    <x v="2"/>
    <n v="68000"/>
    <n v="170000"/>
    <n v="136000"/>
    <n v="34000"/>
  </r>
  <r>
    <s v="ID_1398"/>
    <d v="2025-03-05T00:00:00"/>
    <x v="3"/>
    <x v="0"/>
    <x v="3"/>
    <s v="Retail"/>
    <s v="Online"/>
    <x v="8"/>
    <x v="2"/>
    <n v="250000"/>
    <n v="4"/>
    <x v="0"/>
    <n v="200000"/>
    <n v="1000000"/>
    <n v="800000"/>
    <n v="200000"/>
  </r>
  <r>
    <s v="ID_1827"/>
    <d v="2025-04-26T00:00:00"/>
    <x v="1"/>
    <x v="2"/>
    <x v="0"/>
    <s v="Retail"/>
    <s v="Online"/>
    <x v="6"/>
    <x v="2"/>
    <n v="150000"/>
    <n v="6"/>
    <x v="5"/>
    <n v="120000"/>
    <n v="900000"/>
    <n v="720000"/>
    <n v="180000"/>
  </r>
  <r>
    <s v="ID_783"/>
    <d v="2025-02-27T00:00:00"/>
    <x v="2"/>
    <x v="2"/>
    <x v="3"/>
    <s v="Corporate"/>
    <s v="Store"/>
    <x v="4"/>
    <x v="1"/>
    <n v="180000"/>
    <n v="10"/>
    <x v="4"/>
    <n v="144000"/>
    <n v="1800000"/>
    <n v="1440000"/>
    <n v="360000"/>
  </r>
  <r>
    <s v="ID_1402"/>
    <d v="2025-03-25T00:00:00"/>
    <x v="3"/>
    <x v="2"/>
    <x v="3"/>
    <s v="Retail"/>
    <s v="Online"/>
    <x v="6"/>
    <x v="2"/>
    <n v="150000"/>
    <n v="8"/>
    <x v="0"/>
    <n v="120000"/>
    <n v="1200000"/>
    <n v="960000"/>
    <n v="240000"/>
  </r>
  <r>
    <s v="ID_419"/>
    <d v="2025-01-22T00:00:00"/>
    <x v="0"/>
    <x v="2"/>
    <x v="1"/>
    <s v="Retail"/>
    <s v="Online"/>
    <x v="4"/>
    <x v="1"/>
    <n v="180000"/>
    <n v="8"/>
    <x v="1"/>
    <n v="144000"/>
    <n v="1440000"/>
    <n v="1152000"/>
    <n v="288000"/>
  </r>
  <r>
    <s v="ID_1004"/>
    <d v="2025-02-20T00:00:00"/>
    <x v="2"/>
    <x v="1"/>
    <x v="2"/>
    <s v="Corporate"/>
    <s v="Online"/>
    <x v="6"/>
    <x v="2"/>
    <n v="150000"/>
    <n v="6"/>
    <x v="3"/>
    <n v="120000"/>
    <n v="900000"/>
    <n v="720000"/>
    <n v="180000"/>
  </r>
  <r>
    <s v="ID_594"/>
    <d v="2025-04-13T00:00:00"/>
    <x v="1"/>
    <x v="2"/>
    <x v="3"/>
    <s v="Corporate"/>
    <s v="Store"/>
    <x v="6"/>
    <x v="2"/>
    <n v="150000"/>
    <n v="4"/>
    <x v="5"/>
    <n v="120000"/>
    <n v="600000"/>
    <n v="480000"/>
    <n v="120000"/>
  </r>
  <r>
    <s v="ID_923"/>
    <d v="2025-01-03T00:00:00"/>
    <x v="0"/>
    <x v="0"/>
    <x v="1"/>
    <s v="Retail"/>
    <s v="Online"/>
    <x v="4"/>
    <x v="1"/>
    <n v="180000"/>
    <n v="1"/>
    <x v="3"/>
    <n v="144000"/>
    <n v="180000"/>
    <n v="144000"/>
    <n v="36000"/>
  </r>
  <r>
    <s v="ID_131"/>
    <d v="2025-04-13T00:00:00"/>
    <x v="1"/>
    <x v="3"/>
    <x v="1"/>
    <s v="Retail"/>
    <s v="Online"/>
    <x v="8"/>
    <x v="2"/>
    <n v="250000"/>
    <n v="6"/>
    <x v="5"/>
    <n v="200000"/>
    <n v="1500000"/>
    <n v="1200000"/>
    <n v="300000"/>
  </r>
  <r>
    <s v="ID_676"/>
    <d v="2025-03-05T00:00:00"/>
    <x v="3"/>
    <x v="2"/>
    <x v="0"/>
    <s v="Retail"/>
    <s v="Online"/>
    <x v="2"/>
    <x v="1"/>
    <n v="60000"/>
    <n v="6"/>
    <x v="1"/>
    <n v="48000"/>
    <n v="360000"/>
    <n v="288000"/>
    <n v="72000"/>
  </r>
  <r>
    <s v="ID_865"/>
    <d v="2025-01-26T00:00:00"/>
    <x v="0"/>
    <x v="3"/>
    <x v="3"/>
    <s v="Corporate"/>
    <s v="Store"/>
    <x v="6"/>
    <x v="2"/>
    <n v="150000"/>
    <n v="2"/>
    <x v="1"/>
    <n v="120000"/>
    <n v="300000"/>
    <n v="240000"/>
    <n v="60000"/>
  </r>
  <r>
    <s v="ID_979"/>
    <d v="2025-02-04T00:00:00"/>
    <x v="2"/>
    <x v="1"/>
    <x v="2"/>
    <s v="Corporate"/>
    <s v="Online"/>
    <x v="0"/>
    <x v="0"/>
    <n v="85000"/>
    <n v="2"/>
    <x v="0"/>
    <n v="68000"/>
    <n v="170000"/>
    <n v="136000"/>
    <n v="34000"/>
  </r>
  <r>
    <s v="ID_212"/>
    <d v="2025-02-24T00:00:00"/>
    <x v="2"/>
    <x v="2"/>
    <x v="1"/>
    <s v="Retail"/>
    <s v="Store"/>
    <x v="3"/>
    <x v="2"/>
    <n v="300000"/>
    <n v="5"/>
    <x v="3"/>
    <n v="240000"/>
    <n v="1500000"/>
    <n v="1200000"/>
    <n v="300000"/>
  </r>
  <r>
    <s v="ID_40"/>
    <d v="2025-04-16T00:00:00"/>
    <x v="1"/>
    <x v="1"/>
    <x v="2"/>
    <s v="Corporate"/>
    <s v="Online"/>
    <x v="7"/>
    <x v="2"/>
    <n v="420000"/>
    <n v="10"/>
    <x v="3"/>
    <n v="336000"/>
    <n v="4200000"/>
    <n v="3360000"/>
    <n v="840000"/>
  </r>
  <r>
    <s v="ID_1706"/>
    <d v="2025-01-14T00:00:00"/>
    <x v="0"/>
    <x v="0"/>
    <x v="3"/>
    <s v="Corporate"/>
    <s v="Online"/>
    <x v="4"/>
    <x v="1"/>
    <n v="180000"/>
    <n v="6"/>
    <x v="1"/>
    <n v="144000"/>
    <n v="1080000"/>
    <n v="864000"/>
    <n v="216000"/>
  </r>
  <r>
    <s v="ID_1763"/>
    <d v="2025-03-08T00:00:00"/>
    <x v="3"/>
    <x v="1"/>
    <x v="3"/>
    <s v="Retail"/>
    <s v="Store"/>
    <x v="0"/>
    <x v="0"/>
    <n v="85000"/>
    <n v="4"/>
    <x v="3"/>
    <n v="68000"/>
    <n v="340000"/>
    <n v="272000"/>
    <n v="68000"/>
  </r>
  <r>
    <s v="ID_1905"/>
    <d v="2025-02-20T00:00:00"/>
    <x v="2"/>
    <x v="3"/>
    <x v="2"/>
    <s v="Corporate"/>
    <s v="Online"/>
    <x v="3"/>
    <x v="2"/>
    <n v="300000"/>
    <n v="4"/>
    <x v="4"/>
    <n v="240000"/>
    <n v="1200000"/>
    <n v="960000"/>
    <n v="240000"/>
  </r>
  <r>
    <s v="ID_1080"/>
    <d v="2025-01-28T00:00:00"/>
    <x v="0"/>
    <x v="2"/>
    <x v="3"/>
    <s v="Retail"/>
    <s v="Online"/>
    <x v="0"/>
    <x v="0"/>
    <n v="85000"/>
    <n v="3"/>
    <x v="3"/>
    <n v="68000"/>
    <n v="255000"/>
    <n v="204000"/>
    <n v="51000"/>
  </r>
  <r>
    <s v="ID_1903"/>
    <d v="2025-02-08T00:00:00"/>
    <x v="2"/>
    <x v="3"/>
    <x v="0"/>
    <s v="Retail"/>
    <s v="Store"/>
    <x v="9"/>
    <x v="1"/>
    <n v="220000"/>
    <n v="9"/>
    <x v="4"/>
    <n v="176000"/>
    <n v="1980000"/>
    <n v="1584000"/>
    <n v="396000"/>
  </r>
  <r>
    <s v="ID_2018"/>
    <d v="2025-04-01T00:00:00"/>
    <x v="1"/>
    <x v="0"/>
    <x v="2"/>
    <s v="Corporate"/>
    <s v="Online"/>
    <x v="4"/>
    <x v="1"/>
    <n v="180000"/>
    <n v="3"/>
    <x v="3"/>
    <n v="144000"/>
    <n v="540000"/>
    <n v="432000"/>
    <n v="108000"/>
  </r>
  <r>
    <s v="ID_1449"/>
    <d v="2025-03-22T00:00:00"/>
    <x v="3"/>
    <x v="1"/>
    <x v="1"/>
    <s v="Corporate"/>
    <s v="Store"/>
    <x v="3"/>
    <x v="2"/>
    <n v="300000"/>
    <n v="9"/>
    <x v="1"/>
    <n v="240000"/>
    <n v="2700000"/>
    <n v="2160000"/>
    <n v="540000"/>
  </r>
  <r>
    <s v="ID_298"/>
    <d v="2025-03-27T00:00:00"/>
    <x v="3"/>
    <x v="3"/>
    <x v="0"/>
    <s v="Corporate"/>
    <s v="Store"/>
    <x v="6"/>
    <x v="2"/>
    <n v="150000"/>
    <n v="4"/>
    <x v="2"/>
    <n v="120000"/>
    <n v="600000"/>
    <n v="480000"/>
    <n v="120000"/>
  </r>
  <r>
    <s v="ID_1562"/>
    <d v="2025-01-28T00:00:00"/>
    <x v="0"/>
    <x v="1"/>
    <x v="3"/>
    <s v="Corporate"/>
    <s v="Store"/>
    <x v="5"/>
    <x v="0"/>
    <n v="320000"/>
    <n v="8"/>
    <x v="4"/>
    <n v="256000"/>
    <n v="2560000"/>
    <n v="2048000"/>
    <n v="512000"/>
  </r>
  <r>
    <s v="ID_10"/>
    <d v="2025-01-10T00:00:00"/>
    <x v="0"/>
    <x v="3"/>
    <x v="3"/>
    <s v="Retail"/>
    <s v="Online"/>
    <x v="5"/>
    <x v="0"/>
    <n v="320000"/>
    <n v="7"/>
    <x v="5"/>
    <n v="256000"/>
    <n v="2240000"/>
    <n v="1792000"/>
    <n v="448000"/>
  </r>
  <r>
    <s v="ID_1518"/>
    <d v="2025-03-17T00:00:00"/>
    <x v="3"/>
    <x v="1"/>
    <x v="3"/>
    <s v="Retail"/>
    <s v="Store"/>
    <x v="9"/>
    <x v="1"/>
    <n v="220000"/>
    <n v="10"/>
    <x v="2"/>
    <n v="176000"/>
    <n v="2200000"/>
    <n v="1760000"/>
    <n v="440000"/>
  </r>
  <r>
    <s v="ID_874"/>
    <d v="2025-03-03T00:00:00"/>
    <x v="3"/>
    <x v="2"/>
    <x v="1"/>
    <s v="Retail"/>
    <s v="Store"/>
    <x v="1"/>
    <x v="1"/>
    <n v="30000"/>
    <n v="7"/>
    <x v="2"/>
    <n v="24000"/>
    <n v="210000"/>
    <n v="168000"/>
    <n v="42000"/>
  </r>
  <r>
    <s v="ID_1999"/>
    <d v="2025-04-14T00:00:00"/>
    <x v="1"/>
    <x v="1"/>
    <x v="2"/>
    <s v="Retail"/>
    <s v="Online"/>
    <x v="5"/>
    <x v="0"/>
    <n v="320000"/>
    <n v="2"/>
    <x v="2"/>
    <n v="256000"/>
    <n v="640000"/>
    <n v="512000"/>
    <n v="128000"/>
  </r>
  <r>
    <s v="ID_268"/>
    <d v="2025-01-13T00:00:00"/>
    <x v="0"/>
    <x v="3"/>
    <x v="2"/>
    <s v="Corporate"/>
    <s v="Store"/>
    <x v="3"/>
    <x v="2"/>
    <n v="300000"/>
    <n v="3"/>
    <x v="4"/>
    <n v="240000"/>
    <n v="900000"/>
    <n v="720000"/>
    <n v="180000"/>
  </r>
  <r>
    <s v="ID_438"/>
    <d v="2025-04-29T00:00:00"/>
    <x v="1"/>
    <x v="2"/>
    <x v="0"/>
    <s v="Retail"/>
    <s v="Online"/>
    <x v="3"/>
    <x v="2"/>
    <n v="300000"/>
    <n v="3"/>
    <x v="2"/>
    <n v="240000"/>
    <n v="900000"/>
    <n v="720000"/>
    <n v="180000"/>
  </r>
  <r>
    <s v="ID_859"/>
    <d v="2025-02-12T00:00:00"/>
    <x v="2"/>
    <x v="2"/>
    <x v="3"/>
    <s v="Retail"/>
    <s v="Store"/>
    <x v="6"/>
    <x v="2"/>
    <n v="150000"/>
    <n v="10"/>
    <x v="2"/>
    <n v="120000"/>
    <n v="1500000"/>
    <n v="1200000"/>
    <n v="300000"/>
  </r>
  <r>
    <s v="ID_966"/>
    <d v="2025-04-05T00:00:00"/>
    <x v="1"/>
    <x v="2"/>
    <x v="1"/>
    <s v="Corporate"/>
    <s v="Store"/>
    <x v="1"/>
    <x v="1"/>
    <n v="30000"/>
    <n v="7"/>
    <x v="3"/>
    <n v="24000"/>
    <n v="210000"/>
    <n v="168000"/>
    <n v="42000"/>
  </r>
  <r>
    <s v="ID_1087"/>
    <d v="2025-04-18T00:00:00"/>
    <x v="1"/>
    <x v="0"/>
    <x v="0"/>
    <s v="Retail"/>
    <s v="Online"/>
    <x v="2"/>
    <x v="1"/>
    <n v="60000"/>
    <n v="2"/>
    <x v="4"/>
    <n v="48000"/>
    <n v="120000"/>
    <n v="96000"/>
    <n v="24000"/>
  </r>
  <r>
    <s v="ID_484"/>
    <d v="2025-01-11T00:00:00"/>
    <x v="0"/>
    <x v="1"/>
    <x v="1"/>
    <s v="Retail"/>
    <s v="Online"/>
    <x v="3"/>
    <x v="2"/>
    <n v="300000"/>
    <n v="8"/>
    <x v="0"/>
    <n v="240000"/>
    <n v="2400000"/>
    <n v="1920000"/>
    <n v="480000"/>
  </r>
  <r>
    <s v="ID_1534"/>
    <d v="2025-03-31T00:00:00"/>
    <x v="3"/>
    <x v="3"/>
    <x v="1"/>
    <s v="Corporate"/>
    <s v="Store"/>
    <x v="1"/>
    <x v="1"/>
    <n v="30000"/>
    <n v="6"/>
    <x v="2"/>
    <n v="24000"/>
    <n v="180000"/>
    <n v="144000"/>
    <n v="36000"/>
  </r>
  <r>
    <s v="ID_885"/>
    <d v="2025-02-12T00:00:00"/>
    <x v="2"/>
    <x v="0"/>
    <x v="1"/>
    <s v="Corporate"/>
    <s v="Online"/>
    <x v="8"/>
    <x v="2"/>
    <n v="250000"/>
    <n v="6"/>
    <x v="1"/>
    <n v="200000"/>
    <n v="1500000"/>
    <n v="1200000"/>
    <n v="300000"/>
  </r>
  <r>
    <s v="ID_624"/>
    <d v="2025-03-02T00:00:00"/>
    <x v="3"/>
    <x v="1"/>
    <x v="3"/>
    <s v="Retail"/>
    <s v="Online"/>
    <x v="7"/>
    <x v="2"/>
    <n v="420000"/>
    <n v="10"/>
    <x v="3"/>
    <n v="336000"/>
    <n v="4200000"/>
    <n v="3360000"/>
    <n v="840000"/>
  </r>
  <r>
    <s v="ID_1903"/>
    <d v="2025-03-10T00:00:00"/>
    <x v="3"/>
    <x v="2"/>
    <x v="3"/>
    <s v="Retail"/>
    <s v="Online"/>
    <x v="2"/>
    <x v="1"/>
    <n v="60000"/>
    <n v="9"/>
    <x v="5"/>
    <n v="48000"/>
    <n v="540000"/>
    <n v="432000"/>
    <n v="108000"/>
  </r>
  <r>
    <s v="ID_85"/>
    <d v="2025-01-14T00:00:00"/>
    <x v="0"/>
    <x v="1"/>
    <x v="2"/>
    <s v="Corporate"/>
    <s v="Store"/>
    <x v="4"/>
    <x v="1"/>
    <n v="180000"/>
    <n v="4"/>
    <x v="0"/>
    <n v="144000"/>
    <n v="720000"/>
    <n v="576000"/>
    <n v="144000"/>
  </r>
  <r>
    <s v="ID_1680"/>
    <d v="2025-02-17T00:00:00"/>
    <x v="2"/>
    <x v="3"/>
    <x v="2"/>
    <s v="Retail"/>
    <s v="Store"/>
    <x v="4"/>
    <x v="1"/>
    <n v="180000"/>
    <n v="10"/>
    <x v="0"/>
    <n v="144000"/>
    <n v="1800000"/>
    <n v="1440000"/>
    <n v="360000"/>
  </r>
  <r>
    <s v="ID_1469"/>
    <d v="2025-04-03T00:00:00"/>
    <x v="1"/>
    <x v="3"/>
    <x v="1"/>
    <s v="Corporate"/>
    <s v="Online"/>
    <x v="1"/>
    <x v="1"/>
    <n v="30000"/>
    <n v="1"/>
    <x v="4"/>
    <n v="24000"/>
    <n v="30000"/>
    <n v="24000"/>
    <n v="6000"/>
  </r>
  <r>
    <s v="ID_81"/>
    <d v="2025-04-19T00:00:00"/>
    <x v="1"/>
    <x v="1"/>
    <x v="2"/>
    <s v="Retail"/>
    <s v="Store"/>
    <x v="7"/>
    <x v="2"/>
    <n v="420000"/>
    <n v="3"/>
    <x v="3"/>
    <n v="336000"/>
    <n v="1260000"/>
    <n v="1008000"/>
    <n v="252000"/>
  </r>
  <r>
    <s v="ID_493"/>
    <d v="2025-04-07T00:00:00"/>
    <x v="1"/>
    <x v="1"/>
    <x v="0"/>
    <s v="Retail"/>
    <s v="Store"/>
    <x v="1"/>
    <x v="1"/>
    <n v="30000"/>
    <n v="8"/>
    <x v="3"/>
    <n v="24000"/>
    <n v="240000"/>
    <n v="192000"/>
    <n v="48000"/>
  </r>
  <r>
    <s v="ID_1736"/>
    <d v="2025-03-23T00:00:00"/>
    <x v="3"/>
    <x v="2"/>
    <x v="3"/>
    <s v="Corporate"/>
    <s v="Online"/>
    <x v="5"/>
    <x v="0"/>
    <n v="320000"/>
    <n v="2"/>
    <x v="2"/>
    <n v="256000"/>
    <n v="640000"/>
    <n v="512000"/>
    <n v="128000"/>
  </r>
  <r>
    <s v="ID_1297"/>
    <d v="2025-04-28T00:00:00"/>
    <x v="1"/>
    <x v="0"/>
    <x v="1"/>
    <s v="Corporate"/>
    <s v="Store"/>
    <x v="6"/>
    <x v="2"/>
    <n v="150000"/>
    <n v="10"/>
    <x v="2"/>
    <n v="120000"/>
    <n v="1500000"/>
    <n v="1200000"/>
    <n v="300000"/>
  </r>
  <r>
    <s v="ID_313"/>
    <d v="2025-04-05T00:00:00"/>
    <x v="1"/>
    <x v="3"/>
    <x v="2"/>
    <s v="Corporate"/>
    <s v="Online"/>
    <x v="8"/>
    <x v="2"/>
    <n v="250000"/>
    <n v="9"/>
    <x v="1"/>
    <n v="200000"/>
    <n v="2250000"/>
    <n v="1800000"/>
    <n v="450000"/>
  </r>
  <r>
    <s v="ID_1174"/>
    <d v="2025-04-12T00:00:00"/>
    <x v="1"/>
    <x v="2"/>
    <x v="2"/>
    <s v="Corporate"/>
    <s v="Store"/>
    <x v="9"/>
    <x v="1"/>
    <n v="220000"/>
    <n v="5"/>
    <x v="1"/>
    <n v="176000"/>
    <n v="1100000"/>
    <n v="880000"/>
    <n v="220000"/>
  </r>
  <r>
    <s v="ID_944"/>
    <d v="2025-03-29T00:00:00"/>
    <x v="3"/>
    <x v="0"/>
    <x v="2"/>
    <s v="Retail"/>
    <s v="Store"/>
    <x v="6"/>
    <x v="2"/>
    <n v="150000"/>
    <n v="5"/>
    <x v="0"/>
    <n v="120000"/>
    <n v="750000"/>
    <n v="600000"/>
    <n v="150000"/>
  </r>
  <r>
    <s v="ID_1622"/>
    <d v="2025-02-02T00:00:00"/>
    <x v="2"/>
    <x v="1"/>
    <x v="3"/>
    <s v="Corporate"/>
    <s v="Store"/>
    <x v="9"/>
    <x v="1"/>
    <n v="220000"/>
    <n v="8"/>
    <x v="4"/>
    <n v="176000"/>
    <n v="1760000"/>
    <n v="1408000"/>
    <n v="352000"/>
  </r>
  <r>
    <s v="ID_1512"/>
    <d v="2025-03-15T00:00:00"/>
    <x v="3"/>
    <x v="1"/>
    <x v="1"/>
    <s v="Retail"/>
    <s v="Online"/>
    <x v="0"/>
    <x v="0"/>
    <n v="85000"/>
    <n v="4"/>
    <x v="3"/>
    <n v="68000"/>
    <n v="340000"/>
    <n v="272000"/>
    <n v="68000"/>
  </r>
  <r>
    <s v="ID_968"/>
    <d v="2025-04-04T00:00:00"/>
    <x v="1"/>
    <x v="2"/>
    <x v="2"/>
    <s v="Retail"/>
    <s v="Online"/>
    <x v="5"/>
    <x v="0"/>
    <n v="320000"/>
    <n v="4"/>
    <x v="3"/>
    <n v="256000"/>
    <n v="1280000"/>
    <n v="1024000"/>
    <n v="256000"/>
  </r>
  <r>
    <s v="ID_1276"/>
    <d v="2025-01-03T00:00:00"/>
    <x v="0"/>
    <x v="1"/>
    <x v="2"/>
    <s v="Corporate"/>
    <s v="Online"/>
    <x v="8"/>
    <x v="2"/>
    <n v="250000"/>
    <n v="2"/>
    <x v="1"/>
    <n v="200000"/>
    <n v="500000"/>
    <n v="400000"/>
    <n v="100000"/>
  </r>
  <r>
    <s v="ID_1434"/>
    <d v="2025-01-07T00:00:00"/>
    <x v="0"/>
    <x v="1"/>
    <x v="0"/>
    <s v="Retail"/>
    <s v="Online"/>
    <x v="3"/>
    <x v="2"/>
    <n v="300000"/>
    <n v="5"/>
    <x v="1"/>
    <n v="240000"/>
    <n v="1500000"/>
    <n v="1200000"/>
    <n v="300000"/>
  </r>
  <r>
    <s v="ID_355"/>
    <d v="2025-02-15T00:00:00"/>
    <x v="2"/>
    <x v="1"/>
    <x v="2"/>
    <s v="Retail"/>
    <s v="Online"/>
    <x v="2"/>
    <x v="1"/>
    <n v="60000"/>
    <n v="9"/>
    <x v="2"/>
    <n v="48000"/>
    <n v="540000"/>
    <n v="432000"/>
    <n v="108000"/>
  </r>
  <r>
    <s v="ID_1149"/>
    <d v="2025-01-22T00:00:00"/>
    <x v="0"/>
    <x v="1"/>
    <x v="2"/>
    <s v="Corporate"/>
    <s v="Online"/>
    <x v="6"/>
    <x v="2"/>
    <n v="150000"/>
    <n v="6"/>
    <x v="2"/>
    <n v="120000"/>
    <n v="900000"/>
    <n v="720000"/>
    <n v="180000"/>
  </r>
  <r>
    <s v="ID_979"/>
    <d v="2025-01-16T00:00:00"/>
    <x v="0"/>
    <x v="2"/>
    <x v="2"/>
    <s v="Corporate"/>
    <s v="Store"/>
    <x v="0"/>
    <x v="0"/>
    <n v="85000"/>
    <n v="3"/>
    <x v="3"/>
    <n v="68000"/>
    <n v="255000"/>
    <n v="204000"/>
    <n v="51000"/>
  </r>
  <r>
    <s v="ID_1502"/>
    <d v="2025-03-10T00:00:00"/>
    <x v="3"/>
    <x v="2"/>
    <x v="1"/>
    <s v="Corporate"/>
    <s v="Store"/>
    <x v="5"/>
    <x v="0"/>
    <n v="320000"/>
    <n v="8"/>
    <x v="2"/>
    <n v="256000"/>
    <n v="2560000"/>
    <n v="2048000"/>
    <n v="512000"/>
  </r>
  <r>
    <s v="ID_1348"/>
    <d v="2025-03-30T00:00:00"/>
    <x v="3"/>
    <x v="1"/>
    <x v="0"/>
    <s v="Corporate"/>
    <s v="Online"/>
    <x v="8"/>
    <x v="2"/>
    <n v="250000"/>
    <n v="1"/>
    <x v="3"/>
    <n v="200000"/>
    <n v="250000"/>
    <n v="200000"/>
    <n v="50000"/>
  </r>
  <r>
    <s v="ID_207"/>
    <d v="2025-03-25T00:00:00"/>
    <x v="3"/>
    <x v="0"/>
    <x v="1"/>
    <s v="Corporate"/>
    <s v="Store"/>
    <x v="4"/>
    <x v="1"/>
    <n v="180000"/>
    <n v="4"/>
    <x v="0"/>
    <n v="144000"/>
    <n v="720000"/>
    <n v="576000"/>
    <n v="144000"/>
  </r>
  <r>
    <s v="ID_1751"/>
    <d v="2025-01-09T00:00:00"/>
    <x v="0"/>
    <x v="1"/>
    <x v="2"/>
    <s v="Retail"/>
    <s v="Online"/>
    <x v="2"/>
    <x v="1"/>
    <n v="60000"/>
    <n v="6"/>
    <x v="5"/>
    <n v="48000"/>
    <n v="360000"/>
    <n v="288000"/>
    <n v="72000"/>
  </r>
  <r>
    <s v="ID_216"/>
    <d v="2025-01-27T00:00:00"/>
    <x v="0"/>
    <x v="3"/>
    <x v="3"/>
    <s v="Retail"/>
    <s v="Store"/>
    <x v="4"/>
    <x v="1"/>
    <n v="180000"/>
    <n v="7"/>
    <x v="0"/>
    <n v="144000"/>
    <n v="1260000"/>
    <n v="1008000"/>
    <n v="252000"/>
  </r>
  <r>
    <s v="ID_1022"/>
    <d v="2025-01-29T00:00:00"/>
    <x v="0"/>
    <x v="3"/>
    <x v="1"/>
    <s v="Retail"/>
    <s v="Online"/>
    <x v="6"/>
    <x v="2"/>
    <n v="150000"/>
    <n v="10"/>
    <x v="4"/>
    <n v="120000"/>
    <n v="1500000"/>
    <n v="1200000"/>
    <n v="300000"/>
  </r>
  <r>
    <s v="ID_1039"/>
    <d v="2025-03-31T00:00:00"/>
    <x v="3"/>
    <x v="1"/>
    <x v="2"/>
    <s v="Retail"/>
    <s v="Store"/>
    <x v="5"/>
    <x v="0"/>
    <n v="320000"/>
    <n v="5"/>
    <x v="4"/>
    <n v="256000"/>
    <n v="1600000"/>
    <n v="1280000"/>
    <n v="320000"/>
  </r>
  <r>
    <s v="ID_964"/>
    <d v="2025-03-26T00:00:00"/>
    <x v="3"/>
    <x v="0"/>
    <x v="0"/>
    <s v="Corporate"/>
    <s v="Store"/>
    <x v="6"/>
    <x v="2"/>
    <n v="150000"/>
    <n v="7"/>
    <x v="1"/>
    <n v="120000"/>
    <n v="1050000"/>
    <n v="840000"/>
    <n v="210000"/>
  </r>
  <r>
    <s v="ID_420"/>
    <d v="2025-04-25T00:00:00"/>
    <x v="1"/>
    <x v="1"/>
    <x v="0"/>
    <s v="Corporate"/>
    <s v="Online"/>
    <x v="6"/>
    <x v="2"/>
    <n v="150000"/>
    <n v="4"/>
    <x v="4"/>
    <n v="120000"/>
    <n v="600000"/>
    <n v="480000"/>
    <n v="120000"/>
  </r>
  <r>
    <s v="ID_1618"/>
    <d v="2025-02-17T00:00:00"/>
    <x v="2"/>
    <x v="3"/>
    <x v="2"/>
    <s v="Corporate"/>
    <s v="Online"/>
    <x v="3"/>
    <x v="2"/>
    <n v="300000"/>
    <n v="6"/>
    <x v="2"/>
    <n v="240000"/>
    <n v="1800000"/>
    <n v="1440000"/>
    <n v="360000"/>
  </r>
  <r>
    <s v="ID_725"/>
    <d v="2025-02-13T00:00:00"/>
    <x v="2"/>
    <x v="3"/>
    <x v="0"/>
    <s v="Retail"/>
    <s v="Store"/>
    <x v="5"/>
    <x v="0"/>
    <n v="320000"/>
    <n v="4"/>
    <x v="2"/>
    <n v="256000"/>
    <n v="1280000"/>
    <n v="1024000"/>
    <n v="256000"/>
  </r>
  <r>
    <s v="ID_1448"/>
    <d v="2025-02-18T00:00:00"/>
    <x v="2"/>
    <x v="2"/>
    <x v="1"/>
    <s v="Corporate"/>
    <s v="Online"/>
    <x v="1"/>
    <x v="1"/>
    <n v="30000"/>
    <n v="4"/>
    <x v="1"/>
    <n v="24000"/>
    <n v="120000"/>
    <n v="96000"/>
    <n v="24000"/>
  </r>
  <r>
    <s v="ID_1435"/>
    <d v="2025-01-29T00:00:00"/>
    <x v="0"/>
    <x v="1"/>
    <x v="2"/>
    <s v="Corporate"/>
    <s v="Online"/>
    <x v="6"/>
    <x v="2"/>
    <n v="150000"/>
    <n v="8"/>
    <x v="5"/>
    <n v="120000"/>
    <n v="1200000"/>
    <n v="960000"/>
    <n v="240000"/>
  </r>
  <r>
    <s v="ID_1921"/>
    <d v="2025-01-02T00:00:00"/>
    <x v="0"/>
    <x v="2"/>
    <x v="1"/>
    <s v="Retail"/>
    <s v="Store"/>
    <x v="8"/>
    <x v="2"/>
    <n v="250000"/>
    <n v="8"/>
    <x v="4"/>
    <n v="200000"/>
    <n v="2000000"/>
    <n v="1600000"/>
    <n v="400000"/>
  </r>
  <r>
    <s v="ID_1796"/>
    <d v="2025-03-17T00:00:00"/>
    <x v="3"/>
    <x v="3"/>
    <x v="1"/>
    <s v="Corporate"/>
    <s v="Online"/>
    <x v="1"/>
    <x v="1"/>
    <n v="30000"/>
    <n v="4"/>
    <x v="5"/>
    <n v="24000"/>
    <n v="120000"/>
    <n v="96000"/>
    <n v="24000"/>
  </r>
  <r>
    <s v="ID_509"/>
    <d v="2025-01-29T00:00:00"/>
    <x v="0"/>
    <x v="2"/>
    <x v="0"/>
    <s v="Corporate"/>
    <s v="Online"/>
    <x v="7"/>
    <x v="2"/>
    <n v="420000"/>
    <n v="2"/>
    <x v="4"/>
    <n v="336000"/>
    <n v="840000"/>
    <n v="672000"/>
    <n v="168000"/>
  </r>
  <r>
    <s v="ID_1726"/>
    <d v="2025-03-31T00:00:00"/>
    <x v="3"/>
    <x v="2"/>
    <x v="0"/>
    <s v="Corporate"/>
    <s v="Store"/>
    <x v="1"/>
    <x v="1"/>
    <n v="30000"/>
    <n v="6"/>
    <x v="4"/>
    <n v="24000"/>
    <n v="180000"/>
    <n v="144000"/>
    <n v="36000"/>
  </r>
  <r>
    <s v="ID_463"/>
    <d v="2025-03-25T00:00:00"/>
    <x v="3"/>
    <x v="3"/>
    <x v="3"/>
    <s v="Corporate"/>
    <s v="Online"/>
    <x v="9"/>
    <x v="1"/>
    <n v="220000"/>
    <n v="2"/>
    <x v="3"/>
    <n v="176000"/>
    <n v="440000"/>
    <n v="352000"/>
    <n v="88000"/>
  </r>
  <r>
    <s v="ID_74"/>
    <d v="2025-02-02T00:00:00"/>
    <x v="2"/>
    <x v="2"/>
    <x v="0"/>
    <s v="Retail"/>
    <s v="Online"/>
    <x v="3"/>
    <x v="2"/>
    <n v="300000"/>
    <n v="4"/>
    <x v="3"/>
    <n v="240000"/>
    <n v="1200000"/>
    <n v="960000"/>
    <n v="240000"/>
  </r>
  <r>
    <s v="ID_2053"/>
    <d v="2025-04-17T00:00:00"/>
    <x v="1"/>
    <x v="2"/>
    <x v="0"/>
    <s v="Corporate"/>
    <s v="Online"/>
    <x v="7"/>
    <x v="2"/>
    <n v="420000"/>
    <n v="8"/>
    <x v="0"/>
    <n v="336000"/>
    <n v="3360000"/>
    <n v="2688000"/>
    <n v="672000"/>
  </r>
  <r>
    <s v="ID_1246"/>
    <d v="2025-03-03T00:00:00"/>
    <x v="3"/>
    <x v="1"/>
    <x v="0"/>
    <s v="Retail"/>
    <s v="Online"/>
    <x v="5"/>
    <x v="0"/>
    <n v="320000"/>
    <n v="4"/>
    <x v="3"/>
    <n v="256000"/>
    <n v="1280000"/>
    <n v="1024000"/>
    <n v="256000"/>
  </r>
  <r>
    <s v="ID_1549"/>
    <d v="2025-02-10T00:00:00"/>
    <x v="2"/>
    <x v="0"/>
    <x v="0"/>
    <s v="Corporate"/>
    <s v="Store"/>
    <x v="8"/>
    <x v="2"/>
    <n v="250000"/>
    <n v="8"/>
    <x v="1"/>
    <n v="200000"/>
    <n v="2000000"/>
    <n v="1600000"/>
    <n v="400000"/>
  </r>
  <r>
    <s v="ID_1350"/>
    <d v="2025-02-21T00:00:00"/>
    <x v="2"/>
    <x v="1"/>
    <x v="1"/>
    <s v="Retail"/>
    <s v="Store"/>
    <x v="5"/>
    <x v="0"/>
    <n v="320000"/>
    <n v="7"/>
    <x v="5"/>
    <n v="256000"/>
    <n v="2240000"/>
    <n v="1792000"/>
    <n v="448000"/>
  </r>
  <r>
    <s v="ID_1763"/>
    <d v="2025-02-26T00:00:00"/>
    <x v="2"/>
    <x v="0"/>
    <x v="1"/>
    <s v="Corporate"/>
    <s v="Store"/>
    <x v="3"/>
    <x v="2"/>
    <n v="300000"/>
    <n v="6"/>
    <x v="1"/>
    <n v="240000"/>
    <n v="1800000"/>
    <n v="1440000"/>
    <n v="360000"/>
  </r>
  <r>
    <s v="ID_427"/>
    <d v="2025-01-28T00:00:00"/>
    <x v="0"/>
    <x v="3"/>
    <x v="3"/>
    <s v="Corporate"/>
    <s v="Store"/>
    <x v="4"/>
    <x v="1"/>
    <n v="180000"/>
    <n v="4"/>
    <x v="0"/>
    <n v="144000"/>
    <n v="720000"/>
    <n v="576000"/>
    <n v="144000"/>
  </r>
  <r>
    <s v="ID_868"/>
    <d v="2025-01-07T00:00:00"/>
    <x v="0"/>
    <x v="0"/>
    <x v="0"/>
    <s v="Corporate"/>
    <s v="Online"/>
    <x v="8"/>
    <x v="2"/>
    <n v="250000"/>
    <n v="6"/>
    <x v="3"/>
    <n v="200000"/>
    <n v="1500000"/>
    <n v="1200000"/>
    <n v="300000"/>
  </r>
  <r>
    <s v="ID_1838"/>
    <d v="2025-02-09T00:00:00"/>
    <x v="2"/>
    <x v="0"/>
    <x v="2"/>
    <s v="Corporate"/>
    <s v="Online"/>
    <x v="8"/>
    <x v="2"/>
    <n v="250000"/>
    <n v="7"/>
    <x v="3"/>
    <n v="200000"/>
    <n v="1750000"/>
    <n v="1400000"/>
    <n v="350000"/>
  </r>
  <r>
    <s v="ID_958"/>
    <d v="2025-03-07T00:00:00"/>
    <x v="3"/>
    <x v="1"/>
    <x v="1"/>
    <s v="Retail"/>
    <s v="Store"/>
    <x v="7"/>
    <x v="2"/>
    <n v="420000"/>
    <n v="2"/>
    <x v="0"/>
    <n v="336000"/>
    <n v="840000"/>
    <n v="672000"/>
    <n v="168000"/>
  </r>
  <r>
    <s v="ID_1410"/>
    <d v="2025-04-09T00:00:00"/>
    <x v="1"/>
    <x v="2"/>
    <x v="1"/>
    <s v="Corporate"/>
    <s v="Online"/>
    <x v="6"/>
    <x v="2"/>
    <n v="150000"/>
    <n v="2"/>
    <x v="1"/>
    <n v="120000"/>
    <n v="300000"/>
    <n v="240000"/>
    <n v="60000"/>
  </r>
  <r>
    <s v="ID_1392"/>
    <d v="2025-03-31T00:00:00"/>
    <x v="3"/>
    <x v="3"/>
    <x v="1"/>
    <s v="Retail"/>
    <s v="Online"/>
    <x v="9"/>
    <x v="1"/>
    <n v="220000"/>
    <n v="8"/>
    <x v="5"/>
    <n v="176000"/>
    <n v="1760000"/>
    <n v="1408000"/>
    <n v="352000"/>
  </r>
  <r>
    <s v="ID_1520"/>
    <d v="2025-02-14T00:00:00"/>
    <x v="2"/>
    <x v="1"/>
    <x v="0"/>
    <s v="Retail"/>
    <s v="Store"/>
    <x v="6"/>
    <x v="2"/>
    <n v="150000"/>
    <n v="2"/>
    <x v="2"/>
    <n v="120000"/>
    <n v="300000"/>
    <n v="240000"/>
    <n v="60000"/>
  </r>
  <r>
    <s v="ID_1053"/>
    <d v="2025-03-22T00:00:00"/>
    <x v="3"/>
    <x v="1"/>
    <x v="1"/>
    <s v="Corporate"/>
    <s v="Online"/>
    <x v="1"/>
    <x v="1"/>
    <n v="30000"/>
    <n v="1"/>
    <x v="3"/>
    <n v="24000"/>
    <n v="30000"/>
    <n v="24000"/>
    <n v="6000"/>
  </r>
  <r>
    <s v="ID_251"/>
    <d v="2025-04-25T00:00:00"/>
    <x v="1"/>
    <x v="1"/>
    <x v="0"/>
    <s v="Retail"/>
    <s v="Store"/>
    <x v="4"/>
    <x v="1"/>
    <n v="180000"/>
    <n v="5"/>
    <x v="0"/>
    <n v="144000"/>
    <n v="900000"/>
    <n v="720000"/>
    <n v="180000"/>
  </r>
  <r>
    <s v="ID_105"/>
    <d v="2025-04-26T00:00:00"/>
    <x v="1"/>
    <x v="0"/>
    <x v="2"/>
    <s v="Corporate"/>
    <s v="Store"/>
    <x v="6"/>
    <x v="2"/>
    <n v="150000"/>
    <n v="9"/>
    <x v="4"/>
    <n v="120000"/>
    <n v="1350000"/>
    <n v="1080000"/>
    <n v="270000"/>
  </r>
  <r>
    <s v="ID_802"/>
    <d v="2025-02-26T00:00:00"/>
    <x v="2"/>
    <x v="2"/>
    <x v="1"/>
    <s v="Corporate"/>
    <s v="Store"/>
    <x v="6"/>
    <x v="2"/>
    <n v="150000"/>
    <n v="5"/>
    <x v="4"/>
    <n v="120000"/>
    <n v="750000"/>
    <n v="600000"/>
    <n v="150000"/>
  </r>
  <r>
    <s v="ID_719"/>
    <d v="2025-04-02T00:00:00"/>
    <x v="1"/>
    <x v="2"/>
    <x v="0"/>
    <s v="Retail"/>
    <s v="Online"/>
    <x v="9"/>
    <x v="1"/>
    <n v="220000"/>
    <n v="4"/>
    <x v="5"/>
    <n v="176000"/>
    <n v="880000"/>
    <n v="704000"/>
    <n v="176000"/>
  </r>
  <r>
    <s v="ID_168"/>
    <d v="2025-01-29T00:00:00"/>
    <x v="0"/>
    <x v="0"/>
    <x v="2"/>
    <s v="Retail"/>
    <s v="Online"/>
    <x v="5"/>
    <x v="0"/>
    <n v="320000"/>
    <n v="4"/>
    <x v="0"/>
    <n v="256000"/>
    <n v="1280000"/>
    <n v="1024000"/>
    <n v="256000"/>
  </r>
  <r>
    <s v="ID_2042"/>
    <d v="2025-03-05T00:00:00"/>
    <x v="3"/>
    <x v="0"/>
    <x v="3"/>
    <s v="Corporate"/>
    <s v="Store"/>
    <x v="5"/>
    <x v="0"/>
    <n v="320000"/>
    <n v="8"/>
    <x v="0"/>
    <n v="256000"/>
    <n v="2560000"/>
    <n v="2048000"/>
    <n v="512000"/>
  </r>
  <r>
    <s v="ID_1822"/>
    <d v="2025-04-23T00:00:00"/>
    <x v="1"/>
    <x v="3"/>
    <x v="3"/>
    <s v="Retail"/>
    <s v="Online"/>
    <x v="2"/>
    <x v="1"/>
    <n v="60000"/>
    <n v="9"/>
    <x v="0"/>
    <n v="48000"/>
    <n v="540000"/>
    <n v="432000"/>
    <n v="108000"/>
  </r>
  <r>
    <s v="ID_133"/>
    <d v="2025-03-05T00:00:00"/>
    <x v="3"/>
    <x v="1"/>
    <x v="1"/>
    <s v="Retail"/>
    <s v="Store"/>
    <x v="3"/>
    <x v="2"/>
    <n v="300000"/>
    <n v="10"/>
    <x v="0"/>
    <n v="240000"/>
    <n v="3000000"/>
    <n v="2400000"/>
    <n v="600000"/>
  </r>
  <r>
    <s v="ID_987"/>
    <d v="2025-03-22T00:00:00"/>
    <x v="3"/>
    <x v="3"/>
    <x v="1"/>
    <s v="Corporate"/>
    <s v="Online"/>
    <x v="6"/>
    <x v="2"/>
    <n v="150000"/>
    <n v="6"/>
    <x v="3"/>
    <n v="120000"/>
    <n v="900000"/>
    <n v="720000"/>
    <n v="180000"/>
  </r>
  <r>
    <s v="ID_209"/>
    <d v="2025-05-01T00:00:00"/>
    <x v="4"/>
    <x v="2"/>
    <x v="2"/>
    <s v="Corporate"/>
    <s v="Online"/>
    <x v="4"/>
    <x v="1"/>
    <n v="180000"/>
    <n v="8"/>
    <x v="4"/>
    <n v="144000"/>
    <n v="1440000"/>
    <n v="1152000"/>
    <n v="288000"/>
  </r>
  <r>
    <s v="ID_1286"/>
    <d v="2025-02-28T00:00:00"/>
    <x v="2"/>
    <x v="1"/>
    <x v="0"/>
    <s v="Retail"/>
    <s v="Online"/>
    <x v="2"/>
    <x v="1"/>
    <n v="60000"/>
    <n v="7"/>
    <x v="5"/>
    <n v="48000"/>
    <n v="420000"/>
    <n v="336000"/>
    <n v="84000"/>
  </r>
  <r>
    <s v="ID_680"/>
    <d v="2025-03-01T00:00:00"/>
    <x v="3"/>
    <x v="1"/>
    <x v="1"/>
    <s v="Retail"/>
    <s v="Store"/>
    <x v="6"/>
    <x v="2"/>
    <n v="150000"/>
    <n v="9"/>
    <x v="0"/>
    <n v="120000"/>
    <n v="1350000"/>
    <n v="1080000"/>
    <n v="270000"/>
  </r>
  <r>
    <s v="ID_837"/>
    <d v="2025-04-08T00:00:00"/>
    <x v="1"/>
    <x v="1"/>
    <x v="1"/>
    <s v="Retail"/>
    <s v="Store"/>
    <x v="4"/>
    <x v="1"/>
    <n v="180000"/>
    <n v="4"/>
    <x v="3"/>
    <n v="144000"/>
    <n v="720000"/>
    <n v="576000"/>
    <n v="144000"/>
  </r>
  <r>
    <s v="ID_1011"/>
    <d v="2025-01-06T00:00:00"/>
    <x v="0"/>
    <x v="0"/>
    <x v="3"/>
    <s v="Retail"/>
    <s v="Store"/>
    <x v="4"/>
    <x v="1"/>
    <n v="180000"/>
    <n v="1"/>
    <x v="4"/>
    <n v="144000"/>
    <n v="180000"/>
    <n v="144000"/>
    <n v="36000"/>
  </r>
  <r>
    <s v="ID_741"/>
    <d v="2025-04-07T00:00:00"/>
    <x v="1"/>
    <x v="0"/>
    <x v="0"/>
    <s v="Retail"/>
    <s v="Online"/>
    <x v="2"/>
    <x v="1"/>
    <n v="60000"/>
    <n v="6"/>
    <x v="4"/>
    <n v="48000"/>
    <n v="360000"/>
    <n v="288000"/>
    <n v="72000"/>
  </r>
  <r>
    <s v="ID_1333"/>
    <d v="2025-02-12T00:00:00"/>
    <x v="2"/>
    <x v="1"/>
    <x v="2"/>
    <s v="Corporate"/>
    <s v="Store"/>
    <x v="5"/>
    <x v="0"/>
    <n v="320000"/>
    <n v="8"/>
    <x v="3"/>
    <n v="256000"/>
    <n v="2560000"/>
    <n v="2048000"/>
    <n v="512000"/>
  </r>
  <r>
    <s v="ID_41"/>
    <d v="2025-01-02T00:00:00"/>
    <x v="0"/>
    <x v="1"/>
    <x v="2"/>
    <s v="Retail"/>
    <s v="Online"/>
    <x v="4"/>
    <x v="1"/>
    <n v="180000"/>
    <n v="6"/>
    <x v="4"/>
    <n v="144000"/>
    <n v="1080000"/>
    <n v="864000"/>
    <n v="216000"/>
  </r>
  <r>
    <s v="ID_991"/>
    <d v="2025-02-25T00:00:00"/>
    <x v="2"/>
    <x v="2"/>
    <x v="1"/>
    <s v="Corporate"/>
    <s v="Online"/>
    <x v="2"/>
    <x v="1"/>
    <n v="60000"/>
    <n v="8"/>
    <x v="1"/>
    <n v="48000"/>
    <n v="480000"/>
    <n v="384000"/>
    <n v="96000"/>
  </r>
  <r>
    <s v="ID_1155"/>
    <d v="2025-04-13T00:00:00"/>
    <x v="1"/>
    <x v="1"/>
    <x v="1"/>
    <s v="Corporate"/>
    <s v="Online"/>
    <x v="7"/>
    <x v="2"/>
    <n v="420000"/>
    <n v="3"/>
    <x v="0"/>
    <n v="336000"/>
    <n v="1260000"/>
    <n v="1008000"/>
    <n v="252000"/>
  </r>
  <r>
    <s v="ID_1501"/>
    <d v="2025-01-30T00:00:00"/>
    <x v="0"/>
    <x v="2"/>
    <x v="2"/>
    <s v="Corporate"/>
    <s v="Online"/>
    <x v="9"/>
    <x v="1"/>
    <n v="220000"/>
    <n v="5"/>
    <x v="1"/>
    <n v="176000"/>
    <n v="1100000"/>
    <n v="880000"/>
    <n v="220000"/>
  </r>
  <r>
    <s v="ID_1026"/>
    <d v="2025-03-28T00:00:00"/>
    <x v="3"/>
    <x v="0"/>
    <x v="3"/>
    <s v="Retail"/>
    <s v="Online"/>
    <x v="2"/>
    <x v="1"/>
    <n v="60000"/>
    <n v="6"/>
    <x v="0"/>
    <n v="48000"/>
    <n v="360000"/>
    <n v="288000"/>
    <n v="72000"/>
  </r>
  <r>
    <s v="ID_1565"/>
    <d v="2025-04-03T00:00:00"/>
    <x v="1"/>
    <x v="0"/>
    <x v="3"/>
    <s v="Retail"/>
    <s v="Store"/>
    <x v="2"/>
    <x v="1"/>
    <n v="60000"/>
    <n v="8"/>
    <x v="5"/>
    <n v="48000"/>
    <n v="480000"/>
    <n v="384000"/>
    <n v="96000"/>
  </r>
  <r>
    <s v="ID_1184"/>
    <d v="2025-01-01T00:00:00"/>
    <x v="0"/>
    <x v="0"/>
    <x v="1"/>
    <s v="Corporate"/>
    <s v="Online"/>
    <x v="1"/>
    <x v="1"/>
    <n v="30000"/>
    <n v="2"/>
    <x v="0"/>
    <n v="24000"/>
    <n v="60000"/>
    <n v="48000"/>
    <n v="12000"/>
  </r>
  <r>
    <s v="ID_1934"/>
    <d v="2025-03-01T00:00:00"/>
    <x v="3"/>
    <x v="1"/>
    <x v="0"/>
    <s v="Corporate"/>
    <s v="Store"/>
    <x v="3"/>
    <x v="2"/>
    <n v="300000"/>
    <n v="3"/>
    <x v="3"/>
    <n v="240000"/>
    <n v="900000"/>
    <n v="720000"/>
    <n v="180000"/>
  </r>
  <r>
    <s v="ID_1151"/>
    <d v="2025-01-17T00:00:00"/>
    <x v="0"/>
    <x v="3"/>
    <x v="1"/>
    <s v="Corporate"/>
    <s v="Store"/>
    <x v="8"/>
    <x v="2"/>
    <n v="250000"/>
    <n v="3"/>
    <x v="1"/>
    <n v="200000"/>
    <n v="750000"/>
    <n v="600000"/>
    <n v="150000"/>
  </r>
  <r>
    <s v="ID_118"/>
    <d v="2025-04-21T00:00:00"/>
    <x v="1"/>
    <x v="3"/>
    <x v="1"/>
    <s v="Corporate"/>
    <s v="Store"/>
    <x v="7"/>
    <x v="2"/>
    <n v="420000"/>
    <n v="1"/>
    <x v="1"/>
    <n v="336000"/>
    <n v="420000"/>
    <n v="336000"/>
    <n v="84000"/>
  </r>
  <r>
    <s v="ID_623"/>
    <d v="2025-04-06T00:00:00"/>
    <x v="1"/>
    <x v="2"/>
    <x v="0"/>
    <s v="Corporate"/>
    <s v="Store"/>
    <x v="1"/>
    <x v="1"/>
    <n v="30000"/>
    <n v="1"/>
    <x v="3"/>
    <n v="24000"/>
    <n v="30000"/>
    <n v="24000"/>
    <n v="6000"/>
  </r>
  <r>
    <s v="ID_1125"/>
    <d v="2025-01-07T00:00:00"/>
    <x v="0"/>
    <x v="2"/>
    <x v="2"/>
    <s v="Retail"/>
    <s v="Online"/>
    <x v="1"/>
    <x v="1"/>
    <n v="30000"/>
    <n v="8"/>
    <x v="4"/>
    <n v="24000"/>
    <n v="240000"/>
    <n v="192000"/>
    <n v="48000"/>
  </r>
  <r>
    <s v="ID_640"/>
    <d v="2025-04-01T00:00:00"/>
    <x v="1"/>
    <x v="3"/>
    <x v="0"/>
    <s v="Corporate"/>
    <s v="Online"/>
    <x v="8"/>
    <x v="2"/>
    <n v="250000"/>
    <n v="10"/>
    <x v="4"/>
    <n v="200000"/>
    <n v="2500000"/>
    <n v="2000000"/>
    <n v="500000"/>
  </r>
  <r>
    <s v="ID_765"/>
    <d v="2025-04-21T00:00:00"/>
    <x v="1"/>
    <x v="3"/>
    <x v="2"/>
    <s v="Corporate"/>
    <s v="Store"/>
    <x v="6"/>
    <x v="2"/>
    <n v="150000"/>
    <n v="10"/>
    <x v="1"/>
    <n v="120000"/>
    <n v="1500000"/>
    <n v="1200000"/>
    <n v="300000"/>
  </r>
  <r>
    <s v="ID_282"/>
    <d v="2025-03-23T00:00:00"/>
    <x v="3"/>
    <x v="1"/>
    <x v="3"/>
    <s v="Retail"/>
    <s v="Store"/>
    <x v="8"/>
    <x v="2"/>
    <n v="250000"/>
    <n v="8"/>
    <x v="0"/>
    <n v="200000"/>
    <n v="2000000"/>
    <n v="1600000"/>
    <n v="400000"/>
  </r>
  <r>
    <s v="ID_58"/>
    <d v="2025-04-26T00:00:00"/>
    <x v="1"/>
    <x v="3"/>
    <x v="2"/>
    <s v="Retail"/>
    <s v="Store"/>
    <x v="8"/>
    <x v="2"/>
    <n v="250000"/>
    <n v="9"/>
    <x v="5"/>
    <n v="200000"/>
    <n v="2250000"/>
    <n v="1800000"/>
    <n v="450000"/>
  </r>
  <r>
    <s v="ID_1032"/>
    <d v="2025-04-15T00:00:00"/>
    <x v="1"/>
    <x v="3"/>
    <x v="3"/>
    <s v="Retail"/>
    <s v="Store"/>
    <x v="7"/>
    <x v="2"/>
    <n v="420000"/>
    <n v="10"/>
    <x v="2"/>
    <n v="336000"/>
    <n v="4200000"/>
    <n v="3360000"/>
    <n v="840000"/>
  </r>
  <r>
    <s v="ID_999"/>
    <d v="2025-02-24T00:00:00"/>
    <x v="2"/>
    <x v="0"/>
    <x v="1"/>
    <s v="Corporate"/>
    <s v="Online"/>
    <x v="0"/>
    <x v="0"/>
    <n v="85000"/>
    <n v="4"/>
    <x v="1"/>
    <n v="68000"/>
    <n v="340000"/>
    <n v="272000"/>
    <n v="68000"/>
  </r>
  <r>
    <s v="ID_1110"/>
    <d v="2025-01-30T00:00:00"/>
    <x v="0"/>
    <x v="1"/>
    <x v="1"/>
    <s v="Retail"/>
    <s v="Online"/>
    <x v="4"/>
    <x v="1"/>
    <n v="180000"/>
    <n v="1"/>
    <x v="5"/>
    <n v="144000"/>
    <n v="180000"/>
    <n v="144000"/>
    <n v="36000"/>
  </r>
  <r>
    <s v="ID_966"/>
    <d v="2025-01-05T00:00:00"/>
    <x v="0"/>
    <x v="2"/>
    <x v="1"/>
    <s v="Retail"/>
    <s v="Store"/>
    <x v="4"/>
    <x v="1"/>
    <n v="180000"/>
    <n v="9"/>
    <x v="3"/>
    <n v="144000"/>
    <n v="1620000"/>
    <n v="1296000"/>
    <n v="324000"/>
  </r>
  <r>
    <s v="ID_1236"/>
    <d v="2025-02-22T00:00:00"/>
    <x v="2"/>
    <x v="1"/>
    <x v="2"/>
    <s v="Corporate"/>
    <s v="Store"/>
    <x v="6"/>
    <x v="2"/>
    <n v="150000"/>
    <n v="10"/>
    <x v="2"/>
    <n v="120000"/>
    <n v="1500000"/>
    <n v="1200000"/>
    <n v="300000"/>
  </r>
  <r>
    <s v="ID_1263"/>
    <d v="2025-04-01T00:00:00"/>
    <x v="1"/>
    <x v="1"/>
    <x v="3"/>
    <s v="Corporate"/>
    <s v="Store"/>
    <x v="3"/>
    <x v="2"/>
    <n v="300000"/>
    <n v="1"/>
    <x v="2"/>
    <n v="240000"/>
    <n v="300000"/>
    <n v="240000"/>
    <n v="60000"/>
  </r>
  <r>
    <s v="ID_106"/>
    <d v="2025-04-03T00:00:00"/>
    <x v="1"/>
    <x v="2"/>
    <x v="3"/>
    <s v="Retail"/>
    <s v="Online"/>
    <x v="6"/>
    <x v="2"/>
    <n v="150000"/>
    <n v="8"/>
    <x v="0"/>
    <n v="120000"/>
    <n v="1200000"/>
    <n v="960000"/>
    <n v="240000"/>
  </r>
  <r>
    <s v="ID_508"/>
    <d v="2025-03-24T00:00:00"/>
    <x v="3"/>
    <x v="0"/>
    <x v="3"/>
    <s v="Retail"/>
    <s v="Store"/>
    <x v="6"/>
    <x v="2"/>
    <n v="150000"/>
    <n v="3"/>
    <x v="3"/>
    <n v="120000"/>
    <n v="450000"/>
    <n v="360000"/>
    <n v="90000"/>
  </r>
  <r>
    <s v="ID_511"/>
    <d v="2025-03-21T00:00:00"/>
    <x v="3"/>
    <x v="3"/>
    <x v="3"/>
    <s v="Retail"/>
    <s v="Store"/>
    <x v="5"/>
    <x v="0"/>
    <n v="320000"/>
    <n v="3"/>
    <x v="0"/>
    <n v="256000"/>
    <n v="960000"/>
    <n v="768000"/>
    <n v="192000"/>
  </r>
  <r>
    <s v="ID_475"/>
    <d v="2025-04-16T00:00:00"/>
    <x v="1"/>
    <x v="2"/>
    <x v="2"/>
    <s v="Retail"/>
    <s v="Online"/>
    <x v="4"/>
    <x v="1"/>
    <n v="180000"/>
    <n v="8"/>
    <x v="0"/>
    <n v="144000"/>
    <n v="1440000"/>
    <n v="1152000"/>
    <n v="288000"/>
  </r>
  <r>
    <s v="ID_622"/>
    <d v="2025-02-01T00:00:00"/>
    <x v="2"/>
    <x v="2"/>
    <x v="2"/>
    <s v="Retail"/>
    <s v="Store"/>
    <x v="4"/>
    <x v="1"/>
    <n v="180000"/>
    <n v="1"/>
    <x v="1"/>
    <n v="144000"/>
    <n v="180000"/>
    <n v="144000"/>
    <n v="36000"/>
  </r>
  <r>
    <s v="ID_1421"/>
    <d v="2025-02-15T00:00:00"/>
    <x v="2"/>
    <x v="0"/>
    <x v="1"/>
    <s v="Retail"/>
    <s v="Store"/>
    <x v="2"/>
    <x v="1"/>
    <n v="60000"/>
    <n v="7"/>
    <x v="4"/>
    <n v="48000"/>
    <n v="420000"/>
    <n v="336000"/>
    <n v="84000"/>
  </r>
  <r>
    <s v="ID_718"/>
    <d v="2025-04-04T00:00:00"/>
    <x v="1"/>
    <x v="1"/>
    <x v="2"/>
    <s v="Corporate"/>
    <s v="Store"/>
    <x v="5"/>
    <x v="0"/>
    <n v="320000"/>
    <n v="7"/>
    <x v="1"/>
    <n v="256000"/>
    <n v="2240000"/>
    <n v="1792000"/>
    <n v="448000"/>
  </r>
  <r>
    <s v="ID_1105"/>
    <d v="2025-04-22T00:00:00"/>
    <x v="1"/>
    <x v="2"/>
    <x v="1"/>
    <s v="Corporate"/>
    <s v="Online"/>
    <x v="0"/>
    <x v="0"/>
    <n v="85000"/>
    <n v="9"/>
    <x v="1"/>
    <n v="68000"/>
    <n v="765000"/>
    <n v="612000"/>
    <n v="153000"/>
  </r>
  <r>
    <s v="ID_1760"/>
    <d v="2025-04-28T00:00:00"/>
    <x v="1"/>
    <x v="0"/>
    <x v="1"/>
    <s v="Retail"/>
    <s v="Online"/>
    <x v="5"/>
    <x v="0"/>
    <n v="320000"/>
    <n v="3"/>
    <x v="4"/>
    <n v="256000"/>
    <n v="960000"/>
    <n v="768000"/>
    <n v="192000"/>
  </r>
  <r>
    <s v="ID_1036"/>
    <d v="2025-01-01T00:00:00"/>
    <x v="0"/>
    <x v="2"/>
    <x v="3"/>
    <s v="Retail"/>
    <s v="Online"/>
    <x v="9"/>
    <x v="1"/>
    <n v="220000"/>
    <n v="4"/>
    <x v="4"/>
    <n v="176000"/>
    <n v="880000"/>
    <n v="704000"/>
    <n v="176000"/>
  </r>
  <r>
    <s v="ID_578"/>
    <d v="2025-02-20T00:00:00"/>
    <x v="2"/>
    <x v="1"/>
    <x v="2"/>
    <s v="Corporate"/>
    <s v="Online"/>
    <x v="5"/>
    <x v="0"/>
    <n v="320000"/>
    <n v="7"/>
    <x v="3"/>
    <n v="256000"/>
    <n v="2240000"/>
    <n v="1792000"/>
    <n v="448000"/>
  </r>
  <r>
    <s v="ID_1233"/>
    <d v="2025-04-22T00:00:00"/>
    <x v="1"/>
    <x v="1"/>
    <x v="0"/>
    <s v="Corporate"/>
    <s v="Online"/>
    <x v="8"/>
    <x v="2"/>
    <n v="250000"/>
    <n v="1"/>
    <x v="2"/>
    <n v="200000"/>
    <n v="250000"/>
    <n v="200000"/>
    <n v="50000"/>
  </r>
  <r>
    <s v="ID_1322"/>
    <d v="2025-01-20T00:00:00"/>
    <x v="0"/>
    <x v="1"/>
    <x v="2"/>
    <s v="Retail"/>
    <s v="Store"/>
    <x v="1"/>
    <x v="1"/>
    <n v="30000"/>
    <n v="5"/>
    <x v="2"/>
    <n v="24000"/>
    <n v="150000"/>
    <n v="120000"/>
    <n v="30000"/>
  </r>
  <r>
    <s v="ID_645"/>
    <d v="2025-03-10T00:00:00"/>
    <x v="3"/>
    <x v="2"/>
    <x v="2"/>
    <s v="Corporate"/>
    <s v="Online"/>
    <x v="9"/>
    <x v="1"/>
    <n v="220000"/>
    <n v="5"/>
    <x v="1"/>
    <n v="176000"/>
    <n v="1100000"/>
    <n v="880000"/>
    <n v="220000"/>
  </r>
  <r>
    <s v="ID_919"/>
    <d v="2025-03-18T00:00:00"/>
    <x v="3"/>
    <x v="3"/>
    <x v="2"/>
    <s v="Corporate"/>
    <s v="Store"/>
    <x v="8"/>
    <x v="2"/>
    <n v="250000"/>
    <n v="4"/>
    <x v="3"/>
    <n v="200000"/>
    <n v="1000000"/>
    <n v="800000"/>
    <n v="200000"/>
  </r>
  <r>
    <s v="ID_1980"/>
    <d v="2025-01-08T00:00:00"/>
    <x v="0"/>
    <x v="3"/>
    <x v="0"/>
    <s v="Retail"/>
    <s v="Store"/>
    <x v="4"/>
    <x v="1"/>
    <n v="180000"/>
    <n v="4"/>
    <x v="0"/>
    <n v="144000"/>
    <n v="720000"/>
    <n v="576000"/>
    <n v="144000"/>
  </r>
  <r>
    <s v="ID_1601"/>
    <d v="2025-04-20T00:00:00"/>
    <x v="1"/>
    <x v="2"/>
    <x v="0"/>
    <s v="Corporate"/>
    <s v="Store"/>
    <x v="2"/>
    <x v="1"/>
    <n v="60000"/>
    <n v="10"/>
    <x v="1"/>
    <n v="48000"/>
    <n v="600000"/>
    <n v="480000"/>
    <n v="120000"/>
  </r>
  <r>
    <s v="ID_1703"/>
    <d v="2025-02-05T00:00:00"/>
    <x v="2"/>
    <x v="1"/>
    <x v="2"/>
    <s v="Retail"/>
    <s v="Online"/>
    <x v="5"/>
    <x v="0"/>
    <n v="320000"/>
    <n v="10"/>
    <x v="0"/>
    <n v="256000"/>
    <n v="3200000"/>
    <n v="2560000"/>
    <n v="640000"/>
  </r>
  <r>
    <s v="ID_940"/>
    <d v="2025-01-21T00:00:00"/>
    <x v="0"/>
    <x v="1"/>
    <x v="2"/>
    <s v="Retail"/>
    <s v="Store"/>
    <x v="6"/>
    <x v="2"/>
    <n v="150000"/>
    <n v="4"/>
    <x v="2"/>
    <n v="120000"/>
    <n v="600000"/>
    <n v="480000"/>
    <n v="120000"/>
  </r>
  <r>
    <s v="ID_892"/>
    <d v="2025-02-15T00:00:00"/>
    <x v="2"/>
    <x v="0"/>
    <x v="0"/>
    <s v="Corporate"/>
    <s v="Store"/>
    <x v="5"/>
    <x v="0"/>
    <n v="320000"/>
    <n v="4"/>
    <x v="0"/>
    <n v="256000"/>
    <n v="1280000"/>
    <n v="1024000"/>
    <n v="256000"/>
  </r>
  <r>
    <s v="ID_871"/>
    <d v="2025-02-16T00:00:00"/>
    <x v="2"/>
    <x v="2"/>
    <x v="1"/>
    <s v="Corporate"/>
    <s v="Online"/>
    <x v="3"/>
    <x v="2"/>
    <n v="300000"/>
    <n v="7"/>
    <x v="4"/>
    <n v="240000"/>
    <n v="2100000"/>
    <n v="1680000"/>
    <n v="420000"/>
  </r>
  <r>
    <s v="ID_2013"/>
    <d v="2025-02-20T00:00:00"/>
    <x v="2"/>
    <x v="3"/>
    <x v="0"/>
    <s v="Corporate"/>
    <s v="Store"/>
    <x v="6"/>
    <x v="2"/>
    <n v="150000"/>
    <n v="10"/>
    <x v="0"/>
    <n v="120000"/>
    <n v="1500000"/>
    <n v="1200000"/>
    <n v="300000"/>
  </r>
  <r>
    <s v="ID_400"/>
    <d v="2025-03-24T00:00:00"/>
    <x v="3"/>
    <x v="2"/>
    <x v="1"/>
    <s v="Corporate"/>
    <s v="Online"/>
    <x v="9"/>
    <x v="1"/>
    <n v="220000"/>
    <n v="9"/>
    <x v="0"/>
    <n v="176000"/>
    <n v="1980000"/>
    <n v="1584000"/>
    <n v="396000"/>
  </r>
  <r>
    <s v="ID_1185"/>
    <d v="2025-02-13T00:00:00"/>
    <x v="2"/>
    <x v="0"/>
    <x v="3"/>
    <s v="Corporate"/>
    <s v="Store"/>
    <x v="0"/>
    <x v="0"/>
    <n v="85000"/>
    <n v="4"/>
    <x v="2"/>
    <n v="68000"/>
    <n v="340000"/>
    <n v="272000"/>
    <n v="68000"/>
  </r>
  <r>
    <s v="ID_1365"/>
    <d v="2025-01-15T00:00:00"/>
    <x v="0"/>
    <x v="2"/>
    <x v="2"/>
    <s v="Corporate"/>
    <s v="Online"/>
    <x v="5"/>
    <x v="0"/>
    <n v="320000"/>
    <n v="1"/>
    <x v="5"/>
    <n v="256000"/>
    <n v="320000"/>
    <n v="256000"/>
    <n v="64000"/>
  </r>
  <r>
    <s v="ID_696"/>
    <d v="2025-01-20T00:00:00"/>
    <x v="0"/>
    <x v="1"/>
    <x v="3"/>
    <s v="Corporate"/>
    <s v="Store"/>
    <x v="7"/>
    <x v="2"/>
    <n v="420000"/>
    <n v="1"/>
    <x v="3"/>
    <n v="336000"/>
    <n v="420000"/>
    <n v="336000"/>
    <n v="84000"/>
  </r>
  <r>
    <s v="ID_1800"/>
    <d v="2025-04-29T00:00:00"/>
    <x v="1"/>
    <x v="2"/>
    <x v="2"/>
    <s v="Corporate"/>
    <s v="Store"/>
    <x v="7"/>
    <x v="2"/>
    <n v="420000"/>
    <n v="6"/>
    <x v="1"/>
    <n v="336000"/>
    <n v="2520000"/>
    <n v="2016000"/>
    <n v="504000"/>
  </r>
  <r>
    <s v="ID_623"/>
    <d v="2025-02-01T00:00:00"/>
    <x v="2"/>
    <x v="3"/>
    <x v="1"/>
    <s v="Corporate"/>
    <s v="Online"/>
    <x v="2"/>
    <x v="1"/>
    <n v="60000"/>
    <n v="8"/>
    <x v="4"/>
    <n v="48000"/>
    <n v="480000"/>
    <n v="384000"/>
    <n v="96000"/>
  </r>
  <r>
    <s v="ID_1507"/>
    <d v="2025-01-27T00:00:00"/>
    <x v="0"/>
    <x v="1"/>
    <x v="0"/>
    <s v="Corporate"/>
    <s v="Store"/>
    <x v="9"/>
    <x v="1"/>
    <n v="220000"/>
    <n v="7"/>
    <x v="0"/>
    <n v="176000"/>
    <n v="1540000"/>
    <n v="1232000"/>
    <n v="308000"/>
  </r>
  <r>
    <s v="ID_921"/>
    <d v="2025-04-04T00:00:00"/>
    <x v="1"/>
    <x v="2"/>
    <x v="0"/>
    <s v="Corporate"/>
    <s v="Online"/>
    <x v="5"/>
    <x v="0"/>
    <n v="320000"/>
    <n v="9"/>
    <x v="3"/>
    <n v="256000"/>
    <n v="2880000"/>
    <n v="2304000"/>
    <n v="576000"/>
  </r>
  <r>
    <s v="ID_1147"/>
    <d v="2025-02-08T00:00:00"/>
    <x v="2"/>
    <x v="0"/>
    <x v="3"/>
    <s v="Corporate"/>
    <s v="Store"/>
    <x v="3"/>
    <x v="2"/>
    <n v="300000"/>
    <n v="2"/>
    <x v="4"/>
    <n v="240000"/>
    <n v="600000"/>
    <n v="480000"/>
    <n v="120000"/>
  </r>
  <r>
    <s v="ID_1552"/>
    <d v="2025-04-26T00:00:00"/>
    <x v="1"/>
    <x v="2"/>
    <x v="0"/>
    <s v="Corporate"/>
    <s v="Online"/>
    <x v="8"/>
    <x v="2"/>
    <n v="250000"/>
    <n v="4"/>
    <x v="4"/>
    <n v="200000"/>
    <n v="1000000"/>
    <n v="800000"/>
    <n v="200000"/>
  </r>
  <r>
    <s v="ID_449"/>
    <d v="2025-02-13T00:00:00"/>
    <x v="2"/>
    <x v="3"/>
    <x v="1"/>
    <s v="Retail"/>
    <s v="Online"/>
    <x v="1"/>
    <x v="1"/>
    <n v="30000"/>
    <n v="4"/>
    <x v="4"/>
    <n v="24000"/>
    <n v="120000"/>
    <n v="96000"/>
    <n v="24000"/>
  </r>
  <r>
    <s v="ID_894"/>
    <d v="2025-02-02T00:00:00"/>
    <x v="2"/>
    <x v="0"/>
    <x v="1"/>
    <s v="Retail"/>
    <s v="Store"/>
    <x v="9"/>
    <x v="1"/>
    <n v="220000"/>
    <n v="4"/>
    <x v="0"/>
    <n v="176000"/>
    <n v="880000"/>
    <n v="704000"/>
    <n v="176000"/>
  </r>
  <r>
    <s v="ID_752"/>
    <d v="2025-03-08T00:00:00"/>
    <x v="3"/>
    <x v="3"/>
    <x v="3"/>
    <s v="Retail"/>
    <s v="Store"/>
    <x v="3"/>
    <x v="2"/>
    <n v="300000"/>
    <n v="2"/>
    <x v="4"/>
    <n v="240000"/>
    <n v="600000"/>
    <n v="480000"/>
    <n v="120000"/>
  </r>
  <r>
    <s v="ID_1643"/>
    <d v="2025-03-19T00:00:00"/>
    <x v="3"/>
    <x v="2"/>
    <x v="1"/>
    <s v="Retail"/>
    <s v="Online"/>
    <x v="5"/>
    <x v="0"/>
    <n v="320000"/>
    <n v="7"/>
    <x v="1"/>
    <n v="256000"/>
    <n v="2240000"/>
    <n v="1792000"/>
    <n v="448000"/>
  </r>
  <r>
    <s v="ID_887"/>
    <d v="2025-03-29T00:00:00"/>
    <x v="3"/>
    <x v="1"/>
    <x v="3"/>
    <s v="Corporate"/>
    <s v="Online"/>
    <x v="2"/>
    <x v="1"/>
    <n v="60000"/>
    <n v="5"/>
    <x v="2"/>
    <n v="48000"/>
    <n v="300000"/>
    <n v="240000"/>
    <n v="60000"/>
  </r>
  <r>
    <s v="ID_1612"/>
    <d v="2025-02-09T00:00:00"/>
    <x v="2"/>
    <x v="2"/>
    <x v="2"/>
    <s v="Retail"/>
    <s v="Online"/>
    <x v="0"/>
    <x v="0"/>
    <n v="85000"/>
    <n v="7"/>
    <x v="3"/>
    <n v="68000"/>
    <n v="595000"/>
    <n v="476000"/>
    <n v="119000"/>
  </r>
  <r>
    <s v="ID_1186"/>
    <d v="2025-03-19T00:00:00"/>
    <x v="3"/>
    <x v="0"/>
    <x v="1"/>
    <s v="Retail"/>
    <s v="Store"/>
    <x v="3"/>
    <x v="2"/>
    <n v="300000"/>
    <n v="6"/>
    <x v="5"/>
    <n v="240000"/>
    <n v="1800000"/>
    <n v="1440000"/>
    <n v="360000"/>
  </r>
  <r>
    <s v="ID_1133"/>
    <d v="2025-03-28T00:00:00"/>
    <x v="3"/>
    <x v="1"/>
    <x v="2"/>
    <s v="Corporate"/>
    <s v="Online"/>
    <x v="4"/>
    <x v="1"/>
    <n v="180000"/>
    <n v="5"/>
    <x v="2"/>
    <n v="144000"/>
    <n v="900000"/>
    <n v="720000"/>
    <n v="180000"/>
  </r>
  <r>
    <s v="ID_1988"/>
    <d v="2025-04-02T00:00:00"/>
    <x v="1"/>
    <x v="1"/>
    <x v="1"/>
    <s v="Corporate"/>
    <s v="Store"/>
    <x v="3"/>
    <x v="2"/>
    <n v="300000"/>
    <n v="1"/>
    <x v="4"/>
    <n v="240000"/>
    <n v="300000"/>
    <n v="240000"/>
    <n v="60000"/>
  </r>
  <r>
    <s v="ID_524"/>
    <d v="2025-03-26T00:00:00"/>
    <x v="3"/>
    <x v="0"/>
    <x v="0"/>
    <s v="Retail"/>
    <s v="Store"/>
    <x v="2"/>
    <x v="1"/>
    <n v="60000"/>
    <n v="7"/>
    <x v="1"/>
    <n v="48000"/>
    <n v="420000"/>
    <n v="336000"/>
    <n v="84000"/>
  </r>
  <r>
    <s v="ID_1126"/>
    <d v="2025-01-05T00:00:00"/>
    <x v="0"/>
    <x v="2"/>
    <x v="2"/>
    <s v="Retail"/>
    <s v="Online"/>
    <x v="1"/>
    <x v="1"/>
    <n v="30000"/>
    <n v="8"/>
    <x v="2"/>
    <n v="24000"/>
    <n v="240000"/>
    <n v="192000"/>
    <n v="48000"/>
  </r>
  <r>
    <s v="ID_1926"/>
    <d v="2025-04-01T00:00:00"/>
    <x v="1"/>
    <x v="0"/>
    <x v="1"/>
    <s v="Corporate"/>
    <s v="Online"/>
    <x v="9"/>
    <x v="1"/>
    <n v="220000"/>
    <n v="3"/>
    <x v="3"/>
    <n v="176000"/>
    <n v="660000"/>
    <n v="528000"/>
    <n v="132000"/>
  </r>
  <r>
    <s v="ID_1239"/>
    <d v="2025-04-06T00:00:00"/>
    <x v="1"/>
    <x v="2"/>
    <x v="1"/>
    <s v="Corporate"/>
    <s v="Online"/>
    <x v="9"/>
    <x v="1"/>
    <n v="220000"/>
    <n v="7"/>
    <x v="3"/>
    <n v="176000"/>
    <n v="1540000"/>
    <n v="1232000"/>
    <n v="308000"/>
  </r>
  <r>
    <s v="ID_635"/>
    <d v="2025-03-04T00:00:00"/>
    <x v="3"/>
    <x v="3"/>
    <x v="0"/>
    <s v="Retail"/>
    <s v="Store"/>
    <x v="4"/>
    <x v="1"/>
    <n v="180000"/>
    <n v="2"/>
    <x v="1"/>
    <n v="144000"/>
    <n v="360000"/>
    <n v="288000"/>
    <n v="72000"/>
  </r>
  <r>
    <s v="ID_1640"/>
    <d v="2025-03-09T00:00:00"/>
    <x v="3"/>
    <x v="0"/>
    <x v="2"/>
    <s v="Retail"/>
    <s v="Store"/>
    <x v="2"/>
    <x v="1"/>
    <n v="60000"/>
    <n v="8"/>
    <x v="4"/>
    <n v="48000"/>
    <n v="480000"/>
    <n v="384000"/>
    <n v="96000"/>
  </r>
  <r>
    <s v="ID_1083"/>
    <d v="2025-01-01T00:00:00"/>
    <x v="0"/>
    <x v="3"/>
    <x v="1"/>
    <s v="Retail"/>
    <s v="Online"/>
    <x v="1"/>
    <x v="1"/>
    <n v="30000"/>
    <n v="2"/>
    <x v="3"/>
    <n v="24000"/>
    <n v="60000"/>
    <n v="48000"/>
    <n v="12000"/>
  </r>
  <r>
    <s v="ID_359"/>
    <d v="2025-01-26T00:00:00"/>
    <x v="0"/>
    <x v="3"/>
    <x v="1"/>
    <s v="Corporate"/>
    <s v="Online"/>
    <x v="6"/>
    <x v="2"/>
    <n v="150000"/>
    <n v="5"/>
    <x v="3"/>
    <n v="120000"/>
    <n v="750000"/>
    <n v="600000"/>
    <n v="150000"/>
  </r>
  <r>
    <s v="ID_1933"/>
    <d v="2025-03-20T00:00:00"/>
    <x v="3"/>
    <x v="0"/>
    <x v="1"/>
    <s v="Corporate"/>
    <s v="Store"/>
    <x v="8"/>
    <x v="2"/>
    <n v="250000"/>
    <n v="5"/>
    <x v="3"/>
    <n v="200000"/>
    <n v="1250000"/>
    <n v="1000000"/>
    <n v="250000"/>
  </r>
  <r>
    <s v="ID_149"/>
    <d v="2025-02-27T00:00:00"/>
    <x v="2"/>
    <x v="2"/>
    <x v="0"/>
    <s v="Corporate"/>
    <s v="Online"/>
    <x v="0"/>
    <x v="0"/>
    <n v="85000"/>
    <n v="4"/>
    <x v="1"/>
    <n v="68000"/>
    <n v="340000"/>
    <n v="272000"/>
    <n v="68000"/>
  </r>
  <r>
    <s v="ID_804"/>
    <d v="2025-03-10T00:00:00"/>
    <x v="3"/>
    <x v="0"/>
    <x v="2"/>
    <s v="Retail"/>
    <s v="Store"/>
    <x v="3"/>
    <x v="2"/>
    <n v="300000"/>
    <n v="10"/>
    <x v="1"/>
    <n v="240000"/>
    <n v="3000000"/>
    <n v="2400000"/>
    <n v="600000"/>
  </r>
  <r>
    <s v="ID_1874"/>
    <d v="2025-03-11T00:00:00"/>
    <x v="3"/>
    <x v="2"/>
    <x v="0"/>
    <s v="Corporate"/>
    <s v="Online"/>
    <x v="8"/>
    <x v="2"/>
    <n v="250000"/>
    <n v="8"/>
    <x v="5"/>
    <n v="200000"/>
    <n v="2000000"/>
    <n v="1600000"/>
    <n v="400000"/>
  </r>
  <r>
    <s v="ID_946"/>
    <d v="2025-04-22T00:00:00"/>
    <x v="1"/>
    <x v="0"/>
    <x v="1"/>
    <s v="Retail"/>
    <s v="Store"/>
    <x v="5"/>
    <x v="0"/>
    <n v="320000"/>
    <n v="4"/>
    <x v="5"/>
    <n v="256000"/>
    <n v="1280000"/>
    <n v="1024000"/>
    <n v="256000"/>
  </r>
  <r>
    <s v="ID_1500"/>
    <d v="2025-04-01T00:00:00"/>
    <x v="1"/>
    <x v="3"/>
    <x v="1"/>
    <s v="Corporate"/>
    <s v="Store"/>
    <x v="1"/>
    <x v="1"/>
    <n v="30000"/>
    <n v="10"/>
    <x v="2"/>
    <n v="24000"/>
    <n v="300000"/>
    <n v="240000"/>
    <n v="60000"/>
  </r>
  <r>
    <s v="ID_1682"/>
    <d v="2025-04-16T00:00:00"/>
    <x v="1"/>
    <x v="3"/>
    <x v="0"/>
    <s v="Corporate"/>
    <s v="Online"/>
    <x v="8"/>
    <x v="2"/>
    <n v="250000"/>
    <n v="4"/>
    <x v="4"/>
    <n v="200000"/>
    <n v="1000000"/>
    <n v="800000"/>
    <n v="200000"/>
  </r>
  <r>
    <s v="ID_835"/>
    <d v="2025-01-23T00:00:00"/>
    <x v="0"/>
    <x v="1"/>
    <x v="0"/>
    <s v="Corporate"/>
    <s v="Online"/>
    <x v="5"/>
    <x v="0"/>
    <n v="320000"/>
    <n v="5"/>
    <x v="2"/>
    <n v="256000"/>
    <n v="1600000"/>
    <n v="1280000"/>
    <n v="320000"/>
  </r>
  <r>
    <s v="ID_585"/>
    <d v="2025-03-17T00:00:00"/>
    <x v="3"/>
    <x v="1"/>
    <x v="1"/>
    <s v="Retail"/>
    <s v="Store"/>
    <x v="5"/>
    <x v="0"/>
    <n v="320000"/>
    <n v="9"/>
    <x v="5"/>
    <n v="256000"/>
    <n v="2880000"/>
    <n v="2304000"/>
    <n v="576000"/>
  </r>
  <r>
    <s v="ID_1406"/>
    <d v="2025-03-07T00:00:00"/>
    <x v="3"/>
    <x v="1"/>
    <x v="1"/>
    <s v="Retail"/>
    <s v="Online"/>
    <x v="4"/>
    <x v="1"/>
    <n v="180000"/>
    <n v="1"/>
    <x v="4"/>
    <n v="144000"/>
    <n v="180000"/>
    <n v="144000"/>
    <n v="36000"/>
  </r>
  <r>
    <s v="ID_503"/>
    <d v="2025-04-18T00:00:00"/>
    <x v="1"/>
    <x v="2"/>
    <x v="0"/>
    <s v="Retail"/>
    <s v="Online"/>
    <x v="1"/>
    <x v="1"/>
    <n v="30000"/>
    <n v="7"/>
    <x v="2"/>
    <n v="24000"/>
    <n v="210000"/>
    <n v="168000"/>
    <n v="42000"/>
  </r>
  <r>
    <s v="ID_21"/>
    <d v="2025-04-29T00:00:00"/>
    <x v="1"/>
    <x v="3"/>
    <x v="3"/>
    <s v="Corporate"/>
    <s v="Store"/>
    <x v="9"/>
    <x v="1"/>
    <n v="220000"/>
    <n v="5"/>
    <x v="3"/>
    <n v="176000"/>
    <n v="1100000"/>
    <n v="880000"/>
    <n v="220000"/>
  </r>
  <r>
    <s v="ID_1943"/>
    <d v="2025-02-26T00:00:00"/>
    <x v="2"/>
    <x v="3"/>
    <x v="3"/>
    <s v="Corporate"/>
    <s v="Online"/>
    <x v="4"/>
    <x v="1"/>
    <n v="180000"/>
    <n v="4"/>
    <x v="5"/>
    <n v="144000"/>
    <n v="720000"/>
    <n v="576000"/>
    <n v="144000"/>
  </r>
  <r>
    <s v="ID_1895"/>
    <d v="2025-03-13T00:00:00"/>
    <x v="3"/>
    <x v="2"/>
    <x v="0"/>
    <s v="Corporate"/>
    <s v="Online"/>
    <x v="4"/>
    <x v="1"/>
    <n v="180000"/>
    <n v="2"/>
    <x v="2"/>
    <n v="144000"/>
    <n v="360000"/>
    <n v="288000"/>
    <n v="72000"/>
  </r>
  <r>
    <s v="ID_1566"/>
    <d v="2025-02-12T00:00:00"/>
    <x v="2"/>
    <x v="0"/>
    <x v="2"/>
    <s v="Corporate"/>
    <s v="Online"/>
    <x v="9"/>
    <x v="1"/>
    <n v="220000"/>
    <n v="2"/>
    <x v="4"/>
    <n v="176000"/>
    <n v="440000"/>
    <n v="352000"/>
    <n v="88000"/>
  </r>
  <r>
    <s v="ID_1846"/>
    <d v="2025-04-03T00:00:00"/>
    <x v="1"/>
    <x v="0"/>
    <x v="1"/>
    <s v="Corporate"/>
    <s v="Store"/>
    <x v="2"/>
    <x v="1"/>
    <n v="60000"/>
    <n v="10"/>
    <x v="4"/>
    <n v="48000"/>
    <n v="600000"/>
    <n v="480000"/>
    <n v="120000"/>
  </r>
  <r>
    <s v="ID_722"/>
    <d v="2025-02-19T00:00:00"/>
    <x v="2"/>
    <x v="3"/>
    <x v="0"/>
    <s v="Retail"/>
    <s v="Store"/>
    <x v="1"/>
    <x v="1"/>
    <n v="30000"/>
    <n v="2"/>
    <x v="5"/>
    <n v="24000"/>
    <n v="60000"/>
    <n v="48000"/>
    <n v="12000"/>
  </r>
  <r>
    <s v="ID_1660"/>
    <d v="2025-01-11T00:00:00"/>
    <x v="0"/>
    <x v="1"/>
    <x v="1"/>
    <s v="Corporate"/>
    <s v="Online"/>
    <x v="3"/>
    <x v="2"/>
    <n v="300000"/>
    <n v="3"/>
    <x v="1"/>
    <n v="240000"/>
    <n v="900000"/>
    <n v="720000"/>
    <n v="180000"/>
  </r>
  <r>
    <s v="ID_992"/>
    <d v="2025-03-13T00:00:00"/>
    <x v="3"/>
    <x v="2"/>
    <x v="2"/>
    <s v="Retail"/>
    <s v="Store"/>
    <x v="1"/>
    <x v="1"/>
    <n v="30000"/>
    <n v="8"/>
    <x v="0"/>
    <n v="24000"/>
    <n v="240000"/>
    <n v="192000"/>
    <n v="48000"/>
  </r>
  <r>
    <s v="ID_285"/>
    <d v="2025-03-03T00:00:00"/>
    <x v="3"/>
    <x v="3"/>
    <x v="0"/>
    <s v="Retail"/>
    <s v="Online"/>
    <x v="3"/>
    <x v="2"/>
    <n v="300000"/>
    <n v="7"/>
    <x v="0"/>
    <n v="240000"/>
    <n v="2100000"/>
    <n v="1680000"/>
    <n v="420000"/>
  </r>
  <r>
    <s v="ID_1827"/>
    <d v="2025-04-05T00:00:00"/>
    <x v="1"/>
    <x v="1"/>
    <x v="0"/>
    <s v="Retail"/>
    <s v="Online"/>
    <x v="1"/>
    <x v="1"/>
    <n v="30000"/>
    <n v="2"/>
    <x v="3"/>
    <n v="24000"/>
    <n v="60000"/>
    <n v="48000"/>
    <n v="12000"/>
  </r>
  <r>
    <s v="ID_416"/>
    <d v="2025-03-07T00:00:00"/>
    <x v="3"/>
    <x v="1"/>
    <x v="0"/>
    <s v="Corporate"/>
    <s v="Store"/>
    <x v="9"/>
    <x v="1"/>
    <n v="220000"/>
    <n v="8"/>
    <x v="2"/>
    <n v="176000"/>
    <n v="1760000"/>
    <n v="1408000"/>
    <n v="352000"/>
  </r>
  <r>
    <s v="ID_644"/>
    <d v="2025-04-20T00:00:00"/>
    <x v="1"/>
    <x v="0"/>
    <x v="2"/>
    <s v="Retail"/>
    <s v="Online"/>
    <x v="2"/>
    <x v="1"/>
    <n v="60000"/>
    <n v="1"/>
    <x v="0"/>
    <n v="48000"/>
    <n v="60000"/>
    <n v="48000"/>
    <n v="12000"/>
  </r>
  <r>
    <s v="ID_557"/>
    <d v="2025-03-01T00:00:00"/>
    <x v="3"/>
    <x v="2"/>
    <x v="2"/>
    <s v="Corporate"/>
    <s v="Online"/>
    <x v="0"/>
    <x v="0"/>
    <n v="85000"/>
    <n v="9"/>
    <x v="4"/>
    <n v="68000"/>
    <n v="765000"/>
    <n v="612000"/>
    <n v="153000"/>
  </r>
  <r>
    <s v="ID_1697"/>
    <d v="2025-02-26T00:00:00"/>
    <x v="2"/>
    <x v="1"/>
    <x v="1"/>
    <s v="Retail"/>
    <s v="Store"/>
    <x v="0"/>
    <x v="0"/>
    <n v="85000"/>
    <n v="4"/>
    <x v="3"/>
    <n v="68000"/>
    <n v="340000"/>
    <n v="272000"/>
    <n v="68000"/>
  </r>
  <r>
    <s v="ID_2040"/>
    <d v="2025-01-31T00:00:00"/>
    <x v="0"/>
    <x v="1"/>
    <x v="3"/>
    <s v="Corporate"/>
    <s v="Store"/>
    <x v="4"/>
    <x v="1"/>
    <n v="180000"/>
    <n v="6"/>
    <x v="0"/>
    <n v="144000"/>
    <n v="1080000"/>
    <n v="864000"/>
    <n v="216000"/>
  </r>
  <r>
    <s v="ID_945"/>
    <d v="2025-03-30T00:00:00"/>
    <x v="3"/>
    <x v="0"/>
    <x v="3"/>
    <s v="Retail"/>
    <s v="Online"/>
    <x v="4"/>
    <x v="1"/>
    <n v="180000"/>
    <n v="2"/>
    <x v="5"/>
    <n v="144000"/>
    <n v="360000"/>
    <n v="288000"/>
    <n v="72000"/>
  </r>
  <r>
    <s v="ID_1878"/>
    <d v="2025-01-07T00:00:00"/>
    <x v="0"/>
    <x v="3"/>
    <x v="0"/>
    <s v="Retail"/>
    <s v="Online"/>
    <x v="2"/>
    <x v="1"/>
    <n v="60000"/>
    <n v="8"/>
    <x v="2"/>
    <n v="48000"/>
    <n v="480000"/>
    <n v="384000"/>
    <n v="96000"/>
  </r>
  <r>
    <s v="ID_1803"/>
    <d v="2025-01-01T00:00:00"/>
    <x v="0"/>
    <x v="3"/>
    <x v="3"/>
    <s v="Retail"/>
    <s v="Online"/>
    <x v="5"/>
    <x v="0"/>
    <n v="320000"/>
    <n v="4"/>
    <x v="3"/>
    <n v="256000"/>
    <n v="1280000"/>
    <n v="1024000"/>
    <n v="256000"/>
  </r>
  <r>
    <s v="ID_728"/>
    <d v="2025-04-02T00:00:00"/>
    <x v="1"/>
    <x v="1"/>
    <x v="1"/>
    <s v="Corporate"/>
    <s v="Online"/>
    <x v="4"/>
    <x v="1"/>
    <n v="180000"/>
    <n v="3"/>
    <x v="1"/>
    <n v="144000"/>
    <n v="540000"/>
    <n v="432000"/>
    <n v="108000"/>
  </r>
  <r>
    <s v="ID_656"/>
    <d v="2025-03-20T00:00:00"/>
    <x v="3"/>
    <x v="1"/>
    <x v="0"/>
    <s v="Retail"/>
    <s v="Store"/>
    <x v="6"/>
    <x v="2"/>
    <n v="150000"/>
    <n v="9"/>
    <x v="2"/>
    <n v="120000"/>
    <n v="1350000"/>
    <n v="1080000"/>
    <n v="270000"/>
  </r>
  <r>
    <s v="ID_812"/>
    <d v="2025-04-17T00:00:00"/>
    <x v="1"/>
    <x v="1"/>
    <x v="1"/>
    <s v="Corporate"/>
    <s v="Store"/>
    <x v="0"/>
    <x v="0"/>
    <n v="85000"/>
    <n v="4"/>
    <x v="0"/>
    <n v="68000"/>
    <n v="340000"/>
    <n v="272000"/>
    <n v="68000"/>
  </r>
  <r>
    <s v="ID_591"/>
    <d v="2025-04-03T00:00:00"/>
    <x v="1"/>
    <x v="2"/>
    <x v="2"/>
    <s v="Retail"/>
    <s v="Online"/>
    <x v="9"/>
    <x v="1"/>
    <n v="220000"/>
    <n v="4"/>
    <x v="0"/>
    <n v="176000"/>
    <n v="880000"/>
    <n v="704000"/>
    <n v="176000"/>
  </r>
  <r>
    <s v="ID_1034"/>
    <d v="2025-02-18T00:00:00"/>
    <x v="2"/>
    <x v="3"/>
    <x v="0"/>
    <s v="Retail"/>
    <s v="Online"/>
    <x v="1"/>
    <x v="1"/>
    <n v="30000"/>
    <n v="8"/>
    <x v="4"/>
    <n v="24000"/>
    <n v="240000"/>
    <n v="192000"/>
    <n v="48000"/>
  </r>
  <r>
    <s v="ID_1754"/>
    <d v="2025-01-11T00:00:00"/>
    <x v="0"/>
    <x v="2"/>
    <x v="0"/>
    <s v="Retail"/>
    <s v="Online"/>
    <x v="0"/>
    <x v="0"/>
    <n v="85000"/>
    <n v="4"/>
    <x v="0"/>
    <n v="68000"/>
    <n v="340000"/>
    <n v="272000"/>
    <n v="68000"/>
  </r>
  <r>
    <s v="ID_216"/>
    <d v="2025-02-04T00:00:00"/>
    <x v="2"/>
    <x v="3"/>
    <x v="0"/>
    <s v="Retail"/>
    <s v="Online"/>
    <x v="3"/>
    <x v="2"/>
    <n v="300000"/>
    <n v="2"/>
    <x v="2"/>
    <n v="240000"/>
    <n v="600000"/>
    <n v="480000"/>
    <n v="120000"/>
  </r>
  <r>
    <s v="ID_1671"/>
    <d v="2025-03-22T00:00:00"/>
    <x v="3"/>
    <x v="0"/>
    <x v="2"/>
    <s v="Corporate"/>
    <s v="Store"/>
    <x v="0"/>
    <x v="0"/>
    <n v="85000"/>
    <n v="2"/>
    <x v="4"/>
    <n v="68000"/>
    <n v="170000"/>
    <n v="136000"/>
    <n v="34000"/>
  </r>
  <r>
    <s v="ID_1013"/>
    <d v="2025-04-25T00:00:00"/>
    <x v="1"/>
    <x v="0"/>
    <x v="0"/>
    <s v="Corporate"/>
    <s v="Online"/>
    <x v="7"/>
    <x v="2"/>
    <n v="420000"/>
    <n v="5"/>
    <x v="0"/>
    <n v="336000"/>
    <n v="2100000"/>
    <n v="1680000"/>
    <n v="420000"/>
  </r>
  <r>
    <s v="ID_528"/>
    <d v="2025-04-07T00:00:00"/>
    <x v="1"/>
    <x v="2"/>
    <x v="2"/>
    <s v="Corporate"/>
    <s v="Online"/>
    <x v="3"/>
    <x v="2"/>
    <n v="300000"/>
    <n v="8"/>
    <x v="1"/>
    <n v="240000"/>
    <n v="2400000"/>
    <n v="1920000"/>
    <n v="480000"/>
  </r>
  <r>
    <s v="ID_183"/>
    <d v="2025-04-03T00:00:00"/>
    <x v="1"/>
    <x v="0"/>
    <x v="1"/>
    <s v="Corporate"/>
    <s v="Store"/>
    <x v="2"/>
    <x v="1"/>
    <n v="60000"/>
    <n v="1"/>
    <x v="0"/>
    <n v="48000"/>
    <n v="60000"/>
    <n v="48000"/>
    <n v="12000"/>
  </r>
  <r>
    <s v="ID_1249"/>
    <d v="2025-02-27T00:00:00"/>
    <x v="2"/>
    <x v="0"/>
    <x v="2"/>
    <s v="Retail"/>
    <s v="Online"/>
    <x v="8"/>
    <x v="2"/>
    <n v="250000"/>
    <n v="8"/>
    <x v="0"/>
    <n v="200000"/>
    <n v="2000000"/>
    <n v="1600000"/>
    <n v="400000"/>
  </r>
  <r>
    <s v="ID_1316"/>
    <d v="2025-04-14T00:00:00"/>
    <x v="1"/>
    <x v="0"/>
    <x v="1"/>
    <s v="Corporate"/>
    <s v="Online"/>
    <x v="3"/>
    <x v="2"/>
    <n v="300000"/>
    <n v="4"/>
    <x v="0"/>
    <n v="240000"/>
    <n v="1200000"/>
    <n v="960000"/>
    <n v="240000"/>
  </r>
  <r>
    <s v="ID_1741"/>
    <d v="2025-02-01T00:00:00"/>
    <x v="2"/>
    <x v="1"/>
    <x v="2"/>
    <s v="Corporate"/>
    <s v="Online"/>
    <x v="3"/>
    <x v="2"/>
    <n v="300000"/>
    <n v="10"/>
    <x v="4"/>
    <n v="240000"/>
    <n v="3000000"/>
    <n v="2400000"/>
    <n v="600000"/>
  </r>
  <r>
    <s v="ID_1860"/>
    <d v="2025-01-07T00:00:00"/>
    <x v="0"/>
    <x v="2"/>
    <x v="1"/>
    <s v="Retail"/>
    <s v="Online"/>
    <x v="3"/>
    <x v="2"/>
    <n v="300000"/>
    <n v="2"/>
    <x v="5"/>
    <n v="240000"/>
    <n v="600000"/>
    <n v="480000"/>
    <n v="120000"/>
  </r>
  <r>
    <s v="ID_1622"/>
    <d v="2025-02-28T00:00:00"/>
    <x v="2"/>
    <x v="0"/>
    <x v="3"/>
    <s v="Retail"/>
    <s v="Store"/>
    <x v="0"/>
    <x v="0"/>
    <n v="85000"/>
    <n v="2"/>
    <x v="3"/>
    <n v="68000"/>
    <n v="170000"/>
    <n v="136000"/>
    <n v="34000"/>
  </r>
  <r>
    <s v="ID_233"/>
    <d v="2025-04-06T00:00:00"/>
    <x v="1"/>
    <x v="3"/>
    <x v="1"/>
    <s v="Retail"/>
    <s v="Online"/>
    <x v="5"/>
    <x v="0"/>
    <n v="320000"/>
    <n v="3"/>
    <x v="2"/>
    <n v="256000"/>
    <n v="960000"/>
    <n v="768000"/>
    <n v="192000"/>
  </r>
  <r>
    <s v="ID_319"/>
    <d v="2025-02-24T00:00:00"/>
    <x v="2"/>
    <x v="0"/>
    <x v="2"/>
    <s v="Retail"/>
    <s v="Store"/>
    <x v="6"/>
    <x v="2"/>
    <n v="150000"/>
    <n v="4"/>
    <x v="0"/>
    <n v="120000"/>
    <n v="600000"/>
    <n v="480000"/>
    <n v="120000"/>
  </r>
  <r>
    <s v="ID_1334"/>
    <d v="2025-01-18T00:00:00"/>
    <x v="0"/>
    <x v="0"/>
    <x v="2"/>
    <s v="Corporate"/>
    <s v="Store"/>
    <x v="2"/>
    <x v="1"/>
    <n v="60000"/>
    <n v="8"/>
    <x v="2"/>
    <n v="48000"/>
    <n v="480000"/>
    <n v="384000"/>
    <n v="96000"/>
  </r>
  <r>
    <s v="ID_1044"/>
    <d v="2025-03-30T00:00:00"/>
    <x v="3"/>
    <x v="3"/>
    <x v="0"/>
    <s v="Corporate"/>
    <s v="Store"/>
    <x v="0"/>
    <x v="0"/>
    <n v="85000"/>
    <n v="2"/>
    <x v="0"/>
    <n v="68000"/>
    <n v="170000"/>
    <n v="136000"/>
    <n v="34000"/>
  </r>
  <r>
    <s v="ID_1032"/>
    <d v="2025-04-29T00:00:00"/>
    <x v="1"/>
    <x v="3"/>
    <x v="1"/>
    <s v="Corporate"/>
    <s v="Store"/>
    <x v="3"/>
    <x v="2"/>
    <n v="300000"/>
    <n v="8"/>
    <x v="1"/>
    <n v="240000"/>
    <n v="2400000"/>
    <n v="1920000"/>
    <n v="480000"/>
  </r>
  <r>
    <s v="ID_1290"/>
    <d v="2025-04-28T00:00:00"/>
    <x v="1"/>
    <x v="3"/>
    <x v="0"/>
    <s v="Retail"/>
    <s v="Online"/>
    <x v="5"/>
    <x v="0"/>
    <n v="320000"/>
    <n v="5"/>
    <x v="4"/>
    <n v="256000"/>
    <n v="1600000"/>
    <n v="1280000"/>
    <n v="320000"/>
  </r>
  <r>
    <s v="ID_1756"/>
    <d v="2025-01-07T00:00:00"/>
    <x v="0"/>
    <x v="0"/>
    <x v="1"/>
    <s v="Corporate"/>
    <s v="Store"/>
    <x v="1"/>
    <x v="1"/>
    <n v="30000"/>
    <n v="3"/>
    <x v="1"/>
    <n v="24000"/>
    <n v="90000"/>
    <n v="72000"/>
    <n v="18000"/>
  </r>
  <r>
    <s v="ID_1620"/>
    <d v="2025-05-01T00:00:00"/>
    <x v="4"/>
    <x v="2"/>
    <x v="0"/>
    <s v="Retail"/>
    <s v="Store"/>
    <x v="1"/>
    <x v="1"/>
    <n v="30000"/>
    <n v="1"/>
    <x v="1"/>
    <n v="24000"/>
    <n v="30000"/>
    <n v="24000"/>
    <n v="6000"/>
  </r>
  <r>
    <s v="ID_178"/>
    <d v="2025-03-13T00:00:00"/>
    <x v="3"/>
    <x v="2"/>
    <x v="3"/>
    <s v="Corporate"/>
    <s v="Store"/>
    <x v="6"/>
    <x v="2"/>
    <n v="150000"/>
    <n v="3"/>
    <x v="1"/>
    <n v="120000"/>
    <n v="450000"/>
    <n v="360000"/>
    <n v="90000"/>
  </r>
  <r>
    <s v="ID_217"/>
    <d v="2025-04-04T00:00:00"/>
    <x v="1"/>
    <x v="2"/>
    <x v="2"/>
    <s v="Retail"/>
    <s v="Online"/>
    <x v="1"/>
    <x v="1"/>
    <n v="30000"/>
    <n v="5"/>
    <x v="3"/>
    <n v="24000"/>
    <n v="150000"/>
    <n v="120000"/>
    <n v="30000"/>
  </r>
  <r>
    <s v="ID_418"/>
    <d v="2025-02-06T00:00:00"/>
    <x v="2"/>
    <x v="3"/>
    <x v="3"/>
    <s v="Corporate"/>
    <s v="Store"/>
    <x v="4"/>
    <x v="1"/>
    <n v="180000"/>
    <n v="4"/>
    <x v="1"/>
    <n v="144000"/>
    <n v="720000"/>
    <n v="576000"/>
    <n v="144000"/>
  </r>
  <r>
    <s v="ID_551"/>
    <d v="2025-01-04T00:00:00"/>
    <x v="0"/>
    <x v="2"/>
    <x v="2"/>
    <s v="Corporate"/>
    <s v="Store"/>
    <x v="4"/>
    <x v="1"/>
    <n v="180000"/>
    <n v="3"/>
    <x v="5"/>
    <n v="144000"/>
    <n v="540000"/>
    <n v="432000"/>
    <n v="108000"/>
  </r>
  <r>
    <s v="ID_1532"/>
    <d v="2025-02-11T00:00:00"/>
    <x v="2"/>
    <x v="1"/>
    <x v="1"/>
    <s v="Corporate"/>
    <s v="Store"/>
    <x v="3"/>
    <x v="2"/>
    <n v="300000"/>
    <n v="8"/>
    <x v="0"/>
    <n v="240000"/>
    <n v="2400000"/>
    <n v="1920000"/>
    <n v="480000"/>
  </r>
  <r>
    <s v="ID_1417"/>
    <d v="2025-02-26T00:00:00"/>
    <x v="2"/>
    <x v="1"/>
    <x v="3"/>
    <s v="Corporate"/>
    <s v="Online"/>
    <x v="0"/>
    <x v="0"/>
    <n v="85000"/>
    <n v="8"/>
    <x v="1"/>
    <n v="68000"/>
    <n v="680000"/>
    <n v="544000"/>
    <n v="136000"/>
  </r>
  <r>
    <s v="ID_1481"/>
    <d v="2025-02-18T00:00:00"/>
    <x v="2"/>
    <x v="3"/>
    <x v="1"/>
    <s v="Retail"/>
    <s v="Store"/>
    <x v="4"/>
    <x v="1"/>
    <n v="180000"/>
    <n v="1"/>
    <x v="0"/>
    <n v="144000"/>
    <n v="180000"/>
    <n v="144000"/>
    <n v="36000"/>
  </r>
  <r>
    <s v="ID_177"/>
    <d v="2025-04-10T00:00:00"/>
    <x v="1"/>
    <x v="2"/>
    <x v="0"/>
    <s v="Corporate"/>
    <s v="Online"/>
    <x v="7"/>
    <x v="2"/>
    <n v="420000"/>
    <n v="6"/>
    <x v="1"/>
    <n v="336000"/>
    <n v="2520000"/>
    <n v="2016000"/>
    <n v="504000"/>
  </r>
  <r>
    <s v="ID_379"/>
    <d v="2025-04-17T00:00:00"/>
    <x v="1"/>
    <x v="0"/>
    <x v="3"/>
    <s v="Retail"/>
    <s v="Store"/>
    <x v="7"/>
    <x v="2"/>
    <n v="420000"/>
    <n v="4"/>
    <x v="4"/>
    <n v="336000"/>
    <n v="1680000"/>
    <n v="1344000"/>
    <n v="336000"/>
  </r>
  <r>
    <s v="ID_1184"/>
    <d v="2025-03-19T00:00:00"/>
    <x v="3"/>
    <x v="1"/>
    <x v="3"/>
    <s v="Corporate"/>
    <s v="Store"/>
    <x v="4"/>
    <x v="1"/>
    <n v="180000"/>
    <n v="3"/>
    <x v="1"/>
    <n v="144000"/>
    <n v="540000"/>
    <n v="432000"/>
    <n v="108000"/>
  </r>
  <r>
    <s v="ID_2027"/>
    <d v="2025-03-15T00:00:00"/>
    <x v="3"/>
    <x v="2"/>
    <x v="1"/>
    <s v="Retail"/>
    <s v="Online"/>
    <x v="2"/>
    <x v="1"/>
    <n v="60000"/>
    <n v="3"/>
    <x v="1"/>
    <n v="48000"/>
    <n v="180000"/>
    <n v="144000"/>
    <n v="36000"/>
  </r>
  <r>
    <s v="ID_890"/>
    <d v="2025-01-17T00:00:00"/>
    <x v="0"/>
    <x v="1"/>
    <x v="3"/>
    <s v="Retail"/>
    <s v="Store"/>
    <x v="6"/>
    <x v="2"/>
    <n v="150000"/>
    <n v="1"/>
    <x v="2"/>
    <n v="120000"/>
    <n v="150000"/>
    <n v="120000"/>
    <n v="30000"/>
  </r>
  <r>
    <s v="ID_916"/>
    <d v="2025-01-29T00:00:00"/>
    <x v="0"/>
    <x v="2"/>
    <x v="0"/>
    <s v="Corporate"/>
    <s v="Online"/>
    <x v="7"/>
    <x v="2"/>
    <n v="420000"/>
    <n v="4"/>
    <x v="1"/>
    <n v="336000"/>
    <n v="1680000"/>
    <n v="1344000"/>
    <n v="336000"/>
  </r>
  <r>
    <s v="ID_710"/>
    <d v="2025-04-13T00:00:00"/>
    <x v="1"/>
    <x v="3"/>
    <x v="1"/>
    <s v="Corporate"/>
    <s v="Online"/>
    <x v="8"/>
    <x v="2"/>
    <n v="250000"/>
    <n v="6"/>
    <x v="2"/>
    <n v="200000"/>
    <n v="1500000"/>
    <n v="1200000"/>
    <n v="300000"/>
  </r>
  <r>
    <s v="ID_410"/>
    <d v="2025-03-04T00:00:00"/>
    <x v="3"/>
    <x v="2"/>
    <x v="0"/>
    <s v="Corporate"/>
    <s v="Store"/>
    <x v="5"/>
    <x v="0"/>
    <n v="320000"/>
    <n v="1"/>
    <x v="3"/>
    <n v="256000"/>
    <n v="320000"/>
    <n v="256000"/>
    <n v="64000"/>
  </r>
  <r>
    <s v="ID_1342"/>
    <d v="2025-01-23T00:00:00"/>
    <x v="0"/>
    <x v="3"/>
    <x v="3"/>
    <s v="Corporate"/>
    <s v="Store"/>
    <x v="9"/>
    <x v="1"/>
    <n v="220000"/>
    <n v="10"/>
    <x v="5"/>
    <n v="176000"/>
    <n v="2200000"/>
    <n v="1760000"/>
    <n v="440000"/>
  </r>
  <r>
    <s v="ID_1087"/>
    <d v="2025-04-15T00:00:00"/>
    <x v="1"/>
    <x v="3"/>
    <x v="1"/>
    <s v="Retail"/>
    <s v="Online"/>
    <x v="9"/>
    <x v="1"/>
    <n v="220000"/>
    <n v="5"/>
    <x v="1"/>
    <n v="176000"/>
    <n v="1100000"/>
    <n v="880000"/>
    <n v="220000"/>
  </r>
  <r>
    <s v="ID_1596"/>
    <d v="2025-01-09T00:00:00"/>
    <x v="0"/>
    <x v="2"/>
    <x v="2"/>
    <s v="Corporate"/>
    <s v="Store"/>
    <x v="9"/>
    <x v="1"/>
    <n v="220000"/>
    <n v="8"/>
    <x v="5"/>
    <n v="176000"/>
    <n v="1760000"/>
    <n v="1408000"/>
    <n v="352000"/>
  </r>
  <r>
    <s v="ID_1057"/>
    <d v="2025-03-25T00:00:00"/>
    <x v="3"/>
    <x v="1"/>
    <x v="0"/>
    <s v="Retail"/>
    <s v="Online"/>
    <x v="9"/>
    <x v="1"/>
    <n v="220000"/>
    <n v="9"/>
    <x v="2"/>
    <n v="176000"/>
    <n v="1980000"/>
    <n v="1584000"/>
    <n v="396000"/>
  </r>
  <r>
    <s v="ID_662"/>
    <d v="2025-03-06T00:00:00"/>
    <x v="3"/>
    <x v="3"/>
    <x v="2"/>
    <s v="Corporate"/>
    <s v="Online"/>
    <x v="3"/>
    <x v="2"/>
    <n v="300000"/>
    <n v="7"/>
    <x v="5"/>
    <n v="240000"/>
    <n v="2100000"/>
    <n v="1680000"/>
    <n v="420000"/>
  </r>
  <r>
    <s v="ID_1408"/>
    <d v="2025-03-07T00:00:00"/>
    <x v="3"/>
    <x v="0"/>
    <x v="3"/>
    <s v="Retail"/>
    <s v="Online"/>
    <x v="7"/>
    <x v="2"/>
    <n v="420000"/>
    <n v="1"/>
    <x v="2"/>
    <n v="336000"/>
    <n v="420000"/>
    <n v="336000"/>
    <n v="84000"/>
  </r>
  <r>
    <s v="ID_1466"/>
    <d v="2025-02-04T00:00:00"/>
    <x v="2"/>
    <x v="0"/>
    <x v="1"/>
    <s v="Corporate"/>
    <s v="Store"/>
    <x v="4"/>
    <x v="1"/>
    <n v="180000"/>
    <n v="6"/>
    <x v="2"/>
    <n v="144000"/>
    <n v="1080000"/>
    <n v="864000"/>
    <n v="216000"/>
  </r>
  <r>
    <s v="ID_1623"/>
    <d v="2025-04-06T00:00:00"/>
    <x v="1"/>
    <x v="3"/>
    <x v="0"/>
    <s v="Retail"/>
    <s v="Online"/>
    <x v="8"/>
    <x v="2"/>
    <n v="250000"/>
    <n v="3"/>
    <x v="2"/>
    <n v="200000"/>
    <n v="750000"/>
    <n v="600000"/>
    <n v="150000"/>
  </r>
  <r>
    <s v="ID_1811"/>
    <d v="2025-04-14T00:00:00"/>
    <x v="1"/>
    <x v="3"/>
    <x v="3"/>
    <s v="Retail"/>
    <s v="Online"/>
    <x v="5"/>
    <x v="0"/>
    <n v="320000"/>
    <n v="2"/>
    <x v="0"/>
    <n v="256000"/>
    <n v="640000"/>
    <n v="512000"/>
    <n v="128000"/>
  </r>
  <r>
    <s v="ID_1587"/>
    <d v="2025-04-26T00:00:00"/>
    <x v="1"/>
    <x v="1"/>
    <x v="1"/>
    <s v="Corporate"/>
    <s v="Online"/>
    <x v="2"/>
    <x v="1"/>
    <n v="60000"/>
    <n v="3"/>
    <x v="1"/>
    <n v="48000"/>
    <n v="180000"/>
    <n v="144000"/>
    <n v="36000"/>
  </r>
  <r>
    <s v="ID_1070"/>
    <d v="2025-04-03T00:00:00"/>
    <x v="1"/>
    <x v="2"/>
    <x v="3"/>
    <s v="Corporate"/>
    <s v="Store"/>
    <x v="1"/>
    <x v="1"/>
    <n v="30000"/>
    <n v="9"/>
    <x v="1"/>
    <n v="24000"/>
    <n v="270000"/>
    <n v="216000"/>
    <n v="54000"/>
  </r>
  <r>
    <s v="ID_1854"/>
    <d v="2025-02-06T00:00:00"/>
    <x v="2"/>
    <x v="1"/>
    <x v="2"/>
    <s v="Corporate"/>
    <s v="Store"/>
    <x v="4"/>
    <x v="1"/>
    <n v="180000"/>
    <n v="6"/>
    <x v="1"/>
    <n v="144000"/>
    <n v="1080000"/>
    <n v="864000"/>
    <n v="216000"/>
  </r>
  <r>
    <s v="ID_1779"/>
    <d v="2025-04-06T00:00:00"/>
    <x v="1"/>
    <x v="2"/>
    <x v="2"/>
    <s v="Corporate"/>
    <s v="Online"/>
    <x v="2"/>
    <x v="1"/>
    <n v="60000"/>
    <n v="8"/>
    <x v="4"/>
    <n v="48000"/>
    <n v="480000"/>
    <n v="384000"/>
    <n v="96000"/>
  </r>
  <r>
    <s v="ID_2065"/>
    <d v="2025-01-26T00:00:00"/>
    <x v="0"/>
    <x v="2"/>
    <x v="2"/>
    <s v="Corporate"/>
    <s v="Online"/>
    <x v="2"/>
    <x v="1"/>
    <n v="60000"/>
    <n v="8"/>
    <x v="5"/>
    <n v="48000"/>
    <n v="480000"/>
    <n v="384000"/>
    <n v="96000"/>
  </r>
  <r>
    <s v="ID_1132"/>
    <d v="2025-04-16T00:00:00"/>
    <x v="1"/>
    <x v="2"/>
    <x v="2"/>
    <s v="Corporate"/>
    <s v="Store"/>
    <x v="8"/>
    <x v="2"/>
    <n v="250000"/>
    <n v="3"/>
    <x v="3"/>
    <n v="200000"/>
    <n v="750000"/>
    <n v="600000"/>
    <n v="150000"/>
  </r>
  <r>
    <s v="ID_277"/>
    <d v="2025-01-29T00:00:00"/>
    <x v="0"/>
    <x v="3"/>
    <x v="2"/>
    <s v="Corporate"/>
    <s v="Store"/>
    <x v="0"/>
    <x v="0"/>
    <n v="85000"/>
    <n v="6"/>
    <x v="4"/>
    <n v="68000"/>
    <n v="510000"/>
    <n v="408000"/>
    <n v="102000"/>
  </r>
  <r>
    <s v="ID_308"/>
    <d v="2025-01-15T00:00:00"/>
    <x v="0"/>
    <x v="1"/>
    <x v="3"/>
    <s v="Corporate"/>
    <s v="Online"/>
    <x v="9"/>
    <x v="1"/>
    <n v="220000"/>
    <n v="9"/>
    <x v="2"/>
    <n v="176000"/>
    <n v="1980000"/>
    <n v="1584000"/>
    <n v="396000"/>
  </r>
  <r>
    <s v="ID_987"/>
    <d v="2025-01-03T00:00:00"/>
    <x v="0"/>
    <x v="3"/>
    <x v="3"/>
    <s v="Corporate"/>
    <s v="Store"/>
    <x v="8"/>
    <x v="2"/>
    <n v="250000"/>
    <n v="4"/>
    <x v="2"/>
    <n v="200000"/>
    <n v="1000000"/>
    <n v="800000"/>
    <n v="200000"/>
  </r>
  <r>
    <s v="ID_843"/>
    <d v="2025-03-17T00:00:00"/>
    <x v="3"/>
    <x v="2"/>
    <x v="2"/>
    <s v="Corporate"/>
    <s v="Store"/>
    <x v="8"/>
    <x v="2"/>
    <n v="250000"/>
    <n v="3"/>
    <x v="0"/>
    <n v="200000"/>
    <n v="750000"/>
    <n v="600000"/>
    <n v="150000"/>
  </r>
  <r>
    <s v="ID_828"/>
    <d v="2025-01-24T00:00:00"/>
    <x v="0"/>
    <x v="2"/>
    <x v="3"/>
    <s v="Corporate"/>
    <s v="Store"/>
    <x v="1"/>
    <x v="1"/>
    <n v="30000"/>
    <n v="10"/>
    <x v="0"/>
    <n v="24000"/>
    <n v="300000"/>
    <n v="240000"/>
    <n v="60000"/>
  </r>
  <r>
    <s v="ID_1025"/>
    <d v="2025-05-01T00:00:00"/>
    <x v="4"/>
    <x v="3"/>
    <x v="2"/>
    <s v="Corporate"/>
    <s v="Store"/>
    <x v="3"/>
    <x v="2"/>
    <n v="300000"/>
    <n v="4"/>
    <x v="5"/>
    <n v="240000"/>
    <n v="1200000"/>
    <n v="960000"/>
    <n v="240000"/>
  </r>
  <r>
    <s v="ID_185"/>
    <d v="2025-04-16T00:00:00"/>
    <x v="1"/>
    <x v="2"/>
    <x v="0"/>
    <s v="Corporate"/>
    <s v="Store"/>
    <x v="5"/>
    <x v="0"/>
    <n v="320000"/>
    <n v="2"/>
    <x v="3"/>
    <n v="256000"/>
    <n v="640000"/>
    <n v="512000"/>
    <n v="128000"/>
  </r>
  <r>
    <s v="ID_1053"/>
    <d v="2025-01-06T00:00:00"/>
    <x v="0"/>
    <x v="2"/>
    <x v="3"/>
    <s v="Corporate"/>
    <s v="Store"/>
    <x v="7"/>
    <x v="2"/>
    <n v="420000"/>
    <n v="8"/>
    <x v="5"/>
    <n v="336000"/>
    <n v="3360000"/>
    <n v="2688000"/>
    <n v="672000"/>
  </r>
  <r>
    <s v="ID_204"/>
    <d v="2025-02-24T00:00:00"/>
    <x v="2"/>
    <x v="2"/>
    <x v="3"/>
    <s v="Corporate"/>
    <s v="Store"/>
    <x v="1"/>
    <x v="1"/>
    <n v="30000"/>
    <n v="2"/>
    <x v="1"/>
    <n v="24000"/>
    <n v="60000"/>
    <n v="48000"/>
    <n v="12000"/>
  </r>
  <r>
    <s v="ID_630"/>
    <d v="2025-02-03T00:00:00"/>
    <x v="2"/>
    <x v="3"/>
    <x v="3"/>
    <s v="Corporate"/>
    <s v="Store"/>
    <x v="6"/>
    <x v="2"/>
    <n v="150000"/>
    <n v="3"/>
    <x v="0"/>
    <n v="120000"/>
    <n v="450000"/>
    <n v="360000"/>
    <n v="90000"/>
  </r>
  <r>
    <s v="ID_1310"/>
    <d v="2025-03-04T00:00:00"/>
    <x v="3"/>
    <x v="2"/>
    <x v="1"/>
    <s v="Corporate"/>
    <s v="Store"/>
    <x v="9"/>
    <x v="1"/>
    <n v="220000"/>
    <n v="6"/>
    <x v="1"/>
    <n v="176000"/>
    <n v="1320000"/>
    <n v="1056000"/>
    <n v="264000"/>
  </r>
  <r>
    <s v="ID_666"/>
    <d v="2025-04-06T00:00:00"/>
    <x v="1"/>
    <x v="0"/>
    <x v="0"/>
    <s v="Corporate"/>
    <s v="Online"/>
    <x v="2"/>
    <x v="1"/>
    <n v="60000"/>
    <n v="7"/>
    <x v="3"/>
    <n v="48000"/>
    <n v="420000"/>
    <n v="336000"/>
    <n v="84000"/>
  </r>
  <r>
    <s v="ID_1986"/>
    <d v="2025-02-02T00:00:00"/>
    <x v="2"/>
    <x v="2"/>
    <x v="0"/>
    <s v="Retail"/>
    <s v="Online"/>
    <x v="0"/>
    <x v="0"/>
    <n v="85000"/>
    <n v="7"/>
    <x v="3"/>
    <n v="68000"/>
    <n v="595000"/>
    <n v="476000"/>
    <n v="119000"/>
  </r>
  <r>
    <s v="ID_1508"/>
    <d v="2025-01-14T00:00:00"/>
    <x v="0"/>
    <x v="0"/>
    <x v="1"/>
    <s v="Retail"/>
    <s v="Online"/>
    <x v="7"/>
    <x v="2"/>
    <n v="420000"/>
    <n v="6"/>
    <x v="0"/>
    <n v="336000"/>
    <n v="2520000"/>
    <n v="2016000"/>
    <n v="504000"/>
  </r>
  <r>
    <s v="ID_1623"/>
    <d v="2025-04-15T00:00:00"/>
    <x v="1"/>
    <x v="0"/>
    <x v="0"/>
    <s v="Retail"/>
    <s v="Store"/>
    <x v="3"/>
    <x v="2"/>
    <n v="300000"/>
    <n v="3"/>
    <x v="2"/>
    <n v="240000"/>
    <n v="900000"/>
    <n v="720000"/>
    <n v="180000"/>
  </r>
  <r>
    <s v="ID_1879"/>
    <d v="2025-01-25T00:00:00"/>
    <x v="0"/>
    <x v="3"/>
    <x v="3"/>
    <s v="Retail"/>
    <s v="Online"/>
    <x v="9"/>
    <x v="1"/>
    <n v="220000"/>
    <n v="10"/>
    <x v="0"/>
    <n v="176000"/>
    <n v="2200000"/>
    <n v="1760000"/>
    <n v="440000"/>
  </r>
  <r>
    <s v="ID_551"/>
    <d v="2025-02-27T00:00:00"/>
    <x v="2"/>
    <x v="3"/>
    <x v="0"/>
    <s v="Corporate"/>
    <s v="Store"/>
    <x v="0"/>
    <x v="0"/>
    <n v="85000"/>
    <n v="4"/>
    <x v="3"/>
    <n v="68000"/>
    <n v="340000"/>
    <n v="272000"/>
    <n v="68000"/>
  </r>
  <r>
    <s v="ID_1905"/>
    <d v="2025-03-10T00:00:00"/>
    <x v="3"/>
    <x v="3"/>
    <x v="1"/>
    <s v="Retail"/>
    <s v="Store"/>
    <x v="5"/>
    <x v="0"/>
    <n v="320000"/>
    <n v="4"/>
    <x v="5"/>
    <n v="256000"/>
    <n v="1280000"/>
    <n v="1024000"/>
    <n v="256000"/>
  </r>
  <r>
    <s v="ID_877"/>
    <d v="2025-01-27T00:00:00"/>
    <x v="0"/>
    <x v="2"/>
    <x v="3"/>
    <s v="Retail"/>
    <s v="Store"/>
    <x v="6"/>
    <x v="2"/>
    <n v="150000"/>
    <n v="6"/>
    <x v="5"/>
    <n v="120000"/>
    <n v="900000"/>
    <n v="720000"/>
    <n v="180000"/>
  </r>
  <r>
    <s v="ID_546"/>
    <d v="2025-01-27T00:00:00"/>
    <x v="0"/>
    <x v="0"/>
    <x v="1"/>
    <s v="Retail"/>
    <s v="Store"/>
    <x v="5"/>
    <x v="0"/>
    <n v="320000"/>
    <n v="2"/>
    <x v="5"/>
    <n v="256000"/>
    <n v="640000"/>
    <n v="512000"/>
    <n v="128000"/>
  </r>
  <r>
    <s v="ID_1729"/>
    <d v="2025-02-23T00:00:00"/>
    <x v="2"/>
    <x v="3"/>
    <x v="2"/>
    <s v="Retail"/>
    <s v="Online"/>
    <x v="5"/>
    <x v="0"/>
    <n v="320000"/>
    <n v="10"/>
    <x v="5"/>
    <n v="256000"/>
    <n v="3200000"/>
    <n v="2560000"/>
    <n v="640000"/>
  </r>
  <r>
    <s v="ID_1054"/>
    <d v="2025-02-14T00:00:00"/>
    <x v="2"/>
    <x v="2"/>
    <x v="1"/>
    <s v="Corporate"/>
    <s v="Online"/>
    <x v="7"/>
    <x v="2"/>
    <n v="420000"/>
    <n v="8"/>
    <x v="0"/>
    <n v="336000"/>
    <n v="3360000"/>
    <n v="2688000"/>
    <n v="672000"/>
  </r>
  <r>
    <s v="ID_107"/>
    <d v="2025-03-01T00:00:00"/>
    <x v="3"/>
    <x v="3"/>
    <x v="0"/>
    <s v="Corporate"/>
    <s v="Online"/>
    <x v="6"/>
    <x v="2"/>
    <n v="150000"/>
    <n v="5"/>
    <x v="4"/>
    <n v="120000"/>
    <n v="750000"/>
    <n v="600000"/>
    <n v="150000"/>
  </r>
  <r>
    <s v="ID_743"/>
    <d v="2025-04-13T00:00:00"/>
    <x v="1"/>
    <x v="0"/>
    <x v="2"/>
    <s v="Corporate"/>
    <s v="Store"/>
    <x v="0"/>
    <x v="0"/>
    <n v="85000"/>
    <n v="1"/>
    <x v="4"/>
    <n v="68000"/>
    <n v="85000"/>
    <n v="68000"/>
    <n v="17000"/>
  </r>
  <r>
    <s v="ID_1953"/>
    <d v="2025-04-21T00:00:00"/>
    <x v="1"/>
    <x v="1"/>
    <x v="3"/>
    <s v="Corporate"/>
    <s v="Store"/>
    <x v="7"/>
    <x v="2"/>
    <n v="420000"/>
    <n v="2"/>
    <x v="5"/>
    <n v="336000"/>
    <n v="840000"/>
    <n v="672000"/>
    <n v="168000"/>
  </r>
  <r>
    <s v="ID_1106"/>
    <d v="2025-01-23T00:00:00"/>
    <x v="0"/>
    <x v="1"/>
    <x v="3"/>
    <s v="Retail"/>
    <s v="Store"/>
    <x v="4"/>
    <x v="1"/>
    <n v="180000"/>
    <n v="6"/>
    <x v="5"/>
    <n v="144000"/>
    <n v="1080000"/>
    <n v="864000"/>
    <n v="216000"/>
  </r>
  <r>
    <s v="ID_258"/>
    <d v="2025-02-15T00:00:00"/>
    <x v="2"/>
    <x v="1"/>
    <x v="0"/>
    <s v="Retail"/>
    <s v="Store"/>
    <x v="9"/>
    <x v="1"/>
    <n v="220000"/>
    <n v="7"/>
    <x v="0"/>
    <n v="176000"/>
    <n v="1540000"/>
    <n v="1232000"/>
    <n v="308000"/>
  </r>
  <r>
    <s v="ID_769"/>
    <d v="2025-04-27T00:00:00"/>
    <x v="1"/>
    <x v="1"/>
    <x v="0"/>
    <s v="Retail"/>
    <s v="Online"/>
    <x v="9"/>
    <x v="1"/>
    <n v="220000"/>
    <n v="5"/>
    <x v="1"/>
    <n v="176000"/>
    <n v="1100000"/>
    <n v="880000"/>
    <n v="220000"/>
  </r>
  <r>
    <s v="ID_859"/>
    <d v="2025-03-17T00:00:00"/>
    <x v="3"/>
    <x v="3"/>
    <x v="0"/>
    <s v="Retail"/>
    <s v="Store"/>
    <x v="3"/>
    <x v="2"/>
    <n v="300000"/>
    <n v="6"/>
    <x v="2"/>
    <n v="240000"/>
    <n v="1800000"/>
    <n v="1440000"/>
    <n v="360000"/>
  </r>
  <r>
    <s v="ID_146"/>
    <d v="2025-04-24T00:00:00"/>
    <x v="1"/>
    <x v="0"/>
    <x v="2"/>
    <s v="Retail"/>
    <s v="Store"/>
    <x v="8"/>
    <x v="2"/>
    <n v="250000"/>
    <n v="4"/>
    <x v="2"/>
    <n v="200000"/>
    <n v="1000000"/>
    <n v="800000"/>
    <n v="200000"/>
  </r>
  <r>
    <s v="ID_2013"/>
    <d v="2025-04-06T00:00:00"/>
    <x v="1"/>
    <x v="3"/>
    <x v="1"/>
    <s v="Corporate"/>
    <s v="Online"/>
    <x v="5"/>
    <x v="0"/>
    <n v="320000"/>
    <n v="5"/>
    <x v="1"/>
    <n v="256000"/>
    <n v="1600000"/>
    <n v="1280000"/>
    <n v="320000"/>
  </r>
  <r>
    <s v="ID_1054"/>
    <d v="2025-03-25T00:00:00"/>
    <x v="3"/>
    <x v="3"/>
    <x v="0"/>
    <s v="Retail"/>
    <s v="Store"/>
    <x v="3"/>
    <x v="2"/>
    <n v="300000"/>
    <n v="10"/>
    <x v="5"/>
    <n v="240000"/>
    <n v="3000000"/>
    <n v="2400000"/>
    <n v="600000"/>
  </r>
  <r>
    <s v="ID_1852"/>
    <d v="2025-03-13T00:00:00"/>
    <x v="3"/>
    <x v="3"/>
    <x v="0"/>
    <s v="Retail"/>
    <s v="Store"/>
    <x v="2"/>
    <x v="1"/>
    <n v="60000"/>
    <n v="5"/>
    <x v="4"/>
    <n v="48000"/>
    <n v="300000"/>
    <n v="240000"/>
    <n v="60000"/>
  </r>
  <r>
    <s v="ID_1214"/>
    <d v="2025-04-02T00:00:00"/>
    <x v="1"/>
    <x v="3"/>
    <x v="2"/>
    <s v="Retail"/>
    <s v="Online"/>
    <x v="7"/>
    <x v="2"/>
    <n v="420000"/>
    <n v="8"/>
    <x v="3"/>
    <n v="336000"/>
    <n v="3360000"/>
    <n v="2688000"/>
    <n v="672000"/>
  </r>
  <r>
    <s v="ID_918"/>
    <d v="2025-01-23T00:00:00"/>
    <x v="0"/>
    <x v="0"/>
    <x v="3"/>
    <s v="Corporate"/>
    <s v="Online"/>
    <x v="3"/>
    <x v="2"/>
    <n v="300000"/>
    <n v="1"/>
    <x v="1"/>
    <n v="240000"/>
    <n v="300000"/>
    <n v="240000"/>
    <n v="60000"/>
  </r>
  <r>
    <s v="ID_281"/>
    <d v="2025-03-13T00:00:00"/>
    <x v="3"/>
    <x v="0"/>
    <x v="2"/>
    <s v="Corporate"/>
    <s v="Store"/>
    <x v="7"/>
    <x v="2"/>
    <n v="420000"/>
    <n v="2"/>
    <x v="4"/>
    <n v="336000"/>
    <n v="840000"/>
    <n v="672000"/>
    <n v="168000"/>
  </r>
  <r>
    <s v="ID_1935"/>
    <d v="2025-01-25T00:00:00"/>
    <x v="0"/>
    <x v="2"/>
    <x v="1"/>
    <s v="Corporate"/>
    <s v="Online"/>
    <x v="7"/>
    <x v="2"/>
    <n v="420000"/>
    <n v="7"/>
    <x v="3"/>
    <n v="336000"/>
    <n v="2940000"/>
    <n v="2352000"/>
    <n v="588000"/>
  </r>
  <r>
    <s v="ID_1403"/>
    <d v="2025-01-31T00:00:00"/>
    <x v="0"/>
    <x v="0"/>
    <x v="2"/>
    <s v="Corporate"/>
    <s v="Online"/>
    <x v="4"/>
    <x v="1"/>
    <n v="180000"/>
    <n v="8"/>
    <x v="2"/>
    <n v="144000"/>
    <n v="1440000"/>
    <n v="1152000"/>
    <n v="288000"/>
  </r>
  <r>
    <s v="ID_1720"/>
    <d v="2025-01-22T00:00:00"/>
    <x v="0"/>
    <x v="0"/>
    <x v="2"/>
    <s v="Retail"/>
    <s v="Online"/>
    <x v="2"/>
    <x v="1"/>
    <n v="60000"/>
    <n v="7"/>
    <x v="2"/>
    <n v="48000"/>
    <n v="420000"/>
    <n v="336000"/>
    <n v="84000"/>
  </r>
  <r>
    <s v="ID_316"/>
    <d v="2025-04-18T00:00:00"/>
    <x v="1"/>
    <x v="1"/>
    <x v="1"/>
    <s v="Corporate"/>
    <s v="Online"/>
    <x v="7"/>
    <x v="2"/>
    <n v="420000"/>
    <n v="7"/>
    <x v="2"/>
    <n v="336000"/>
    <n v="2940000"/>
    <n v="2352000"/>
    <n v="588000"/>
  </r>
  <r>
    <s v="ID_21"/>
    <d v="2025-02-18T00:00:00"/>
    <x v="2"/>
    <x v="1"/>
    <x v="0"/>
    <s v="Retail"/>
    <s v="Online"/>
    <x v="4"/>
    <x v="1"/>
    <n v="180000"/>
    <n v="5"/>
    <x v="5"/>
    <n v="144000"/>
    <n v="900000"/>
    <n v="720000"/>
    <n v="180000"/>
  </r>
  <r>
    <s v="ID_1814"/>
    <d v="2025-03-27T00:00:00"/>
    <x v="3"/>
    <x v="1"/>
    <x v="2"/>
    <s v="Corporate"/>
    <s v="Store"/>
    <x v="7"/>
    <x v="2"/>
    <n v="420000"/>
    <n v="9"/>
    <x v="5"/>
    <n v="336000"/>
    <n v="3780000"/>
    <n v="3024000"/>
    <n v="756000"/>
  </r>
  <r>
    <s v="ID_1028"/>
    <d v="2025-02-10T00:00:00"/>
    <x v="2"/>
    <x v="1"/>
    <x v="2"/>
    <s v="Corporate"/>
    <s v="Store"/>
    <x v="3"/>
    <x v="2"/>
    <n v="300000"/>
    <n v="7"/>
    <x v="3"/>
    <n v="240000"/>
    <n v="2100000"/>
    <n v="1680000"/>
    <n v="420000"/>
  </r>
  <r>
    <s v="ID_1294"/>
    <d v="2025-04-15T00:00:00"/>
    <x v="1"/>
    <x v="0"/>
    <x v="3"/>
    <s v="Retail"/>
    <s v="Store"/>
    <x v="6"/>
    <x v="2"/>
    <n v="150000"/>
    <n v="3"/>
    <x v="1"/>
    <n v="120000"/>
    <n v="450000"/>
    <n v="360000"/>
    <n v="90000"/>
  </r>
  <r>
    <s v="ID_241"/>
    <d v="2025-01-21T00:00:00"/>
    <x v="0"/>
    <x v="0"/>
    <x v="1"/>
    <s v="Retail"/>
    <s v="Store"/>
    <x v="3"/>
    <x v="2"/>
    <n v="300000"/>
    <n v="10"/>
    <x v="5"/>
    <n v="240000"/>
    <n v="3000000"/>
    <n v="2400000"/>
    <n v="600000"/>
  </r>
  <r>
    <s v="ID_992"/>
    <d v="2025-02-19T00:00:00"/>
    <x v="2"/>
    <x v="1"/>
    <x v="0"/>
    <s v="Retail"/>
    <s v="Online"/>
    <x v="7"/>
    <x v="2"/>
    <n v="420000"/>
    <n v="8"/>
    <x v="5"/>
    <n v="336000"/>
    <n v="3360000"/>
    <n v="2688000"/>
    <n v="672000"/>
  </r>
  <r>
    <s v="ID_917"/>
    <d v="2025-03-10T00:00:00"/>
    <x v="3"/>
    <x v="0"/>
    <x v="2"/>
    <s v="Corporate"/>
    <s v="Store"/>
    <x v="9"/>
    <x v="1"/>
    <n v="220000"/>
    <n v="2"/>
    <x v="2"/>
    <n v="176000"/>
    <n v="440000"/>
    <n v="352000"/>
    <n v="88000"/>
  </r>
  <r>
    <s v="ID_1260"/>
    <d v="2025-02-23T00:00:00"/>
    <x v="2"/>
    <x v="0"/>
    <x v="3"/>
    <s v="Retail"/>
    <s v="Online"/>
    <x v="6"/>
    <x v="2"/>
    <n v="150000"/>
    <n v="4"/>
    <x v="0"/>
    <n v="120000"/>
    <n v="600000"/>
    <n v="480000"/>
    <n v="120000"/>
  </r>
  <r>
    <s v="ID_1375"/>
    <d v="2025-01-29T00:00:00"/>
    <x v="0"/>
    <x v="0"/>
    <x v="1"/>
    <s v="Retail"/>
    <s v="Online"/>
    <x v="1"/>
    <x v="1"/>
    <n v="30000"/>
    <n v="8"/>
    <x v="3"/>
    <n v="24000"/>
    <n v="240000"/>
    <n v="192000"/>
    <n v="48000"/>
  </r>
  <r>
    <s v="ID_837"/>
    <d v="2025-02-08T00:00:00"/>
    <x v="2"/>
    <x v="0"/>
    <x v="2"/>
    <s v="Corporate"/>
    <s v="Store"/>
    <x v="7"/>
    <x v="2"/>
    <n v="420000"/>
    <n v="3"/>
    <x v="4"/>
    <n v="336000"/>
    <n v="1260000"/>
    <n v="1008000"/>
    <n v="252000"/>
  </r>
  <r>
    <s v="ID_512"/>
    <d v="2025-01-21T00:00:00"/>
    <x v="0"/>
    <x v="0"/>
    <x v="0"/>
    <s v="Corporate"/>
    <s v="Store"/>
    <x v="3"/>
    <x v="2"/>
    <n v="300000"/>
    <n v="4"/>
    <x v="5"/>
    <n v="240000"/>
    <n v="1200000"/>
    <n v="960000"/>
    <n v="240000"/>
  </r>
  <r>
    <s v="ID_1701"/>
    <d v="2025-03-20T00:00:00"/>
    <x v="3"/>
    <x v="0"/>
    <x v="1"/>
    <s v="Retail"/>
    <s v="Online"/>
    <x v="8"/>
    <x v="2"/>
    <n v="250000"/>
    <n v="6"/>
    <x v="1"/>
    <n v="200000"/>
    <n v="1500000"/>
    <n v="1200000"/>
    <n v="300000"/>
  </r>
  <r>
    <s v="ID_1818"/>
    <d v="2025-04-24T00:00:00"/>
    <x v="1"/>
    <x v="0"/>
    <x v="2"/>
    <s v="Corporate"/>
    <s v="Store"/>
    <x v="5"/>
    <x v="0"/>
    <n v="320000"/>
    <n v="6"/>
    <x v="3"/>
    <n v="256000"/>
    <n v="1920000"/>
    <n v="1536000"/>
    <n v="384000"/>
  </r>
  <r>
    <s v="ID_106"/>
    <d v="2025-01-11T00:00:00"/>
    <x v="0"/>
    <x v="0"/>
    <x v="2"/>
    <s v="Retail"/>
    <s v="Online"/>
    <x v="4"/>
    <x v="1"/>
    <n v="180000"/>
    <n v="5"/>
    <x v="3"/>
    <n v="144000"/>
    <n v="900000"/>
    <n v="720000"/>
    <n v="180000"/>
  </r>
  <r>
    <s v="ID_707"/>
    <d v="2025-02-28T00:00:00"/>
    <x v="2"/>
    <x v="0"/>
    <x v="0"/>
    <s v="Retail"/>
    <s v="Online"/>
    <x v="6"/>
    <x v="2"/>
    <n v="150000"/>
    <n v="1"/>
    <x v="2"/>
    <n v="120000"/>
    <n v="150000"/>
    <n v="120000"/>
    <n v="30000"/>
  </r>
  <r>
    <s v="ID_1906"/>
    <d v="2025-01-02T00:00:00"/>
    <x v="0"/>
    <x v="0"/>
    <x v="0"/>
    <s v="Retail"/>
    <s v="Store"/>
    <x v="2"/>
    <x v="1"/>
    <n v="60000"/>
    <n v="3"/>
    <x v="5"/>
    <n v="48000"/>
    <n v="180000"/>
    <n v="144000"/>
    <n v="36000"/>
  </r>
  <r>
    <s v="ID_1166"/>
    <d v="2025-03-05T00:00:00"/>
    <x v="3"/>
    <x v="1"/>
    <x v="3"/>
    <s v="Corporate"/>
    <s v="Online"/>
    <x v="0"/>
    <x v="0"/>
    <n v="85000"/>
    <n v="10"/>
    <x v="1"/>
    <n v="68000"/>
    <n v="850000"/>
    <n v="680000"/>
    <n v="170000"/>
  </r>
  <r>
    <s v="ID_1356"/>
    <d v="2025-04-02T00:00:00"/>
    <x v="1"/>
    <x v="0"/>
    <x v="3"/>
    <s v="Corporate"/>
    <s v="Store"/>
    <x v="6"/>
    <x v="2"/>
    <n v="150000"/>
    <n v="3"/>
    <x v="4"/>
    <n v="120000"/>
    <n v="450000"/>
    <n v="360000"/>
    <n v="90000"/>
  </r>
  <r>
    <s v="ID_1003"/>
    <d v="2025-02-06T00:00:00"/>
    <x v="2"/>
    <x v="2"/>
    <x v="0"/>
    <s v="Corporate"/>
    <s v="Store"/>
    <x v="7"/>
    <x v="2"/>
    <n v="420000"/>
    <n v="9"/>
    <x v="4"/>
    <n v="336000"/>
    <n v="3780000"/>
    <n v="3024000"/>
    <n v="756000"/>
  </r>
  <r>
    <s v="ID_901"/>
    <d v="2025-04-11T00:00:00"/>
    <x v="1"/>
    <x v="2"/>
    <x v="3"/>
    <s v="Retail"/>
    <s v="Store"/>
    <x v="9"/>
    <x v="1"/>
    <n v="220000"/>
    <n v="1"/>
    <x v="3"/>
    <n v="176000"/>
    <n v="220000"/>
    <n v="176000"/>
    <n v="44000"/>
  </r>
  <r>
    <s v="ID_982"/>
    <d v="2025-02-07T00:00:00"/>
    <x v="2"/>
    <x v="1"/>
    <x v="3"/>
    <s v="Corporate"/>
    <s v="Online"/>
    <x v="0"/>
    <x v="0"/>
    <n v="85000"/>
    <n v="4"/>
    <x v="1"/>
    <n v="68000"/>
    <n v="340000"/>
    <n v="272000"/>
    <n v="68000"/>
  </r>
  <r>
    <s v="ID_670"/>
    <d v="2025-04-03T00:00:00"/>
    <x v="1"/>
    <x v="0"/>
    <x v="0"/>
    <s v="Retail"/>
    <s v="Online"/>
    <x v="7"/>
    <x v="2"/>
    <n v="420000"/>
    <n v="6"/>
    <x v="4"/>
    <n v="336000"/>
    <n v="2520000"/>
    <n v="2016000"/>
    <n v="504000"/>
  </r>
  <r>
    <s v="ID_1613"/>
    <d v="2025-04-05T00:00:00"/>
    <x v="1"/>
    <x v="3"/>
    <x v="3"/>
    <s v="Corporate"/>
    <s v="Online"/>
    <x v="7"/>
    <x v="2"/>
    <n v="420000"/>
    <n v="6"/>
    <x v="2"/>
    <n v="336000"/>
    <n v="2520000"/>
    <n v="2016000"/>
    <n v="504000"/>
  </r>
  <r>
    <s v="ID_398"/>
    <d v="2025-01-02T00:00:00"/>
    <x v="0"/>
    <x v="1"/>
    <x v="0"/>
    <s v="Retail"/>
    <s v="Online"/>
    <x v="3"/>
    <x v="2"/>
    <n v="300000"/>
    <n v="10"/>
    <x v="3"/>
    <n v="240000"/>
    <n v="3000000"/>
    <n v="2400000"/>
    <n v="600000"/>
  </r>
  <r>
    <s v="ID_426"/>
    <d v="2025-01-07T00:00:00"/>
    <x v="0"/>
    <x v="2"/>
    <x v="1"/>
    <s v="Retail"/>
    <s v="Store"/>
    <x v="9"/>
    <x v="1"/>
    <n v="220000"/>
    <n v="4"/>
    <x v="2"/>
    <n v="176000"/>
    <n v="880000"/>
    <n v="704000"/>
    <n v="176000"/>
  </r>
  <r>
    <s v="ID_1736"/>
    <d v="2025-03-19T00:00:00"/>
    <x v="3"/>
    <x v="0"/>
    <x v="3"/>
    <s v="Retail"/>
    <s v="Store"/>
    <x v="4"/>
    <x v="1"/>
    <n v="180000"/>
    <n v="8"/>
    <x v="4"/>
    <n v="144000"/>
    <n v="1440000"/>
    <n v="1152000"/>
    <n v="288000"/>
  </r>
  <r>
    <s v="ID_396"/>
    <d v="2025-04-10T00:00:00"/>
    <x v="1"/>
    <x v="0"/>
    <x v="3"/>
    <s v="Retail"/>
    <s v="Online"/>
    <x v="8"/>
    <x v="2"/>
    <n v="250000"/>
    <n v="3"/>
    <x v="0"/>
    <n v="200000"/>
    <n v="750000"/>
    <n v="600000"/>
    <n v="150000"/>
  </r>
  <r>
    <s v="ID_462"/>
    <d v="2025-01-05T00:00:00"/>
    <x v="0"/>
    <x v="3"/>
    <x v="2"/>
    <s v="Corporate"/>
    <s v="Online"/>
    <x v="3"/>
    <x v="2"/>
    <n v="300000"/>
    <n v="7"/>
    <x v="0"/>
    <n v="240000"/>
    <n v="2100000"/>
    <n v="1680000"/>
    <n v="420000"/>
  </r>
  <r>
    <s v="ID_1095"/>
    <d v="2025-01-05T00:00:00"/>
    <x v="0"/>
    <x v="3"/>
    <x v="3"/>
    <s v="Retail"/>
    <s v="Store"/>
    <x v="3"/>
    <x v="2"/>
    <n v="300000"/>
    <n v="7"/>
    <x v="5"/>
    <n v="240000"/>
    <n v="2100000"/>
    <n v="1680000"/>
    <n v="420000"/>
  </r>
  <r>
    <s v="ID_356"/>
    <d v="2025-04-12T00:00:00"/>
    <x v="1"/>
    <x v="3"/>
    <x v="3"/>
    <s v="Corporate"/>
    <s v="Store"/>
    <x v="8"/>
    <x v="2"/>
    <n v="250000"/>
    <n v="1"/>
    <x v="4"/>
    <n v="200000"/>
    <n v="250000"/>
    <n v="200000"/>
    <n v="50000"/>
  </r>
  <r>
    <s v="ID_1929"/>
    <d v="2025-02-23T00:00:00"/>
    <x v="2"/>
    <x v="0"/>
    <x v="1"/>
    <s v="Corporate"/>
    <s v="Online"/>
    <x v="3"/>
    <x v="2"/>
    <n v="300000"/>
    <n v="3"/>
    <x v="3"/>
    <n v="240000"/>
    <n v="900000"/>
    <n v="720000"/>
    <n v="180000"/>
  </r>
  <r>
    <s v="ID_1743"/>
    <d v="2025-04-01T00:00:00"/>
    <x v="1"/>
    <x v="2"/>
    <x v="0"/>
    <s v="Retail"/>
    <s v="Online"/>
    <x v="7"/>
    <x v="2"/>
    <n v="420000"/>
    <n v="10"/>
    <x v="2"/>
    <n v="336000"/>
    <n v="4200000"/>
    <n v="3360000"/>
    <n v="840000"/>
  </r>
  <r>
    <s v="ID_1704"/>
    <d v="2025-04-21T00:00:00"/>
    <x v="1"/>
    <x v="3"/>
    <x v="2"/>
    <s v="Corporate"/>
    <s v="Online"/>
    <x v="2"/>
    <x v="1"/>
    <n v="60000"/>
    <n v="9"/>
    <x v="3"/>
    <n v="48000"/>
    <n v="540000"/>
    <n v="432000"/>
    <n v="108000"/>
  </r>
  <r>
    <s v="ID_1414"/>
    <d v="2025-04-30T00:00:00"/>
    <x v="1"/>
    <x v="0"/>
    <x v="0"/>
    <s v="Retail"/>
    <s v="Online"/>
    <x v="8"/>
    <x v="2"/>
    <n v="250000"/>
    <n v="4"/>
    <x v="2"/>
    <n v="200000"/>
    <n v="1000000"/>
    <n v="800000"/>
    <n v="200000"/>
  </r>
  <r>
    <s v="ID_1649"/>
    <d v="2025-04-29T00:00:00"/>
    <x v="1"/>
    <x v="1"/>
    <x v="2"/>
    <s v="Retail"/>
    <s v="Online"/>
    <x v="8"/>
    <x v="2"/>
    <n v="250000"/>
    <n v="3"/>
    <x v="4"/>
    <n v="200000"/>
    <n v="750000"/>
    <n v="600000"/>
    <n v="150000"/>
  </r>
  <r>
    <s v="ID_1793"/>
    <d v="2025-02-16T00:00:00"/>
    <x v="2"/>
    <x v="0"/>
    <x v="3"/>
    <s v="Retail"/>
    <s v="Store"/>
    <x v="2"/>
    <x v="1"/>
    <n v="60000"/>
    <n v="3"/>
    <x v="0"/>
    <n v="48000"/>
    <n v="180000"/>
    <n v="144000"/>
    <n v="36000"/>
  </r>
  <r>
    <s v="ID_1413"/>
    <d v="2025-02-03T00:00:00"/>
    <x v="2"/>
    <x v="0"/>
    <x v="1"/>
    <s v="Corporate"/>
    <s v="Online"/>
    <x v="5"/>
    <x v="0"/>
    <n v="320000"/>
    <n v="1"/>
    <x v="1"/>
    <n v="256000"/>
    <n v="320000"/>
    <n v="256000"/>
    <n v="64000"/>
  </r>
  <r>
    <s v="ID_1846"/>
    <d v="2025-02-01T00:00:00"/>
    <x v="2"/>
    <x v="3"/>
    <x v="3"/>
    <s v="Corporate"/>
    <s v="Store"/>
    <x v="2"/>
    <x v="1"/>
    <n v="60000"/>
    <n v="8"/>
    <x v="1"/>
    <n v="48000"/>
    <n v="480000"/>
    <n v="384000"/>
    <n v="96000"/>
  </r>
  <r>
    <s v="ID_891"/>
    <d v="2025-02-14T00:00:00"/>
    <x v="2"/>
    <x v="1"/>
    <x v="2"/>
    <s v="Corporate"/>
    <s v="Store"/>
    <x v="8"/>
    <x v="2"/>
    <n v="250000"/>
    <n v="5"/>
    <x v="3"/>
    <n v="200000"/>
    <n v="1250000"/>
    <n v="1000000"/>
    <n v="250000"/>
  </r>
  <r>
    <s v="ID_1867"/>
    <d v="2025-03-04T00:00:00"/>
    <x v="3"/>
    <x v="0"/>
    <x v="0"/>
    <s v="Corporate"/>
    <s v="Store"/>
    <x v="5"/>
    <x v="0"/>
    <n v="320000"/>
    <n v="2"/>
    <x v="5"/>
    <n v="256000"/>
    <n v="640000"/>
    <n v="512000"/>
    <n v="128000"/>
  </r>
  <r>
    <s v="ID_1713"/>
    <d v="2025-02-24T00:00:00"/>
    <x v="2"/>
    <x v="2"/>
    <x v="2"/>
    <s v="Corporate"/>
    <s v="Online"/>
    <x v="9"/>
    <x v="1"/>
    <n v="220000"/>
    <n v="5"/>
    <x v="1"/>
    <n v="176000"/>
    <n v="1100000"/>
    <n v="880000"/>
    <n v="220000"/>
  </r>
  <r>
    <s v="ID_1442"/>
    <d v="2025-03-16T00:00:00"/>
    <x v="3"/>
    <x v="0"/>
    <x v="1"/>
    <s v="Corporate"/>
    <s v="Store"/>
    <x v="8"/>
    <x v="2"/>
    <n v="250000"/>
    <n v="3"/>
    <x v="0"/>
    <n v="200000"/>
    <n v="750000"/>
    <n v="600000"/>
    <n v="150000"/>
  </r>
  <r>
    <s v="ID_1254"/>
    <d v="2025-03-23T00:00:00"/>
    <x v="3"/>
    <x v="0"/>
    <x v="2"/>
    <s v="Retail"/>
    <s v="Store"/>
    <x v="0"/>
    <x v="0"/>
    <n v="85000"/>
    <n v="10"/>
    <x v="2"/>
    <n v="68000"/>
    <n v="850000"/>
    <n v="680000"/>
    <n v="170000"/>
  </r>
  <r>
    <s v="ID_93"/>
    <d v="2025-02-07T00:00:00"/>
    <x v="2"/>
    <x v="2"/>
    <x v="0"/>
    <s v="Retail"/>
    <s v="Store"/>
    <x v="7"/>
    <x v="2"/>
    <n v="420000"/>
    <n v="6"/>
    <x v="3"/>
    <n v="336000"/>
    <n v="2520000"/>
    <n v="2016000"/>
    <n v="504000"/>
  </r>
  <r>
    <s v="ID_649"/>
    <d v="2025-04-10T00:00:00"/>
    <x v="1"/>
    <x v="3"/>
    <x v="1"/>
    <s v="Retail"/>
    <s v="Store"/>
    <x v="6"/>
    <x v="2"/>
    <n v="150000"/>
    <n v="5"/>
    <x v="1"/>
    <n v="120000"/>
    <n v="750000"/>
    <n v="600000"/>
    <n v="150000"/>
  </r>
  <r>
    <s v="ID_667"/>
    <d v="2025-04-12T00:00:00"/>
    <x v="1"/>
    <x v="3"/>
    <x v="0"/>
    <s v="Retail"/>
    <s v="Store"/>
    <x v="5"/>
    <x v="0"/>
    <n v="320000"/>
    <n v="3"/>
    <x v="4"/>
    <n v="256000"/>
    <n v="960000"/>
    <n v="768000"/>
    <n v="192000"/>
  </r>
  <r>
    <s v="ID_385"/>
    <d v="2025-04-12T00:00:00"/>
    <x v="1"/>
    <x v="3"/>
    <x v="3"/>
    <s v="Corporate"/>
    <s v="Online"/>
    <x v="1"/>
    <x v="1"/>
    <n v="30000"/>
    <n v="1"/>
    <x v="3"/>
    <n v="24000"/>
    <n v="30000"/>
    <n v="24000"/>
    <n v="6000"/>
  </r>
  <r>
    <s v="ID_1736"/>
    <d v="2025-02-03T00:00:00"/>
    <x v="2"/>
    <x v="0"/>
    <x v="2"/>
    <s v="Retail"/>
    <s v="Online"/>
    <x v="4"/>
    <x v="1"/>
    <n v="180000"/>
    <n v="10"/>
    <x v="3"/>
    <n v="144000"/>
    <n v="1800000"/>
    <n v="1440000"/>
    <n v="360000"/>
  </r>
  <r>
    <s v="ID_381"/>
    <d v="2025-01-11T00:00:00"/>
    <x v="0"/>
    <x v="2"/>
    <x v="0"/>
    <s v="Corporate"/>
    <s v="Store"/>
    <x v="4"/>
    <x v="1"/>
    <n v="180000"/>
    <n v="3"/>
    <x v="0"/>
    <n v="144000"/>
    <n v="540000"/>
    <n v="432000"/>
    <n v="108000"/>
  </r>
  <r>
    <s v="ID_1267"/>
    <d v="2025-02-23T00:00:00"/>
    <x v="2"/>
    <x v="1"/>
    <x v="0"/>
    <s v="Corporate"/>
    <s v="Online"/>
    <x v="7"/>
    <x v="2"/>
    <n v="420000"/>
    <n v="3"/>
    <x v="1"/>
    <n v="336000"/>
    <n v="1260000"/>
    <n v="1008000"/>
    <n v="252000"/>
  </r>
  <r>
    <s v="ID_957"/>
    <d v="2025-04-09T00:00:00"/>
    <x v="1"/>
    <x v="1"/>
    <x v="1"/>
    <s v="Retail"/>
    <s v="Online"/>
    <x v="9"/>
    <x v="1"/>
    <n v="220000"/>
    <n v="6"/>
    <x v="4"/>
    <n v="176000"/>
    <n v="1320000"/>
    <n v="1056000"/>
    <n v="264000"/>
  </r>
  <r>
    <s v="ID_82"/>
    <d v="2025-01-26T00:00:00"/>
    <x v="0"/>
    <x v="2"/>
    <x v="2"/>
    <s v="Retail"/>
    <s v="Online"/>
    <x v="2"/>
    <x v="1"/>
    <n v="60000"/>
    <n v="10"/>
    <x v="3"/>
    <n v="48000"/>
    <n v="600000"/>
    <n v="480000"/>
    <n v="120000"/>
  </r>
  <r>
    <s v="ID_1218"/>
    <d v="2025-03-01T00:00:00"/>
    <x v="3"/>
    <x v="2"/>
    <x v="1"/>
    <s v="Retail"/>
    <s v="Store"/>
    <x v="4"/>
    <x v="1"/>
    <n v="180000"/>
    <n v="10"/>
    <x v="2"/>
    <n v="144000"/>
    <n v="1800000"/>
    <n v="1440000"/>
    <n v="360000"/>
  </r>
  <r>
    <s v="ID_1573"/>
    <d v="2025-04-30T00:00:00"/>
    <x v="1"/>
    <x v="1"/>
    <x v="0"/>
    <s v="Corporate"/>
    <s v="Store"/>
    <x v="9"/>
    <x v="1"/>
    <n v="220000"/>
    <n v="4"/>
    <x v="1"/>
    <n v="176000"/>
    <n v="880000"/>
    <n v="704000"/>
    <n v="176000"/>
  </r>
  <r>
    <s v="ID_2064"/>
    <d v="2025-03-13T00:00:00"/>
    <x v="3"/>
    <x v="2"/>
    <x v="3"/>
    <s v="Corporate"/>
    <s v="Store"/>
    <x v="8"/>
    <x v="2"/>
    <n v="250000"/>
    <n v="4"/>
    <x v="3"/>
    <n v="200000"/>
    <n v="1000000"/>
    <n v="800000"/>
    <n v="200000"/>
  </r>
  <r>
    <s v="ID_654"/>
    <d v="2025-03-28T00:00:00"/>
    <x v="3"/>
    <x v="2"/>
    <x v="1"/>
    <s v="Corporate"/>
    <s v="Store"/>
    <x v="1"/>
    <x v="1"/>
    <n v="30000"/>
    <n v="2"/>
    <x v="5"/>
    <n v="24000"/>
    <n v="60000"/>
    <n v="48000"/>
    <n v="12000"/>
  </r>
  <r>
    <s v="ID_1948"/>
    <d v="2025-04-27T00:00:00"/>
    <x v="1"/>
    <x v="0"/>
    <x v="2"/>
    <s v="Retail"/>
    <s v="Store"/>
    <x v="4"/>
    <x v="1"/>
    <n v="180000"/>
    <n v="6"/>
    <x v="2"/>
    <n v="144000"/>
    <n v="1080000"/>
    <n v="864000"/>
    <n v="216000"/>
  </r>
  <r>
    <s v="ID_386"/>
    <d v="2025-01-07T00:00:00"/>
    <x v="0"/>
    <x v="2"/>
    <x v="3"/>
    <s v="Corporate"/>
    <s v="Store"/>
    <x v="4"/>
    <x v="1"/>
    <n v="180000"/>
    <n v="8"/>
    <x v="5"/>
    <n v="144000"/>
    <n v="1440000"/>
    <n v="1152000"/>
    <n v="288000"/>
  </r>
  <r>
    <s v="ID_1880"/>
    <d v="2025-03-01T00:00:00"/>
    <x v="3"/>
    <x v="0"/>
    <x v="1"/>
    <s v="Corporate"/>
    <s v="Store"/>
    <x v="7"/>
    <x v="2"/>
    <n v="420000"/>
    <n v="3"/>
    <x v="0"/>
    <n v="336000"/>
    <n v="1260000"/>
    <n v="1008000"/>
    <n v="252000"/>
  </r>
  <r>
    <s v="ID_1878"/>
    <d v="2025-04-10T00:00:00"/>
    <x v="1"/>
    <x v="3"/>
    <x v="2"/>
    <s v="Corporate"/>
    <s v="Online"/>
    <x v="1"/>
    <x v="1"/>
    <n v="30000"/>
    <n v="10"/>
    <x v="2"/>
    <n v="24000"/>
    <n v="300000"/>
    <n v="240000"/>
    <n v="60000"/>
  </r>
  <r>
    <s v="ID_1417"/>
    <d v="2025-02-02T00:00:00"/>
    <x v="2"/>
    <x v="1"/>
    <x v="2"/>
    <s v="Corporate"/>
    <s v="Online"/>
    <x v="0"/>
    <x v="0"/>
    <n v="85000"/>
    <n v="7"/>
    <x v="5"/>
    <n v="68000"/>
    <n v="595000"/>
    <n v="476000"/>
    <n v="119000"/>
  </r>
  <r>
    <s v="ID_307"/>
    <d v="2025-04-17T00:00:00"/>
    <x v="1"/>
    <x v="0"/>
    <x v="0"/>
    <s v="Retail"/>
    <s v="Store"/>
    <x v="1"/>
    <x v="1"/>
    <n v="30000"/>
    <n v="5"/>
    <x v="0"/>
    <n v="24000"/>
    <n v="150000"/>
    <n v="120000"/>
    <n v="30000"/>
  </r>
  <r>
    <s v="ID_570"/>
    <d v="2025-03-01T00:00:00"/>
    <x v="3"/>
    <x v="3"/>
    <x v="0"/>
    <s v="Retail"/>
    <s v="Store"/>
    <x v="3"/>
    <x v="2"/>
    <n v="300000"/>
    <n v="5"/>
    <x v="5"/>
    <n v="240000"/>
    <n v="1500000"/>
    <n v="1200000"/>
    <n v="300000"/>
  </r>
  <r>
    <s v="ID_138"/>
    <d v="2025-01-27T00:00:00"/>
    <x v="0"/>
    <x v="0"/>
    <x v="2"/>
    <s v="Corporate"/>
    <s v="Store"/>
    <x v="0"/>
    <x v="0"/>
    <n v="85000"/>
    <n v="8"/>
    <x v="2"/>
    <n v="68000"/>
    <n v="680000"/>
    <n v="544000"/>
    <n v="136000"/>
  </r>
  <r>
    <s v="ID_482"/>
    <d v="2025-04-11T00:00:00"/>
    <x v="1"/>
    <x v="2"/>
    <x v="3"/>
    <s v="Corporate"/>
    <s v="Store"/>
    <x v="9"/>
    <x v="1"/>
    <n v="220000"/>
    <n v="7"/>
    <x v="1"/>
    <n v="176000"/>
    <n v="1540000"/>
    <n v="1232000"/>
    <n v="308000"/>
  </r>
  <r>
    <s v="ID_1794"/>
    <d v="2025-02-08T00:00:00"/>
    <x v="2"/>
    <x v="3"/>
    <x v="1"/>
    <s v="Retail"/>
    <s v="Online"/>
    <x v="0"/>
    <x v="0"/>
    <n v="85000"/>
    <n v="8"/>
    <x v="1"/>
    <n v="68000"/>
    <n v="680000"/>
    <n v="544000"/>
    <n v="136000"/>
  </r>
  <r>
    <s v="ID_2066"/>
    <d v="2025-02-22T00:00:00"/>
    <x v="2"/>
    <x v="1"/>
    <x v="3"/>
    <s v="Corporate"/>
    <s v="Online"/>
    <x v="6"/>
    <x v="2"/>
    <n v="150000"/>
    <n v="5"/>
    <x v="3"/>
    <n v="120000"/>
    <n v="750000"/>
    <n v="600000"/>
    <n v="150000"/>
  </r>
  <r>
    <s v="ID_261"/>
    <d v="2025-04-16T00:00:00"/>
    <x v="1"/>
    <x v="1"/>
    <x v="0"/>
    <s v="Retail"/>
    <s v="Store"/>
    <x v="2"/>
    <x v="1"/>
    <n v="60000"/>
    <n v="10"/>
    <x v="1"/>
    <n v="48000"/>
    <n v="600000"/>
    <n v="480000"/>
    <n v="120000"/>
  </r>
  <r>
    <s v="ID_478"/>
    <d v="2025-04-23T00:00:00"/>
    <x v="1"/>
    <x v="0"/>
    <x v="2"/>
    <s v="Corporate"/>
    <s v="Online"/>
    <x v="9"/>
    <x v="1"/>
    <n v="220000"/>
    <n v="1"/>
    <x v="0"/>
    <n v="176000"/>
    <n v="220000"/>
    <n v="176000"/>
    <n v="44000"/>
  </r>
  <r>
    <s v="ID_1946"/>
    <d v="2025-02-08T00:00:00"/>
    <x v="2"/>
    <x v="3"/>
    <x v="1"/>
    <s v="Corporate"/>
    <s v="Online"/>
    <x v="1"/>
    <x v="1"/>
    <n v="30000"/>
    <n v="3"/>
    <x v="2"/>
    <n v="24000"/>
    <n v="90000"/>
    <n v="72000"/>
    <n v="18000"/>
  </r>
  <r>
    <s v="ID_279"/>
    <d v="2025-03-17T00:00:00"/>
    <x v="3"/>
    <x v="2"/>
    <x v="1"/>
    <s v="Corporate"/>
    <s v="Online"/>
    <x v="7"/>
    <x v="2"/>
    <n v="420000"/>
    <n v="1"/>
    <x v="3"/>
    <n v="336000"/>
    <n v="420000"/>
    <n v="336000"/>
    <n v="84000"/>
  </r>
  <r>
    <s v="ID_1153"/>
    <d v="2025-03-28T00:00:00"/>
    <x v="3"/>
    <x v="1"/>
    <x v="0"/>
    <s v="Retail"/>
    <s v="Store"/>
    <x v="1"/>
    <x v="1"/>
    <n v="30000"/>
    <n v="5"/>
    <x v="5"/>
    <n v="24000"/>
    <n v="150000"/>
    <n v="120000"/>
    <n v="30000"/>
  </r>
  <r>
    <s v="ID_104"/>
    <d v="2025-03-07T00:00:00"/>
    <x v="3"/>
    <x v="1"/>
    <x v="3"/>
    <s v="Corporate"/>
    <s v="Online"/>
    <x v="7"/>
    <x v="2"/>
    <n v="420000"/>
    <n v="7"/>
    <x v="0"/>
    <n v="336000"/>
    <n v="2940000"/>
    <n v="2352000"/>
    <n v="588000"/>
  </r>
  <r>
    <s v="ID_961"/>
    <d v="2025-03-19T00:00:00"/>
    <x v="3"/>
    <x v="2"/>
    <x v="1"/>
    <s v="Retail"/>
    <s v="Store"/>
    <x v="4"/>
    <x v="1"/>
    <n v="180000"/>
    <n v="8"/>
    <x v="4"/>
    <n v="144000"/>
    <n v="1440000"/>
    <n v="1152000"/>
    <n v="288000"/>
  </r>
  <r>
    <s v="ID_1249"/>
    <d v="2025-04-14T00:00:00"/>
    <x v="1"/>
    <x v="0"/>
    <x v="3"/>
    <s v="Corporate"/>
    <s v="Store"/>
    <x v="9"/>
    <x v="1"/>
    <n v="220000"/>
    <n v="3"/>
    <x v="2"/>
    <n v="176000"/>
    <n v="660000"/>
    <n v="528000"/>
    <n v="132000"/>
  </r>
  <r>
    <s v="ID_1346"/>
    <d v="2025-01-01T00:00:00"/>
    <x v="0"/>
    <x v="1"/>
    <x v="3"/>
    <s v="Retail"/>
    <s v="Online"/>
    <x v="7"/>
    <x v="2"/>
    <n v="420000"/>
    <n v="3"/>
    <x v="0"/>
    <n v="336000"/>
    <n v="1260000"/>
    <n v="1008000"/>
    <n v="252000"/>
  </r>
  <r>
    <s v="ID_1293"/>
    <d v="2025-01-10T00:00:00"/>
    <x v="0"/>
    <x v="1"/>
    <x v="2"/>
    <s v="Retail"/>
    <s v="Online"/>
    <x v="4"/>
    <x v="1"/>
    <n v="180000"/>
    <n v="5"/>
    <x v="5"/>
    <n v="144000"/>
    <n v="900000"/>
    <n v="720000"/>
    <n v="180000"/>
  </r>
  <r>
    <s v="ID_371"/>
    <d v="2025-01-31T00:00:00"/>
    <x v="0"/>
    <x v="0"/>
    <x v="2"/>
    <s v="Corporate"/>
    <s v="Online"/>
    <x v="9"/>
    <x v="1"/>
    <n v="220000"/>
    <n v="5"/>
    <x v="2"/>
    <n v="176000"/>
    <n v="1100000"/>
    <n v="880000"/>
    <n v="220000"/>
  </r>
  <r>
    <s v="ID_1891"/>
    <d v="2025-02-03T00:00:00"/>
    <x v="2"/>
    <x v="3"/>
    <x v="3"/>
    <s v="Corporate"/>
    <s v="Online"/>
    <x v="8"/>
    <x v="2"/>
    <n v="250000"/>
    <n v="2"/>
    <x v="3"/>
    <n v="200000"/>
    <n v="500000"/>
    <n v="400000"/>
    <n v="100000"/>
  </r>
  <r>
    <s v="ID_434"/>
    <d v="2025-04-03T00:00:00"/>
    <x v="1"/>
    <x v="1"/>
    <x v="2"/>
    <s v="Corporate"/>
    <s v="Online"/>
    <x v="7"/>
    <x v="2"/>
    <n v="420000"/>
    <n v="3"/>
    <x v="3"/>
    <n v="336000"/>
    <n v="1260000"/>
    <n v="1008000"/>
    <n v="252000"/>
  </r>
  <r>
    <s v="ID_1545"/>
    <d v="2025-01-07T00:00:00"/>
    <x v="0"/>
    <x v="1"/>
    <x v="1"/>
    <s v="Corporate"/>
    <s v="Online"/>
    <x v="7"/>
    <x v="2"/>
    <n v="420000"/>
    <n v="8"/>
    <x v="2"/>
    <n v="336000"/>
    <n v="3360000"/>
    <n v="2688000"/>
    <n v="672000"/>
  </r>
  <r>
    <s v="ID_168"/>
    <d v="2025-04-16T00:00:00"/>
    <x v="1"/>
    <x v="1"/>
    <x v="0"/>
    <s v="Corporate"/>
    <s v="Online"/>
    <x v="7"/>
    <x v="2"/>
    <n v="420000"/>
    <n v="7"/>
    <x v="0"/>
    <n v="336000"/>
    <n v="2940000"/>
    <n v="2352000"/>
    <n v="588000"/>
  </r>
  <r>
    <s v="ID_769"/>
    <d v="2025-04-25T00:00:00"/>
    <x v="1"/>
    <x v="0"/>
    <x v="2"/>
    <s v="Corporate"/>
    <s v="Online"/>
    <x v="5"/>
    <x v="0"/>
    <n v="320000"/>
    <n v="6"/>
    <x v="2"/>
    <n v="256000"/>
    <n v="1920000"/>
    <n v="1536000"/>
    <n v="384000"/>
  </r>
  <r>
    <s v="ID_798"/>
    <d v="2025-02-26T00:00:00"/>
    <x v="2"/>
    <x v="3"/>
    <x v="2"/>
    <s v="Corporate"/>
    <s v="Online"/>
    <x v="2"/>
    <x v="1"/>
    <n v="60000"/>
    <n v="3"/>
    <x v="2"/>
    <n v="48000"/>
    <n v="180000"/>
    <n v="144000"/>
    <n v="36000"/>
  </r>
  <r>
    <s v="ID_105"/>
    <d v="2025-02-01T00:00:00"/>
    <x v="2"/>
    <x v="0"/>
    <x v="0"/>
    <s v="Corporate"/>
    <s v="Store"/>
    <x v="0"/>
    <x v="0"/>
    <n v="85000"/>
    <n v="8"/>
    <x v="0"/>
    <n v="68000"/>
    <n v="680000"/>
    <n v="544000"/>
    <n v="136000"/>
  </r>
  <r>
    <s v="ID_1103"/>
    <d v="2025-01-20T00:00:00"/>
    <x v="0"/>
    <x v="0"/>
    <x v="0"/>
    <s v="Corporate"/>
    <s v="Store"/>
    <x v="4"/>
    <x v="1"/>
    <n v="180000"/>
    <n v="9"/>
    <x v="3"/>
    <n v="144000"/>
    <n v="1620000"/>
    <n v="1296000"/>
    <n v="324000"/>
  </r>
  <r>
    <s v="ID_1773"/>
    <d v="2025-02-24T00:00:00"/>
    <x v="2"/>
    <x v="0"/>
    <x v="2"/>
    <s v="Corporate"/>
    <s v="Store"/>
    <x v="9"/>
    <x v="1"/>
    <n v="220000"/>
    <n v="5"/>
    <x v="3"/>
    <n v="176000"/>
    <n v="1100000"/>
    <n v="880000"/>
    <n v="220000"/>
  </r>
  <r>
    <s v="ID_595"/>
    <d v="2025-01-10T00:00:00"/>
    <x v="0"/>
    <x v="2"/>
    <x v="2"/>
    <s v="Corporate"/>
    <s v="Store"/>
    <x v="4"/>
    <x v="1"/>
    <n v="180000"/>
    <n v="5"/>
    <x v="3"/>
    <n v="144000"/>
    <n v="900000"/>
    <n v="720000"/>
    <n v="180000"/>
  </r>
  <r>
    <s v="ID_1921"/>
    <d v="2025-03-04T00:00:00"/>
    <x v="3"/>
    <x v="0"/>
    <x v="1"/>
    <s v="Corporate"/>
    <s v="Online"/>
    <x v="2"/>
    <x v="1"/>
    <n v="60000"/>
    <n v="7"/>
    <x v="0"/>
    <n v="48000"/>
    <n v="420000"/>
    <n v="336000"/>
    <n v="84000"/>
  </r>
  <r>
    <s v="ID_1759"/>
    <d v="2025-04-16T00:00:00"/>
    <x v="1"/>
    <x v="2"/>
    <x v="2"/>
    <s v="Corporate"/>
    <s v="Store"/>
    <x v="6"/>
    <x v="2"/>
    <n v="150000"/>
    <n v="7"/>
    <x v="3"/>
    <n v="120000"/>
    <n v="1050000"/>
    <n v="840000"/>
    <n v="210000"/>
  </r>
  <r>
    <s v="ID_2039"/>
    <d v="2025-04-13T00:00:00"/>
    <x v="1"/>
    <x v="1"/>
    <x v="0"/>
    <s v="Corporate"/>
    <s v="Store"/>
    <x v="1"/>
    <x v="1"/>
    <n v="30000"/>
    <n v="4"/>
    <x v="4"/>
    <n v="24000"/>
    <n v="120000"/>
    <n v="96000"/>
    <n v="24000"/>
  </r>
  <r>
    <s v="ID_403"/>
    <d v="2025-01-11T00:00:00"/>
    <x v="0"/>
    <x v="0"/>
    <x v="3"/>
    <s v="Corporate"/>
    <s v="Store"/>
    <x v="7"/>
    <x v="2"/>
    <n v="420000"/>
    <n v="1"/>
    <x v="4"/>
    <n v="336000"/>
    <n v="420000"/>
    <n v="336000"/>
    <n v="84000"/>
  </r>
  <r>
    <s v="ID_1142"/>
    <d v="2025-02-11T00:00:00"/>
    <x v="2"/>
    <x v="0"/>
    <x v="2"/>
    <s v="Corporate"/>
    <s v="Store"/>
    <x v="7"/>
    <x v="2"/>
    <n v="420000"/>
    <n v="4"/>
    <x v="3"/>
    <n v="336000"/>
    <n v="1680000"/>
    <n v="1344000"/>
    <n v="336000"/>
  </r>
  <r>
    <s v="ID_625"/>
    <d v="2025-02-01T00:00:00"/>
    <x v="2"/>
    <x v="3"/>
    <x v="2"/>
    <s v="Corporate"/>
    <s v="Online"/>
    <x v="0"/>
    <x v="0"/>
    <n v="85000"/>
    <n v="4"/>
    <x v="3"/>
    <n v="68000"/>
    <n v="340000"/>
    <n v="272000"/>
    <n v="68000"/>
  </r>
  <r>
    <s v="ID_1600"/>
    <d v="2025-04-22T00:00:00"/>
    <x v="1"/>
    <x v="0"/>
    <x v="1"/>
    <s v="Corporate"/>
    <s v="Store"/>
    <x v="5"/>
    <x v="0"/>
    <n v="320000"/>
    <n v="5"/>
    <x v="2"/>
    <n v="256000"/>
    <n v="1600000"/>
    <n v="1280000"/>
    <n v="320000"/>
  </r>
  <r>
    <s v="ID_1156"/>
    <d v="2025-02-20T00:00:00"/>
    <x v="2"/>
    <x v="1"/>
    <x v="0"/>
    <s v="Corporate"/>
    <s v="Store"/>
    <x v="0"/>
    <x v="0"/>
    <n v="85000"/>
    <n v="4"/>
    <x v="2"/>
    <n v="68000"/>
    <n v="340000"/>
    <n v="272000"/>
    <n v="68000"/>
  </r>
  <r>
    <s v="ID_198"/>
    <d v="2025-02-28T00:00:00"/>
    <x v="2"/>
    <x v="0"/>
    <x v="0"/>
    <s v="Corporate"/>
    <s v="Store"/>
    <x v="7"/>
    <x v="2"/>
    <n v="420000"/>
    <n v="7"/>
    <x v="5"/>
    <n v="336000"/>
    <n v="2940000"/>
    <n v="2352000"/>
    <n v="588000"/>
  </r>
  <r>
    <s v="ID_714"/>
    <d v="2025-01-13T00:00:00"/>
    <x v="0"/>
    <x v="0"/>
    <x v="2"/>
    <s v="Corporate"/>
    <s v="Online"/>
    <x v="1"/>
    <x v="1"/>
    <n v="30000"/>
    <n v="10"/>
    <x v="2"/>
    <n v="24000"/>
    <n v="300000"/>
    <n v="240000"/>
    <n v="60000"/>
  </r>
  <r>
    <s v="ID_1991"/>
    <d v="2025-03-24T00:00:00"/>
    <x v="3"/>
    <x v="0"/>
    <x v="2"/>
    <s v="Corporate"/>
    <s v="Online"/>
    <x v="6"/>
    <x v="2"/>
    <n v="150000"/>
    <n v="10"/>
    <x v="2"/>
    <n v="120000"/>
    <n v="1500000"/>
    <n v="1200000"/>
    <n v="300000"/>
  </r>
  <r>
    <s v="ID_604"/>
    <d v="2025-01-31T00:00:00"/>
    <x v="0"/>
    <x v="2"/>
    <x v="0"/>
    <s v="Corporate"/>
    <s v="Store"/>
    <x v="8"/>
    <x v="2"/>
    <n v="250000"/>
    <n v="4"/>
    <x v="4"/>
    <n v="200000"/>
    <n v="1000000"/>
    <n v="800000"/>
    <n v="200000"/>
  </r>
  <r>
    <s v="ID_212"/>
    <d v="2025-04-05T00:00:00"/>
    <x v="1"/>
    <x v="1"/>
    <x v="3"/>
    <s v="Retail"/>
    <s v="Online"/>
    <x v="9"/>
    <x v="1"/>
    <n v="220000"/>
    <n v="6"/>
    <x v="4"/>
    <n v="176000"/>
    <n v="1320000"/>
    <n v="1056000"/>
    <n v="264000"/>
  </r>
  <r>
    <s v="ID_911"/>
    <d v="2025-01-16T00:00:00"/>
    <x v="0"/>
    <x v="3"/>
    <x v="0"/>
    <s v="Retail"/>
    <s v="Store"/>
    <x v="6"/>
    <x v="2"/>
    <n v="150000"/>
    <n v="10"/>
    <x v="1"/>
    <n v="120000"/>
    <n v="1500000"/>
    <n v="1200000"/>
    <n v="300000"/>
  </r>
  <r>
    <s v="ID_467"/>
    <d v="2025-02-12T00:00:00"/>
    <x v="2"/>
    <x v="1"/>
    <x v="2"/>
    <s v="Retail"/>
    <s v="Online"/>
    <x v="6"/>
    <x v="2"/>
    <n v="150000"/>
    <n v="2"/>
    <x v="2"/>
    <n v="120000"/>
    <n v="300000"/>
    <n v="240000"/>
    <n v="60000"/>
  </r>
  <r>
    <s v="ID_1095"/>
    <d v="2025-01-03T00:00:00"/>
    <x v="0"/>
    <x v="0"/>
    <x v="0"/>
    <s v="Retail"/>
    <s v="Online"/>
    <x v="8"/>
    <x v="2"/>
    <n v="250000"/>
    <n v="4"/>
    <x v="3"/>
    <n v="200000"/>
    <n v="1000000"/>
    <n v="800000"/>
    <n v="200000"/>
  </r>
  <r>
    <s v="ID_234"/>
    <d v="2025-04-04T00:00:00"/>
    <x v="1"/>
    <x v="1"/>
    <x v="0"/>
    <s v="Retail"/>
    <s v="Store"/>
    <x v="6"/>
    <x v="2"/>
    <n v="150000"/>
    <n v="9"/>
    <x v="1"/>
    <n v="120000"/>
    <n v="1350000"/>
    <n v="1080000"/>
    <n v="270000"/>
  </r>
  <r>
    <s v="ID_542"/>
    <d v="2025-04-20T00:00:00"/>
    <x v="1"/>
    <x v="3"/>
    <x v="2"/>
    <s v="Retail"/>
    <s v="Store"/>
    <x v="7"/>
    <x v="2"/>
    <n v="420000"/>
    <n v="7"/>
    <x v="3"/>
    <n v="336000"/>
    <n v="2940000"/>
    <n v="2352000"/>
    <n v="588000"/>
  </r>
  <r>
    <s v="ID_688"/>
    <d v="2025-04-22T00:00:00"/>
    <x v="1"/>
    <x v="1"/>
    <x v="1"/>
    <s v="Retail"/>
    <s v="Online"/>
    <x v="0"/>
    <x v="0"/>
    <n v="85000"/>
    <n v="2"/>
    <x v="0"/>
    <n v="68000"/>
    <n v="170000"/>
    <n v="136000"/>
    <n v="34000"/>
  </r>
  <r>
    <s v="ID_1396"/>
    <d v="2025-03-22T00:00:00"/>
    <x v="3"/>
    <x v="2"/>
    <x v="1"/>
    <s v="Corporate"/>
    <s v="Store"/>
    <x v="0"/>
    <x v="0"/>
    <n v="85000"/>
    <n v="1"/>
    <x v="3"/>
    <n v="68000"/>
    <n v="85000"/>
    <n v="68000"/>
    <n v="17000"/>
  </r>
  <r>
    <s v="ID_1582"/>
    <d v="2025-02-25T00:00:00"/>
    <x v="2"/>
    <x v="2"/>
    <x v="2"/>
    <s v="Retail"/>
    <s v="Store"/>
    <x v="7"/>
    <x v="2"/>
    <n v="420000"/>
    <n v="9"/>
    <x v="0"/>
    <n v="336000"/>
    <n v="3780000"/>
    <n v="3024000"/>
    <n v="756000"/>
  </r>
  <r>
    <s v="ID_1579"/>
    <d v="2025-03-14T00:00:00"/>
    <x v="3"/>
    <x v="3"/>
    <x v="1"/>
    <s v="Retail"/>
    <s v="Store"/>
    <x v="9"/>
    <x v="1"/>
    <n v="220000"/>
    <n v="2"/>
    <x v="5"/>
    <n v="176000"/>
    <n v="440000"/>
    <n v="352000"/>
    <n v="88000"/>
  </r>
  <r>
    <s v="ID_204"/>
    <d v="2025-03-10T00:00:00"/>
    <x v="3"/>
    <x v="0"/>
    <x v="2"/>
    <s v="Corporate"/>
    <s v="Store"/>
    <x v="9"/>
    <x v="1"/>
    <n v="220000"/>
    <n v="8"/>
    <x v="4"/>
    <n v="176000"/>
    <n v="1760000"/>
    <n v="1408000"/>
    <n v="352000"/>
  </r>
  <r>
    <s v="ID_1876"/>
    <d v="2025-02-03T00:00:00"/>
    <x v="2"/>
    <x v="3"/>
    <x v="0"/>
    <s v="Corporate"/>
    <s v="Online"/>
    <x v="1"/>
    <x v="1"/>
    <n v="30000"/>
    <n v="9"/>
    <x v="0"/>
    <n v="24000"/>
    <n v="270000"/>
    <n v="216000"/>
    <n v="54000"/>
  </r>
  <r>
    <s v="ID_1372"/>
    <d v="2025-02-18T00:00:00"/>
    <x v="2"/>
    <x v="3"/>
    <x v="3"/>
    <s v="Corporate"/>
    <s v="Online"/>
    <x v="5"/>
    <x v="0"/>
    <n v="320000"/>
    <n v="3"/>
    <x v="4"/>
    <n v="256000"/>
    <n v="960000"/>
    <n v="768000"/>
    <n v="192000"/>
  </r>
  <r>
    <s v="ID_1433"/>
    <d v="2025-01-17T00:00:00"/>
    <x v="0"/>
    <x v="3"/>
    <x v="0"/>
    <s v="Retail"/>
    <s v="Online"/>
    <x v="1"/>
    <x v="1"/>
    <n v="30000"/>
    <n v="6"/>
    <x v="3"/>
    <n v="24000"/>
    <n v="180000"/>
    <n v="144000"/>
    <n v="36000"/>
  </r>
  <r>
    <s v="ID_538"/>
    <d v="2025-02-12T00:00:00"/>
    <x v="2"/>
    <x v="3"/>
    <x v="2"/>
    <s v="Corporate"/>
    <s v="Online"/>
    <x v="2"/>
    <x v="1"/>
    <n v="60000"/>
    <n v="7"/>
    <x v="2"/>
    <n v="48000"/>
    <n v="420000"/>
    <n v="336000"/>
    <n v="84000"/>
  </r>
  <r>
    <s v="ID_838"/>
    <d v="2025-01-26T00:00:00"/>
    <x v="0"/>
    <x v="2"/>
    <x v="2"/>
    <s v="Retail"/>
    <s v="Online"/>
    <x v="4"/>
    <x v="1"/>
    <n v="180000"/>
    <n v="2"/>
    <x v="3"/>
    <n v="144000"/>
    <n v="360000"/>
    <n v="288000"/>
    <n v="72000"/>
  </r>
  <r>
    <s v="ID_767"/>
    <d v="2025-03-08T00:00:00"/>
    <x v="3"/>
    <x v="1"/>
    <x v="3"/>
    <s v="Corporate"/>
    <s v="Store"/>
    <x v="1"/>
    <x v="1"/>
    <n v="30000"/>
    <n v="5"/>
    <x v="0"/>
    <n v="24000"/>
    <n v="150000"/>
    <n v="120000"/>
    <n v="30000"/>
  </r>
  <r>
    <s v="ID_1252"/>
    <d v="2025-01-08T00:00:00"/>
    <x v="0"/>
    <x v="0"/>
    <x v="1"/>
    <s v="Corporate"/>
    <s v="Store"/>
    <x v="6"/>
    <x v="2"/>
    <n v="150000"/>
    <n v="2"/>
    <x v="4"/>
    <n v="120000"/>
    <n v="300000"/>
    <n v="240000"/>
    <n v="60000"/>
  </r>
  <r>
    <s v="ID_471"/>
    <d v="2025-04-28T00:00:00"/>
    <x v="1"/>
    <x v="2"/>
    <x v="0"/>
    <s v="Retail"/>
    <s v="Online"/>
    <x v="1"/>
    <x v="1"/>
    <n v="30000"/>
    <n v="9"/>
    <x v="5"/>
    <n v="24000"/>
    <n v="270000"/>
    <n v="216000"/>
    <n v="54000"/>
  </r>
  <r>
    <s v="ID_1745"/>
    <d v="2025-02-13T00:00:00"/>
    <x v="2"/>
    <x v="2"/>
    <x v="2"/>
    <s v="Corporate"/>
    <s v="Online"/>
    <x v="6"/>
    <x v="2"/>
    <n v="150000"/>
    <n v="5"/>
    <x v="3"/>
    <n v="120000"/>
    <n v="750000"/>
    <n v="600000"/>
    <n v="150000"/>
  </r>
  <r>
    <s v="ID_1794"/>
    <d v="2025-01-25T00:00:00"/>
    <x v="0"/>
    <x v="2"/>
    <x v="2"/>
    <s v="Retail"/>
    <s v="Store"/>
    <x v="2"/>
    <x v="1"/>
    <n v="60000"/>
    <n v="8"/>
    <x v="5"/>
    <n v="48000"/>
    <n v="480000"/>
    <n v="384000"/>
    <n v="96000"/>
  </r>
  <r>
    <s v="ID_1875"/>
    <d v="2025-04-13T00:00:00"/>
    <x v="1"/>
    <x v="1"/>
    <x v="1"/>
    <s v="Retail"/>
    <s v="Online"/>
    <x v="6"/>
    <x v="2"/>
    <n v="150000"/>
    <n v="8"/>
    <x v="4"/>
    <n v="120000"/>
    <n v="1200000"/>
    <n v="960000"/>
    <n v="240000"/>
  </r>
  <r>
    <s v="ID_1677"/>
    <d v="2025-03-13T00:00:00"/>
    <x v="3"/>
    <x v="1"/>
    <x v="2"/>
    <s v="Retail"/>
    <s v="Store"/>
    <x v="0"/>
    <x v="0"/>
    <n v="85000"/>
    <n v="3"/>
    <x v="5"/>
    <n v="68000"/>
    <n v="255000"/>
    <n v="204000"/>
    <n v="51000"/>
  </r>
  <r>
    <s v="ID_1507"/>
    <d v="2025-03-18T00:00:00"/>
    <x v="3"/>
    <x v="2"/>
    <x v="0"/>
    <s v="Corporate"/>
    <s v="Online"/>
    <x v="4"/>
    <x v="1"/>
    <n v="180000"/>
    <n v="4"/>
    <x v="4"/>
    <n v="144000"/>
    <n v="720000"/>
    <n v="576000"/>
    <n v="144000"/>
  </r>
  <r>
    <s v="ID_1920"/>
    <d v="2025-01-30T00:00:00"/>
    <x v="0"/>
    <x v="3"/>
    <x v="0"/>
    <s v="Retail"/>
    <s v="Online"/>
    <x v="7"/>
    <x v="2"/>
    <n v="420000"/>
    <n v="7"/>
    <x v="1"/>
    <n v="336000"/>
    <n v="2940000"/>
    <n v="2352000"/>
    <n v="588000"/>
  </r>
  <r>
    <s v="ID_1593"/>
    <d v="2025-01-07T00:00:00"/>
    <x v="0"/>
    <x v="1"/>
    <x v="1"/>
    <s v="Retail"/>
    <s v="Store"/>
    <x v="2"/>
    <x v="1"/>
    <n v="60000"/>
    <n v="8"/>
    <x v="1"/>
    <n v="48000"/>
    <n v="480000"/>
    <n v="384000"/>
    <n v="96000"/>
  </r>
  <r>
    <s v="ID_1453"/>
    <d v="2025-03-28T00:00:00"/>
    <x v="3"/>
    <x v="2"/>
    <x v="2"/>
    <s v="Retail"/>
    <s v="Store"/>
    <x v="3"/>
    <x v="2"/>
    <n v="300000"/>
    <n v="1"/>
    <x v="3"/>
    <n v="240000"/>
    <n v="300000"/>
    <n v="240000"/>
    <n v="60000"/>
  </r>
  <r>
    <s v="ID_367"/>
    <d v="2025-04-12T00:00:00"/>
    <x v="1"/>
    <x v="1"/>
    <x v="2"/>
    <s v="Retail"/>
    <s v="Online"/>
    <x v="1"/>
    <x v="1"/>
    <n v="30000"/>
    <n v="6"/>
    <x v="3"/>
    <n v="24000"/>
    <n v="180000"/>
    <n v="144000"/>
    <n v="36000"/>
  </r>
  <r>
    <s v="ID_899"/>
    <d v="2025-01-12T00:00:00"/>
    <x v="0"/>
    <x v="3"/>
    <x v="1"/>
    <s v="Corporate"/>
    <s v="Store"/>
    <x v="8"/>
    <x v="2"/>
    <n v="250000"/>
    <n v="9"/>
    <x v="4"/>
    <n v="200000"/>
    <n v="2250000"/>
    <n v="1800000"/>
    <n v="450000"/>
  </r>
  <r>
    <s v="ID_1369"/>
    <d v="2025-02-06T00:00:00"/>
    <x v="2"/>
    <x v="1"/>
    <x v="2"/>
    <s v="Corporate"/>
    <s v="Store"/>
    <x v="7"/>
    <x v="2"/>
    <n v="420000"/>
    <n v="9"/>
    <x v="3"/>
    <n v="336000"/>
    <n v="3780000"/>
    <n v="3024000"/>
    <n v="756000"/>
  </r>
  <r>
    <s v="ID_1723"/>
    <d v="2025-03-23T00:00:00"/>
    <x v="3"/>
    <x v="1"/>
    <x v="2"/>
    <s v="Corporate"/>
    <s v="Store"/>
    <x v="6"/>
    <x v="2"/>
    <n v="150000"/>
    <n v="9"/>
    <x v="3"/>
    <n v="120000"/>
    <n v="1350000"/>
    <n v="1080000"/>
    <n v="270000"/>
  </r>
  <r>
    <s v="ID_1371"/>
    <d v="2025-02-15T00:00:00"/>
    <x v="2"/>
    <x v="1"/>
    <x v="1"/>
    <s v="Corporate"/>
    <s v="Online"/>
    <x v="3"/>
    <x v="2"/>
    <n v="300000"/>
    <n v="5"/>
    <x v="5"/>
    <n v="240000"/>
    <n v="1500000"/>
    <n v="1200000"/>
    <n v="300000"/>
  </r>
  <r>
    <s v="ID_1078"/>
    <d v="2025-03-26T00:00:00"/>
    <x v="3"/>
    <x v="3"/>
    <x v="3"/>
    <s v="Retail"/>
    <s v="Online"/>
    <x v="1"/>
    <x v="1"/>
    <n v="30000"/>
    <n v="4"/>
    <x v="3"/>
    <n v="24000"/>
    <n v="120000"/>
    <n v="96000"/>
    <n v="24000"/>
  </r>
  <r>
    <s v="ID_743"/>
    <d v="2025-03-09T00:00:00"/>
    <x v="3"/>
    <x v="0"/>
    <x v="3"/>
    <s v="Retail"/>
    <s v="Store"/>
    <x v="7"/>
    <x v="2"/>
    <n v="420000"/>
    <n v="7"/>
    <x v="5"/>
    <n v="336000"/>
    <n v="2940000"/>
    <n v="2352000"/>
    <n v="588000"/>
  </r>
  <r>
    <s v="ID_312"/>
    <d v="2025-02-15T00:00:00"/>
    <x v="2"/>
    <x v="1"/>
    <x v="1"/>
    <s v="Corporate"/>
    <s v="Store"/>
    <x v="5"/>
    <x v="0"/>
    <n v="320000"/>
    <n v="6"/>
    <x v="3"/>
    <n v="256000"/>
    <n v="1920000"/>
    <n v="1536000"/>
    <n v="384000"/>
  </r>
  <r>
    <s v="ID_1868"/>
    <d v="2025-04-10T00:00:00"/>
    <x v="1"/>
    <x v="2"/>
    <x v="3"/>
    <s v="Retail"/>
    <s v="Online"/>
    <x v="0"/>
    <x v="0"/>
    <n v="85000"/>
    <n v="2"/>
    <x v="5"/>
    <n v="68000"/>
    <n v="170000"/>
    <n v="136000"/>
    <n v="34000"/>
  </r>
  <r>
    <s v="ID_1490"/>
    <d v="2025-01-06T00:00:00"/>
    <x v="0"/>
    <x v="0"/>
    <x v="1"/>
    <s v="Retail"/>
    <s v="Online"/>
    <x v="6"/>
    <x v="2"/>
    <n v="150000"/>
    <n v="1"/>
    <x v="5"/>
    <n v="120000"/>
    <n v="150000"/>
    <n v="120000"/>
    <n v="30000"/>
  </r>
  <r>
    <s v="ID_953"/>
    <d v="2025-02-11T00:00:00"/>
    <x v="2"/>
    <x v="0"/>
    <x v="0"/>
    <s v="Corporate"/>
    <s v="Store"/>
    <x v="0"/>
    <x v="0"/>
    <n v="85000"/>
    <n v="2"/>
    <x v="4"/>
    <n v="68000"/>
    <n v="170000"/>
    <n v="136000"/>
    <n v="34000"/>
  </r>
  <r>
    <s v="ID_916"/>
    <d v="2025-04-25T00:00:00"/>
    <x v="1"/>
    <x v="0"/>
    <x v="3"/>
    <s v="Corporate"/>
    <s v="Online"/>
    <x v="0"/>
    <x v="0"/>
    <n v="85000"/>
    <n v="1"/>
    <x v="2"/>
    <n v="68000"/>
    <n v="85000"/>
    <n v="68000"/>
    <n v="17000"/>
  </r>
  <r>
    <s v="ID_1868"/>
    <d v="2025-01-17T00:00:00"/>
    <x v="0"/>
    <x v="3"/>
    <x v="2"/>
    <s v="Retail"/>
    <s v="Online"/>
    <x v="4"/>
    <x v="1"/>
    <n v="180000"/>
    <n v="4"/>
    <x v="5"/>
    <n v="144000"/>
    <n v="720000"/>
    <n v="576000"/>
    <n v="144000"/>
  </r>
  <r>
    <s v="ID_537"/>
    <d v="2025-04-15T00:00:00"/>
    <x v="1"/>
    <x v="1"/>
    <x v="0"/>
    <s v="Corporate"/>
    <s v="Online"/>
    <x v="7"/>
    <x v="2"/>
    <n v="420000"/>
    <n v="8"/>
    <x v="1"/>
    <n v="336000"/>
    <n v="3360000"/>
    <n v="2688000"/>
    <n v="672000"/>
  </r>
  <r>
    <s v="ID_1424"/>
    <d v="2025-03-06T00:00:00"/>
    <x v="3"/>
    <x v="0"/>
    <x v="2"/>
    <s v="Corporate"/>
    <s v="Store"/>
    <x v="4"/>
    <x v="1"/>
    <n v="180000"/>
    <n v="9"/>
    <x v="1"/>
    <n v="144000"/>
    <n v="1620000"/>
    <n v="1296000"/>
    <n v="324000"/>
  </r>
  <r>
    <s v="ID_940"/>
    <d v="2025-01-11T00:00:00"/>
    <x v="0"/>
    <x v="3"/>
    <x v="1"/>
    <s v="Corporate"/>
    <s v="Store"/>
    <x v="3"/>
    <x v="2"/>
    <n v="300000"/>
    <n v="5"/>
    <x v="5"/>
    <n v="240000"/>
    <n v="1500000"/>
    <n v="1200000"/>
    <n v="300000"/>
  </r>
  <r>
    <s v="ID_1207"/>
    <d v="2025-01-05T00:00:00"/>
    <x v="0"/>
    <x v="0"/>
    <x v="2"/>
    <s v="Corporate"/>
    <s v="Store"/>
    <x v="2"/>
    <x v="1"/>
    <n v="60000"/>
    <n v="4"/>
    <x v="4"/>
    <n v="48000"/>
    <n v="240000"/>
    <n v="192000"/>
    <n v="48000"/>
  </r>
  <r>
    <s v="ID_1023"/>
    <d v="2025-01-10T00:00:00"/>
    <x v="0"/>
    <x v="1"/>
    <x v="1"/>
    <s v="Corporate"/>
    <s v="Online"/>
    <x v="8"/>
    <x v="2"/>
    <n v="250000"/>
    <n v="4"/>
    <x v="4"/>
    <n v="200000"/>
    <n v="1000000"/>
    <n v="800000"/>
    <n v="200000"/>
  </r>
  <r>
    <s v="ID_348"/>
    <d v="2025-03-14T00:00:00"/>
    <x v="3"/>
    <x v="3"/>
    <x v="0"/>
    <s v="Retail"/>
    <s v="Store"/>
    <x v="9"/>
    <x v="1"/>
    <n v="220000"/>
    <n v="6"/>
    <x v="5"/>
    <n v="176000"/>
    <n v="1320000"/>
    <n v="1056000"/>
    <n v="264000"/>
  </r>
  <r>
    <s v="ID_2076"/>
    <d v="2025-04-15T00:00:00"/>
    <x v="1"/>
    <x v="1"/>
    <x v="1"/>
    <s v="Corporate"/>
    <s v="Online"/>
    <x v="3"/>
    <x v="2"/>
    <n v="300000"/>
    <n v="7"/>
    <x v="2"/>
    <n v="240000"/>
    <n v="2100000"/>
    <n v="1680000"/>
    <n v="420000"/>
  </r>
  <r>
    <s v="ID_1753"/>
    <d v="2025-03-30T00:00:00"/>
    <x v="3"/>
    <x v="2"/>
    <x v="1"/>
    <s v="Retail"/>
    <s v="Online"/>
    <x v="7"/>
    <x v="2"/>
    <n v="420000"/>
    <n v="10"/>
    <x v="2"/>
    <n v="336000"/>
    <n v="4200000"/>
    <n v="3360000"/>
    <n v="840000"/>
  </r>
  <r>
    <s v="ID_1808"/>
    <d v="2025-02-21T00:00:00"/>
    <x v="2"/>
    <x v="0"/>
    <x v="1"/>
    <s v="Corporate"/>
    <s v="Store"/>
    <x v="1"/>
    <x v="1"/>
    <n v="30000"/>
    <n v="7"/>
    <x v="2"/>
    <n v="24000"/>
    <n v="210000"/>
    <n v="168000"/>
    <n v="42000"/>
  </r>
  <r>
    <s v="ID_983"/>
    <d v="2025-04-11T00:00:00"/>
    <x v="1"/>
    <x v="3"/>
    <x v="1"/>
    <s v="Corporate"/>
    <s v="Online"/>
    <x v="9"/>
    <x v="1"/>
    <n v="220000"/>
    <n v="8"/>
    <x v="4"/>
    <n v="176000"/>
    <n v="1760000"/>
    <n v="1408000"/>
    <n v="352000"/>
  </r>
  <r>
    <s v="ID_1919"/>
    <d v="2025-01-20T00:00:00"/>
    <x v="0"/>
    <x v="2"/>
    <x v="3"/>
    <s v="Retail"/>
    <s v="Store"/>
    <x v="5"/>
    <x v="0"/>
    <n v="320000"/>
    <n v="9"/>
    <x v="1"/>
    <n v="256000"/>
    <n v="2880000"/>
    <n v="2304000"/>
    <n v="576000"/>
  </r>
  <r>
    <s v="ID_985"/>
    <d v="2025-01-22T00:00:00"/>
    <x v="0"/>
    <x v="1"/>
    <x v="2"/>
    <s v="Corporate"/>
    <s v="Store"/>
    <x v="4"/>
    <x v="1"/>
    <n v="180000"/>
    <n v="8"/>
    <x v="2"/>
    <n v="144000"/>
    <n v="1440000"/>
    <n v="1152000"/>
    <n v="288000"/>
  </r>
  <r>
    <s v="ID_1018"/>
    <d v="2025-04-26T00:00:00"/>
    <x v="1"/>
    <x v="3"/>
    <x v="0"/>
    <s v="Retail"/>
    <s v="Online"/>
    <x v="1"/>
    <x v="1"/>
    <n v="30000"/>
    <n v="5"/>
    <x v="3"/>
    <n v="24000"/>
    <n v="150000"/>
    <n v="120000"/>
    <n v="30000"/>
  </r>
  <r>
    <s v="ID_1857"/>
    <d v="2025-02-20T00:00:00"/>
    <x v="2"/>
    <x v="2"/>
    <x v="2"/>
    <s v="Retail"/>
    <s v="Store"/>
    <x v="5"/>
    <x v="0"/>
    <n v="320000"/>
    <n v="8"/>
    <x v="2"/>
    <n v="256000"/>
    <n v="2560000"/>
    <n v="2048000"/>
    <n v="512000"/>
  </r>
  <r>
    <s v="ID_49"/>
    <d v="2025-03-31T00:00:00"/>
    <x v="3"/>
    <x v="3"/>
    <x v="1"/>
    <s v="Retail"/>
    <s v="Store"/>
    <x v="5"/>
    <x v="0"/>
    <n v="320000"/>
    <n v="8"/>
    <x v="1"/>
    <n v="256000"/>
    <n v="2560000"/>
    <n v="2048000"/>
    <n v="512000"/>
  </r>
  <r>
    <s v="ID_1216"/>
    <d v="2025-01-15T00:00:00"/>
    <x v="0"/>
    <x v="1"/>
    <x v="2"/>
    <s v="Corporate"/>
    <s v="Store"/>
    <x v="1"/>
    <x v="1"/>
    <n v="30000"/>
    <n v="4"/>
    <x v="2"/>
    <n v="24000"/>
    <n v="120000"/>
    <n v="96000"/>
    <n v="24000"/>
  </r>
  <r>
    <s v="ID_1509"/>
    <d v="2025-04-29T00:00:00"/>
    <x v="1"/>
    <x v="0"/>
    <x v="3"/>
    <s v="Retail"/>
    <s v="Store"/>
    <x v="4"/>
    <x v="1"/>
    <n v="180000"/>
    <n v="3"/>
    <x v="3"/>
    <n v="144000"/>
    <n v="540000"/>
    <n v="432000"/>
    <n v="108000"/>
  </r>
  <r>
    <s v="ID_985"/>
    <d v="2025-05-01T00:00:00"/>
    <x v="4"/>
    <x v="3"/>
    <x v="2"/>
    <s v="Retail"/>
    <s v="Online"/>
    <x v="4"/>
    <x v="1"/>
    <n v="180000"/>
    <n v="9"/>
    <x v="3"/>
    <n v="144000"/>
    <n v="1620000"/>
    <n v="1296000"/>
    <n v="324000"/>
  </r>
  <r>
    <s v="ID_1050"/>
    <d v="2025-02-15T00:00:00"/>
    <x v="2"/>
    <x v="3"/>
    <x v="1"/>
    <s v="Corporate"/>
    <s v="Store"/>
    <x v="4"/>
    <x v="1"/>
    <n v="180000"/>
    <n v="1"/>
    <x v="2"/>
    <n v="144000"/>
    <n v="180000"/>
    <n v="144000"/>
    <n v="36000"/>
  </r>
  <r>
    <s v="ID_1755"/>
    <d v="2025-02-16T00:00:00"/>
    <x v="2"/>
    <x v="0"/>
    <x v="3"/>
    <s v="Corporate"/>
    <s v="Online"/>
    <x v="9"/>
    <x v="1"/>
    <n v="220000"/>
    <n v="6"/>
    <x v="1"/>
    <n v="176000"/>
    <n v="1320000"/>
    <n v="1056000"/>
    <n v="264000"/>
  </r>
  <r>
    <s v="ID_1122"/>
    <d v="2025-04-02T00:00:00"/>
    <x v="1"/>
    <x v="1"/>
    <x v="1"/>
    <s v="Retail"/>
    <s v="Online"/>
    <x v="3"/>
    <x v="2"/>
    <n v="300000"/>
    <n v="3"/>
    <x v="1"/>
    <n v="240000"/>
    <n v="900000"/>
    <n v="720000"/>
    <n v="180000"/>
  </r>
  <r>
    <s v="ID_1222"/>
    <d v="2025-02-17T00:00:00"/>
    <x v="2"/>
    <x v="2"/>
    <x v="1"/>
    <s v="Corporate"/>
    <s v="Store"/>
    <x v="5"/>
    <x v="0"/>
    <n v="320000"/>
    <n v="1"/>
    <x v="3"/>
    <n v="256000"/>
    <n v="320000"/>
    <n v="256000"/>
    <n v="64000"/>
  </r>
  <r>
    <s v="ID_974"/>
    <d v="2025-03-21T00:00:00"/>
    <x v="3"/>
    <x v="2"/>
    <x v="0"/>
    <s v="Corporate"/>
    <s v="Store"/>
    <x v="6"/>
    <x v="2"/>
    <n v="150000"/>
    <n v="6"/>
    <x v="3"/>
    <n v="120000"/>
    <n v="900000"/>
    <n v="720000"/>
    <n v="180000"/>
  </r>
  <r>
    <s v="ID_736"/>
    <d v="2025-02-08T00:00:00"/>
    <x v="2"/>
    <x v="1"/>
    <x v="1"/>
    <s v="Corporate"/>
    <s v="Store"/>
    <x v="9"/>
    <x v="1"/>
    <n v="220000"/>
    <n v="7"/>
    <x v="1"/>
    <n v="176000"/>
    <n v="1540000"/>
    <n v="1232000"/>
    <n v="308000"/>
  </r>
  <r>
    <s v="ID_704"/>
    <d v="2025-02-04T00:00:00"/>
    <x v="2"/>
    <x v="0"/>
    <x v="1"/>
    <s v="Retail"/>
    <s v="Online"/>
    <x v="9"/>
    <x v="1"/>
    <n v="220000"/>
    <n v="1"/>
    <x v="2"/>
    <n v="176000"/>
    <n v="220000"/>
    <n v="176000"/>
    <n v="44000"/>
  </r>
  <r>
    <s v="ID_1394"/>
    <d v="2025-02-05T00:00:00"/>
    <x v="2"/>
    <x v="1"/>
    <x v="0"/>
    <s v="Retail"/>
    <s v="Online"/>
    <x v="0"/>
    <x v="0"/>
    <n v="85000"/>
    <n v="4"/>
    <x v="3"/>
    <n v="68000"/>
    <n v="340000"/>
    <n v="272000"/>
    <n v="68000"/>
  </r>
  <r>
    <s v="ID_1334"/>
    <d v="2025-03-08T00:00:00"/>
    <x v="3"/>
    <x v="0"/>
    <x v="3"/>
    <s v="Corporate"/>
    <s v="Online"/>
    <x v="8"/>
    <x v="2"/>
    <n v="250000"/>
    <n v="10"/>
    <x v="3"/>
    <n v="200000"/>
    <n v="2500000"/>
    <n v="2000000"/>
    <n v="500000"/>
  </r>
  <r>
    <s v="ID_1252"/>
    <d v="2025-02-25T00:00:00"/>
    <x v="2"/>
    <x v="3"/>
    <x v="3"/>
    <s v="Retail"/>
    <s v="Store"/>
    <x v="5"/>
    <x v="0"/>
    <n v="320000"/>
    <n v="1"/>
    <x v="4"/>
    <n v="256000"/>
    <n v="320000"/>
    <n v="256000"/>
    <n v="64000"/>
  </r>
  <r>
    <s v="ID_419"/>
    <d v="2025-02-11T00:00:00"/>
    <x v="2"/>
    <x v="0"/>
    <x v="0"/>
    <s v="Corporate"/>
    <s v="Store"/>
    <x v="2"/>
    <x v="1"/>
    <n v="60000"/>
    <n v="8"/>
    <x v="1"/>
    <n v="48000"/>
    <n v="480000"/>
    <n v="384000"/>
    <n v="96000"/>
  </r>
  <r>
    <s v="ID_103"/>
    <d v="2025-04-07T00:00:00"/>
    <x v="1"/>
    <x v="3"/>
    <x v="3"/>
    <s v="Retail"/>
    <s v="Store"/>
    <x v="7"/>
    <x v="2"/>
    <n v="420000"/>
    <n v="2"/>
    <x v="4"/>
    <n v="336000"/>
    <n v="840000"/>
    <n v="672000"/>
    <n v="168000"/>
  </r>
  <r>
    <s v="ID_687"/>
    <d v="2025-03-27T00:00:00"/>
    <x v="3"/>
    <x v="3"/>
    <x v="2"/>
    <s v="Corporate"/>
    <s v="Online"/>
    <x v="8"/>
    <x v="2"/>
    <n v="250000"/>
    <n v="2"/>
    <x v="0"/>
    <n v="200000"/>
    <n v="500000"/>
    <n v="400000"/>
    <n v="100000"/>
  </r>
  <r>
    <s v="ID_1312"/>
    <d v="2025-03-30T00:00:00"/>
    <x v="3"/>
    <x v="0"/>
    <x v="1"/>
    <s v="Retail"/>
    <s v="Store"/>
    <x v="9"/>
    <x v="1"/>
    <n v="220000"/>
    <n v="6"/>
    <x v="5"/>
    <n v="176000"/>
    <n v="1320000"/>
    <n v="1056000"/>
    <n v="264000"/>
  </r>
  <r>
    <s v="ID_904"/>
    <d v="2025-04-29T00:00:00"/>
    <x v="1"/>
    <x v="3"/>
    <x v="1"/>
    <s v="Corporate"/>
    <s v="Store"/>
    <x v="2"/>
    <x v="1"/>
    <n v="60000"/>
    <n v="1"/>
    <x v="3"/>
    <n v="48000"/>
    <n v="60000"/>
    <n v="48000"/>
    <n v="12000"/>
  </r>
  <r>
    <s v="ID_2020"/>
    <d v="2025-02-01T00:00:00"/>
    <x v="2"/>
    <x v="0"/>
    <x v="0"/>
    <s v="Retail"/>
    <s v="Store"/>
    <x v="0"/>
    <x v="0"/>
    <n v="85000"/>
    <n v="9"/>
    <x v="5"/>
    <n v="68000"/>
    <n v="765000"/>
    <n v="612000"/>
    <n v="153000"/>
  </r>
  <r>
    <s v="ID_764"/>
    <d v="2025-01-25T00:00:00"/>
    <x v="0"/>
    <x v="2"/>
    <x v="1"/>
    <s v="Retail"/>
    <s v="Store"/>
    <x v="2"/>
    <x v="1"/>
    <n v="60000"/>
    <n v="9"/>
    <x v="4"/>
    <n v="48000"/>
    <n v="540000"/>
    <n v="432000"/>
    <n v="108000"/>
  </r>
  <r>
    <s v="ID_154"/>
    <d v="2025-04-13T00:00:00"/>
    <x v="1"/>
    <x v="1"/>
    <x v="2"/>
    <s v="Corporate"/>
    <s v="Store"/>
    <x v="0"/>
    <x v="0"/>
    <n v="85000"/>
    <n v="7"/>
    <x v="1"/>
    <n v="68000"/>
    <n v="595000"/>
    <n v="476000"/>
    <n v="119000"/>
  </r>
  <r>
    <s v="ID_777"/>
    <d v="2025-02-08T00:00:00"/>
    <x v="2"/>
    <x v="2"/>
    <x v="3"/>
    <s v="Retail"/>
    <s v="Online"/>
    <x v="5"/>
    <x v="0"/>
    <n v="320000"/>
    <n v="4"/>
    <x v="2"/>
    <n v="256000"/>
    <n v="1280000"/>
    <n v="1024000"/>
    <n v="256000"/>
  </r>
  <r>
    <s v="ID_1491"/>
    <d v="2025-04-15T00:00:00"/>
    <x v="1"/>
    <x v="2"/>
    <x v="3"/>
    <s v="Corporate"/>
    <s v="Online"/>
    <x v="8"/>
    <x v="2"/>
    <n v="250000"/>
    <n v="4"/>
    <x v="3"/>
    <n v="200000"/>
    <n v="1000000"/>
    <n v="800000"/>
    <n v="200000"/>
  </r>
  <r>
    <s v="ID_986"/>
    <d v="2025-03-10T00:00:00"/>
    <x v="3"/>
    <x v="1"/>
    <x v="2"/>
    <s v="Corporate"/>
    <s v="Online"/>
    <x v="2"/>
    <x v="1"/>
    <n v="60000"/>
    <n v="8"/>
    <x v="1"/>
    <n v="48000"/>
    <n v="480000"/>
    <n v="384000"/>
    <n v="96000"/>
  </r>
  <r>
    <s v="ID_1996"/>
    <d v="2025-04-30T00:00:00"/>
    <x v="1"/>
    <x v="0"/>
    <x v="2"/>
    <s v="Corporate"/>
    <s v="Online"/>
    <x v="7"/>
    <x v="2"/>
    <n v="420000"/>
    <n v="2"/>
    <x v="5"/>
    <n v="336000"/>
    <n v="840000"/>
    <n v="672000"/>
    <n v="168000"/>
  </r>
  <r>
    <s v="ID_633"/>
    <d v="2025-01-04T00:00:00"/>
    <x v="0"/>
    <x v="1"/>
    <x v="3"/>
    <s v="Corporate"/>
    <s v="Store"/>
    <x v="6"/>
    <x v="2"/>
    <n v="150000"/>
    <n v="1"/>
    <x v="3"/>
    <n v="120000"/>
    <n v="150000"/>
    <n v="120000"/>
    <n v="30000"/>
  </r>
  <r>
    <s v="ID_1471"/>
    <d v="2025-04-27T00:00:00"/>
    <x v="1"/>
    <x v="2"/>
    <x v="1"/>
    <s v="Retail"/>
    <s v="Online"/>
    <x v="8"/>
    <x v="2"/>
    <n v="250000"/>
    <n v="8"/>
    <x v="4"/>
    <n v="200000"/>
    <n v="2000000"/>
    <n v="1600000"/>
    <n v="400000"/>
  </r>
  <r>
    <s v="ID_929"/>
    <d v="2025-04-24T00:00:00"/>
    <x v="1"/>
    <x v="0"/>
    <x v="3"/>
    <s v="Retail"/>
    <s v="Online"/>
    <x v="3"/>
    <x v="2"/>
    <n v="300000"/>
    <n v="10"/>
    <x v="5"/>
    <n v="240000"/>
    <n v="3000000"/>
    <n v="2400000"/>
    <n v="600000"/>
  </r>
  <r>
    <s v="ID_690"/>
    <d v="2025-03-11T00:00:00"/>
    <x v="3"/>
    <x v="1"/>
    <x v="1"/>
    <s v="Corporate"/>
    <s v="Store"/>
    <x v="2"/>
    <x v="1"/>
    <n v="60000"/>
    <n v="3"/>
    <x v="1"/>
    <n v="48000"/>
    <n v="180000"/>
    <n v="144000"/>
    <n v="36000"/>
  </r>
  <r>
    <s v="ID_1069"/>
    <d v="2025-01-31T00:00:00"/>
    <x v="0"/>
    <x v="0"/>
    <x v="3"/>
    <s v="Corporate"/>
    <s v="Online"/>
    <x v="0"/>
    <x v="0"/>
    <n v="85000"/>
    <n v="1"/>
    <x v="1"/>
    <n v="68000"/>
    <n v="85000"/>
    <n v="68000"/>
    <n v="17000"/>
  </r>
  <r>
    <s v="ID_1220"/>
    <d v="2025-02-16T00:00:00"/>
    <x v="2"/>
    <x v="1"/>
    <x v="1"/>
    <s v="Corporate"/>
    <s v="Online"/>
    <x v="4"/>
    <x v="1"/>
    <n v="180000"/>
    <n v="7"/>
    <x v="0"/>
    <n v="144000"/>
    <n v="1260000"/>
    <n v="1008000"/>
    <n v="252000"/>
  </r>
  <r>
    <s v="ID_994"/>
    <d v="2025-03-10T00:00:00"/>
    <x v="3"/>
    <x v="1"/>
    <x v="2"/>
    <s v="Corporate"/>
    <s v="Online"/>
    <x v="8"/>
    <x v="2"/>
    <n v="250000"/>
    <n v="6"/>
    <x v="2"/>
    <n v="200000"/>
    <n v="1500000"/>
    <n v="1200000"/>
    <n v="300000"/>
  </r>
  <r>
    <s v="ID_1400"/>
    <d v="2025-01-06T00:00:00"/>
    <x v="0"/>
    <x v="0"/>
    <x v="0"/>
    <s v="Corporate"/>
    <s v="Online"/>
    <x v="7"/>
    <x v="2"/>
    <n v="420000"/>
    <n v="3"/>
    <x v="0"/>
    <n v="336000"/>
    <n v="1260000"/>
    <n v="1008000"/>
    <n v="252000"/>
  </r>
  <r>
    <s v="ID_1859"/>
    <d v="2025-04-01T00:00:00"/>
    <x v="1"/>
    <x v="0"/>
    <x v="0"/>
    <s v="Retail"/>
    <s v="Online"/>
    <x v="1"/>
    <x v="1"/>
    <n v="30000"/>
    <n v="1"/>
    <x v="2"/>
    <n v="24000"/>
    <n v="30000"/>
    <n v="24000"/>
    <n v="6000"/>
  </r>
  <r>
    <s v="ID_1700"/>
    <d v="2025-01-07T00:00:00"/>
    <x v="0"/>
    <x v="3"/>
    <x v="0"/>
    <s v="Corporate"/>
    <s v="Store"/>
    <x v="8"/>
    <x v="2"/>
    <n v="250000"/>
    <n v="3"/>
    <x v="0"/>
    <n v="200000"/>
    <n v="750000"/>
    <n v="600000"/>
    <n v="150000"/>
  </r>
  <r>
    <s v="ID_858"/>
    <d v="2025-03-26T00:00:00"/>
    <x v="3"/>
    <x v="1"/>
    <x v="2"/>
    <s v="Retail"/>
    <s v="Online"/>
    <x v="5"/>
    <x v="0"/>
    <n v="320000"/>
    <n v="10"/>
    <x v="0"/>
    <n v="256000"/>
    <n v="3200000"/>
    <n v="2560000"/>
    <n v="640000"/>
  </r>
  <r>
    <s v="ID_9"/>
    <d v="2025-04-07T00:00:00"/>
    <x v="1"/>
    <x v="0"/>
    <x v="0"/>
    <s v="Retail"/>
    <s v="Store"/>
    <x v="8"/>
    <x v="2"/>
    <n v="250000"/>
    <n v="7"/>
    <x v="1"/>
    <n v="200000"/>
    <n v="1750000"/>
    <n v="1400000"/>
    <n v="350000"/>
  </r>
  <r>
    <s v="ID_717"/>
    <d v="2025-02-18T00:00:00"/>
    <x v="2"/>
    <x v="3"/>
    <x v="1"/>
    <s v="Corporate"/>
    <s v="Online"/>
    <x v="5"/>
    <x v="0"/>
    <n v="320000"/>
    <n v="2"/>
    <x v="2"/>
    <n v="256000"/>
    <n v="640000"/>
    <n v="512000"/>
    <n v="128000"/>
  </r>
  <r>
    <s v="ID_854"/>
    <d v="2025-04-30T00:00:00"/>
    <x v="1"/>
    <x v="3"/>
    <x v="0"/>
    <s v="Corporate"/>
    <s v="Store"/>
    <x v="9"/>
    <x v="1"/>
    <n v="220000"/>
    <n v="5"/>
    <x v="3"/>
    <n v="176000"/>
    <n v="1100000"/>
    <n v="880000"/>
    <n v="220000"/>
  </r>
  <r>
    <s v="ID_15"/>
    <d v="2025-02-23T00:00:00"/>
    <x v="2"/>
    <x v="3"/>
    <x v="3"/>
    <s v="Corporate"/>
    <s v="Store"/>
    <x v="7"/>
    <x v="2"/>
    <n v="420000"/>
    <n v="3"/>
    <x v="3"/>
    <n v="336000"/>
    <n v="1260000"/>
    <n v="1008000"/>
    <n v="252000"/>
  </r>
  <r>
    <s v="ID_345"/>
    <d v="2025-02-09T00:00:00"/>
    <x v="2"/>
    <x v="3"/>
    <x v="1"/>
    <s v="Corporate"/>
    <s v="Online"/>
    <x v="9"/>
    <x v="1"/>
    <n v="220000"/>
    <n v="3"/>
    <x v="2"/>
    <n v="176000"/>
    <n v="660000"/>
    <n v="528000"/>
    <n v="132000"/>
  </r>
  <r>
    <s v="ID_1736"/>
    <d v="2025-04-13T00:00:00"/>
    <x v="1"/>
    <x v="2"/>
    <x v="0"/>
    <s v="Corporate"/>
    <s v="Online"/>
    <x v="5"/>
    <x v="0"/>
    <n v="320000"/>
    <n v="5"/>
    <x v="1"/>
    <n v="256000"/>
    <n v="1600000"/>
    <n v="1280000"/>
    <n v="320000"/>
  </r>
  <r>
    <s v="ID_1817"/>
    <d v="2025-02-13T00:00:00"/>
    <x v="2"/>
    <x v="1"/>
    <x v="2"/>
    <s v="Retail"/>
    <s v="Store"/>
    <x v="0"/>
    <x v="0"/>
    <n v="85000"/>
    <n v="8"/>
    <x v="0"/>
    <n v="68000"/>
    <n v="680000"/>
    <n v="544000"/>
    <n v="136000"/>
  </r>
  <r>
    <s v="ID_582"/>
    <d v="2025-02-13T00:00:00"/>
    <x v="2"/>
    <x v="1"/>
    <x v="3"/>
    <s v="Corporate"/>
    <s v="Store"/>
    <x v="6"/>
    <x v="2"/>
    <n v="150000"/>
    <n v="9"/>
    <x v="5"/>
    <n v="120000"/>
    <n v="1350000"/>
    <n v="1080000"/>
    <n v="270000"/>
  </r>
  <r>
    <s v="ID_2090"/>
    <d v="2025-02-12T00:00:00"/>
    <x v="2"/>
    <x v="0"/>
    <x v="0"/>
    <s v="Corporate"/>
    <s v="Online"/>
    <x v="8"/>
    <x v="2"/>
    <n v="250000"/>
    <n v="4"/>
    <x v="3"/>
    <n v="200000"/>
    <n v="1000000"/>
    <n v="800000"/>
    <n v="200000"/>
  </r>
  <r>
    <s v="ID_160"/>
    <d v="2025-02-08T00:00:00"/>
    <x v="2"/>
    <x v="3"/>
    <x v="1"/>
    <s v="Retail"/>
    <s v="Store"/>
    <x v="9"/>
    <x v="1"/>
    <n v="220000"/>
    <n v="4"/>
    <x v="3"/>
    <n v="176000"/>
    <n v="880000"/>
    <n v="704000"/>
    <n v="176000"/>
  </r>
  <r>
    <s v="ID_873"/>
    <d v="2025-04-02T00:00:00"/>
    <x v="1"/>
    <x v="3"/>
    <x v="0"/>
    <s v="Corporate"/>
    <s v="Store"/>
    <x v="0"/>
    <x v="0"/>
    <n v="85000"/>
    <n v="2"/>
    <x v="0"/>
    <n v="68000"/>
    <n v="170000"/>
    <n v="136000"/>
    <n v="34000"/>
  </r>
  <r>
    <s v="ID_1506"/>
    <d v="2025-02-02T00:00:00"/>
    <x v="2"/>
    <x v="1"/>
    <x v="0"/>
    <s v="Retail"/>
    <s v="Online"/>
    <x v="8"/>
    <x v="2"/>
    <n v="250000"/>
    <n v="3"/>
    <x v="3"/>
    <n v="200000"/>
    <n v="750000"/>
    <n v="600000"/>
    <n v="150000"/>
  </r>
  <r>
    <s v="ID_961"/>
    <d v="2025-01-12T00:00:00"/>
    <x v="0"/>
    <x v="3"/>
    <x v="2"/>
    <s v="Corporate"/>
    <s v="Online"/>
    <x v="6"/>
    <x v="2"/>
    <n v="150000"/>
    <n v="4"/>
    <x v="3"/>
    <n v="120000"/>
    <n v="600000"/>
    <n v="480000"/>
    <n v="120000"/>
  </r>
  <r>
    <s v="ID_47"/>
    <d v="2025-02-15T00:00:00"/>
    <x v="2"/>
    <x v="3"/>
    <x v="0"/>
    <s v="Retail"/>
    <s v="Online"/>
    <x v="0"/>
    <x v="0"/>
    <n v="85000"/>
    <n v="2"/>
    <x v="0"/>
    <n v="68000"/>
    <n v="170000"/>
    <n v="136000"/>
    <n v="34000"/>
  </r>
  <r>
    <s v="ID_1173"/>
    <d v="2025-01-17T00:00:00"/>
    <x v="0"/>
    <x v="0"/>
    <x v="2"/>
    <s v="Corporate"/>
    <s v="Store"/>
    <x v="6"/>
    <x v="2"/>
    <n v="150000"/>
    <n v="4"/>
    <x v="2"/>
    <n v="120000"/>
    <n v="600000"/>
    <n v="480000"/>
    <n v="120000"/>
  </r>
  <r>
    <s v="ID_774"/>
    <d v="2025-02-13T00:00:00"/>
    <x v="2"/>
    <x v="3"/>
    <x v="0"/>
    <s v="Retail"/>
    <s v="Online"/>
    <x v="6"/>
    <x v="2"/>
    <n v="150000"/>
    <n v="3"/>
    <x v="1"/>
    <n v="120000"/>
    <n v="450000"/>
    <n v="360000"/>
    <n v="90000"/>
  </r>
  <r>
    <s v="ID_513"/>
    <d v="2025-01-29T00:00:00"/>
    <x v="0"/>
    <x v="3"/>
    <x v="0"/>
    <s v="Corporate"/>
    <s v="Online"/>
    <x v="1"/>
    <x v="1"/>
    <n v="30000"/>
    <n v="3"/>
    <x v="1"/>
    <n v="24000"/>
    <n v="90000"/>
    <n v="72000"/>
    <n v="18000"/>
  </r>
  <r>
    <s v="ID_1339"/>
    <d v="2025-04-25T00:00:00"/>
    <x v="1"/>
    <x v="3"/>
    <x v="1"/>
    <s v="Corporate"/>
    <s v="Store"/>
    <x v="5"/>
    <x v="0"/>
    <n v="320000"/>
    <n v="5"/>
    <x v="5"/>
    <n v="256000"/>
    <n v="1600000"/>
    <n v="1280000"/>
    <n v="320000"/>
  </r>
  <r>
    <s v="ID_2090"/>
    <d v="2025-04-25T00:00:00"/>
    <x v="1"/>
    <x v="1"/>
    <x v="3"/>
    <s v="Corporate"/>
    <s v="Online"/>
    <x v="8"/>
    <x v="2"/>
    <n v="250000"/>
    <n v="3"/>
    <x v="0"/>
    <n v="200000"/>
    <n v="750000"/>
    <n v="600000"/>
    <n v="150000"/>
  </r>
  <r>
    <s v="ID_1971"/>
    <d v="2025-02-26T00:00:00"/>
    <x v="2"/>
    <x v="1"/>
    <x v="2"/>
    <s v="Corporate"/>
    <s v="Store"/>
    <x v="2"/>
    <x v="1"/>
    <n v="60000"/>
    <n v="10"/>
    <x v="5"/>
    <n v="48000"/>
    <n v="600000"/>
    <n v="480000"/>
    <n v="120000"/>
  </r>
  <r>
    <s v="ID_1762"/>
    <d v="2025-02-26T00:00:00"/>
    <x v="2"/>
    <x v="3"/>
    <x v="0"/>
    <s v="Retail"/>
    <s v="Store"/>
    <x v="2"/>
    <x v="1"/>
    <n v="60000"/>
    <n v="3"/>
    <x v="4"/>
    <n v="48000"/>
    <n v="180000"/>
    <n v="144000"/>
    <n v="36000"/>
  </r>
  <r>
    <s v="ID_514"/>
    <d v="2025-02-20T00:00:00"/>
    <x v="2"/>
    <x v="1"/>
    <x v="1"/>
    <s v="Corporate"/>
    <s v="Store"/>
    <x v="0"/>
    <x v="0"/>
    <n v="85000"/>
    <n v="9"/>
    <x v="3"/>
    <n v="68000"/>
    <n v="765000"/>
    <n v="612000"/>
    <n v="153000"/>
  </r>
  <r>
    <s v="ID_285"/>
    <d v="2025-03-21T00:00:00"/>
    <x v="3"/>
    <x v="1"/>
    <x v="3"/>
    <s v="Corporate"/>
    <s v="Store"/>
    <x v="7"/>
    <x v="2"/>
    <n v="420000"/>
    <n v="4"/>
    <x v="3"/>
    <n v="336000"/>
    <n v="1680000"/>
    <n v="1344000"/>
    <n v="336000"/>
  </r>
  <r>
    <s v="ID_1618"/>
    <d v="2025-01-01T00:00:00"/>
    <x v="0"/>
    <x v="3"/>
    <x v="2"/>
    <s v="Corporate"/>
    <s v="Online"/>
    <x v="6"/>
    <x v="2"/>
    <n v="150000"/>
    <n v="6"/>
    <x v="4"/>
    <n v="120000"/>
    <n v="900000"/>
    <n v="720000"/>
    <n v="180000"/>
  </r>
  <r>
    <s v="ID_294"/>
    <d v="2025-04-22T00:00:00"/>
    <x v="1"/>
    <x v="3"/>
    <x v="2"/>
    <s v="Corporate"/>
    <s v="Online"/>
    <x v="5"/>
    <x v="0"/>
    <n v="320000"/>
    <n v="3"/>
    <x v="3"/>
    <n v="256000"/>
    <n v="960000"/>
    <n v="768000"/>
    <n v="192000"/>
  </r>
  <r>
    <s v="ID_756"/>
    <d v="2025-03-31T00:00:00"/>
    <x v="3"/>
    <x v="2"/>
    <x v="3"/>
    <s v="Retail"/>
    <s v="Store"/>
    <x v="3"/>
    <x v="2"/>
    <n v="300000"/>
    <n v="2"/>
    <x v="0"/>
    <n v="240000"/>
    <n v="600000"/>
    <n v="480000"/>
    <n v="120000"/>
  </r>
  <r>
    <s v="ID_1239"/>
    <d v="2025-01-26T00:00:00"/>
    <x v="0"/>
    <x v="1"/>
    <x v="2"/>
    <s v="Corporate"/>
    <s v="Online"/>
    <x v="6"/>
    <x v="2"/>
    <n v="150000"/>
    <n v="10"/>
    <x v="4"/>
    <n v="120000"/>
    <n v="1500000"/>
    <n v="1200000"/>
    <n v="300000"/>
  </r>
  <r>
    <s v="ID_1400"/>
    <d v="2025-02-17T00:00:00"/>
    <x v="2"/>
    <x v="1"/>
    <x v="3"/>
    <s v="Retail"/>
    <s v="Store"/>
    <x v="7"/>
    <x v="2"/>
    <n v="420000"/>
    <n v="10"/>
    <x v="2"/>
    <n v="336000"/>
    <n v="4200000"/>
    <n v="3360000"/>
    <n v="840000"/>
  </r>
  <r>
    <s v="ID_1581"/>
    <d v="2025-03-08T00:00:00"/>
    <x v="3"/>
    <x v="3"/>
    <x v="3"/>
    <s v="Corporate"/>
    <s v="Store"/>
    <x v="4"/>
    <x v="1"/>
    <n v="180000"/>
    <n v="5"/>
    <x v="4"/>
    <n v="144000"/>
    <n v="900000"/>
    <n v="720000"/>
    <n v="180000"/>
  </r>
  <r>
    <s v="ID_25"/>
    <d v="2025-01-29T00:00:00"/>
    <x v="0"/>
    <x v="1"/>
    <x v="3"/>
    <s v="Corporate"/>
    <s v="Store"/>
    <x v="8"/>
    <x v="2"/>
    <n v="250000"/>
    <n v="7"/>
    <x v="2"/>
    <n v="200000"/>
    <n v="1750000"/>
    <n v="1400000"/>
    <n v="350000"/>
  </r>
  <r>
    <s v="ID_224"/>
    <d v="2025-04-17T00:00:00"/>
    <x v="1"/>
    <x v="0"/>
    <x v="1"/>
    <s v="Retail"/>
    <s v="Store"/>
    <x v="5"/>
    <x v="0"/>
    <n v="320000"/>
    <n v="4"/>
    <x v="1"/>
    <n v="256000"/>
    <n v="1280000"/>
    <n v="1024000"/>
    <n v="256000"/>
  </r>
  <r>
    <s v="ID_275"/>
    <d v="2025-01-08T00:00:00"/>
    <x v="0"/>
    <x v="1"/>
    <x v="1"/>
    <s v="Retail"/>
    <s v="Online"/>
    <x v="1"/>
    <x v="1"/>
    <n v="30000"/>
    <n v="2"/>
    <x v="0"/>
    <n v="24000"/>
    <n v="60000"/>
    <n v="48000"/>
    <n v="12000"/>
  </r>
  <r>
    <s v="ID_1049"/>
    <d v="2025-01-20T00:00:00"/>
    <x v="0"/>
    <x v="3"/>
    <x v="3"/>
    <s v="Retail"/>
    <s v="Online"/>
    <x v="6"/>
    <x v="2"/>
    <n v="150000"/>
    <n v="4"/>
    <x v="0"/>
    <n v="120000"/>
    <n v="600000"/>
    <n v="480000"/>
    <n v="120000"/>
  </r>
  <r>
    <s v="ID_1800"/>
    <d v="2025-04-14T00:00:00"/>
    <x v="1"/>
    <x v="3"/>
    <x v="2"/>
    <s v="Corporate"/>
    <s v="Store"/>
    <x v="2"/>
    <x v="1"/>
    <n v="60000"/>
    <n v="4"/>
    <x v="2"/>
    <n v="48000"/>
    <n v="240000"/>
    <n v="192000"/>
    <n v="48000"/>
  </r>
  <r>
    <s v="ID_408"/>
    <d v="2025-01-04T00:00:00"/>
    <x v="0"/>
    <x v="1"/>
    <x v="3"/>
    <s v="Retail"/>
    <s v="Store"/>
    <x v="5"/>
    <x v="0"/>
    <n v="320000"/>
    <n v="4"/>
    <x v="4"/>
    <n v="256000"/>
    <n v="1280000"/>
    <n v="1024000"/>
    <n v="256000"/>
  </r>
  <r>
    <s v="ID_1103"/>
    <d v="2025-04-17T00:00:00"/>
    <x v="1"/>
    <x v="3"/>
    <x v="1"/>
    <s v="Retail"/>
    <s v="Online"/>
    <x v="2"/>
    <x v="1"/>
    <n v="60000"/>
    <n v="2"/>
    <x v="1"/>
    <n v="48000"/>
    <n v="120000"/>
    <n v="96000"/>
    <n v="24000"/>
  </r>
  <r>
    <s v="ID_1469"/>
    <d v="2025-04-25T00:00:00"/>
    <x v="1"/>
    <x v="0"/>
    <x v="0"/>
    <s v="Corporate"/>
    <s v="Online"/>
    <x v="1"/>
    <x v="1"/>
    <n v="30000"/>
    <n v="7"/>
    <x v="3"/>
    <n v="24000"/>
    <n v="210000"/>
    <n v="168000"/>
    <n v="42000"/>
  </r>
  <r>
    <s v="ID_1376"/>
    <d v="2025-01-22T00:00:00"/>
    <x v="0"/>
    <x v="1"/>
    <x v="0"/>
    <s v="Retail"/>
    <s v="Store"/>
    <x v="8"/>
    <x v="2"/>
    <n v="250000"/>
    <n v="6"/>
    <x v="3"/>
    <n v="200000"/>
    <n v="1500000"/>
    <n v="1200000"/>
    <n v="300000"/>
  </r>
  <r>
    <s v="ID_1384"/>
    <d v="2025-03-01T00:00:00"/>
    <x v="3"/>
    <x v="3"/>
    <x v="2"/>
    <s v="Retail"/>
    <s v="Online"/>
    <x v="9"/>
    <x v="1"/>
    <n v="220000"/>
    <n v="9"/>
    <x v="0"/>
    <n v="176000"/>
    <n v="1980000"/>
    <n v="1584000"/>
    <n v="396000"/>
  </r>
  <r>
    <s v="ID_1798"/>
    <d v="2025-01-31T00:00:00"/>
    <x v="0"/>
    <x v="1"/>
    <x v="2"/>
    <s v="Corporate"/>
    <s v="Online"/>
    <x v="3"/>
    <x v="2"/>
    <n v="300000"/>
    <n v="2"/>
    <x v="1"/>
    <n v="240000"/>
    <n v="600000"/>
    <n v="480000"/>
    <n v="120000"/>
  </r>
  <r>
    <s v="ID_868"/>
    <d v="2025-03-14T00:00:00"/>
    <x v="3"/>
    <x v="0"/>
    <x v="2"/>
    <s v="Retail"/>
    <s v="Store"/>
    <x v="7"/>
    <x v="2"/>
    <n v="420000"/>
    <n v="2"/>
    <x v="1"/>
    <n v="336000"/>
    <n v="840000"/>
    <n v="672000"/>
    <n v="168000"/>
  </r>
  <r>
    <s v="ID_349"/>
    <d v="2025-03-03T00:00:00"/>
    <x v="3"/>
    <x v="2"/>
    <x v="1"/>
    <s v="Retail"/>
    <s v="Store"/>
    <x v="9"/>
    <x v="1"/>
    <n v="220000"/>
    <n v="3"/>
    <x v="3"/>
    <n v="176000"/>
    <n v="660000"/>
    <n v="528000"/>
    <n v="132000"/>
  </r>
  <r>
    <s v="ID_62"/>
    <d v="2025-03-26T00:00:00"/>
    <x v="3"/>
    <x v="2"/>
    <x v="0"/>
    <s v="Corporate"/>
    <s v="Online"/>
    <x v="9"/>
    <x v="1"/>
    <n v="220000"/>
    <n v="10"/>
    <x v="3"/>
    <n v="176000"/>
    <n v="2200000"/>
    <n v="1760000"/>
    <n v="440000"/>
  </r>
  <r>
    <s v="ID_1835"/>
    <d v="2025-02-03T00:00:00"/>
    <x v="2"/>
    <x v="2"/>
    <x v="3"/>
    <s v="Corporate"/>
    <s v="Store"/>
    <x v="8"/>
    <x v="2"/>
    <n v="250000"/>
    <n v="8"/>
    <x v="0"/>
    <n v="200000"/>
    <n v="2000000"/>
    <n v="1600000"/>
    <n v="400000"/>
  </r>
  <r>
    <s v="ID_1620"/>
    <d v="2025-02-20T00:00:00"/>
    <x v="2"/>
    <x v="1"/>
    <x v="3"/>
    <s v="Retail"/>
    <s v="Online"/>
    <x v="2"/>
    <x v="1"/>
    <n v="60000"/>
    <n v="6"/>
    <x v="2"/>
    <n v="48000"/>
    <n v="360000"/>
    <n v="288000"/>
    <n v="72000"/>
  </r>
  <r>
    <s v="ID_1784"/>
    <d v="2025-02-24T00:00:00"/>
    <x v="2"/>
    <x v="1"/>
    <x v="1"/>
    <s v="Retail"/>
    <s v="Online"/>
    <x v="5"/>
    <x v="0"/>
    <n v="320000"/>
    <n v="4"/>
    <x v="5"/>
    <n v="256000"/>
    <n v="1280000"/>
    <n v="1024000"/>
    <n v="256000"/>
  </r>
  <r>
    <s v="ID_1743"/>
    <d v="2025-01-20T00:00:00"/>
    <x v="0"/>
    <x v="1"/>
    <x v="0"/>
    <s v="Retail"/>
    <s v="Store"/>
    <x v="4"/>
    <x v="1"/>
    <n v="180000"/>
    <n v="7"/>
    <x v="5"/>
    <n v="144000"/>
    <n v="1260000"/>
    <n v="1008000"/>
    <n v="252000"/>
  </r>
  <r>
    <s v="ID_18"/>
    <d v="2025-01-25T00:00:00"/>
    <x v="0"/>
    <x v="1"/>
    <x v="0"/>
    <s v="Retail"/>
    <s v="Online"/>
    <x v="2"/>
    <x v="1"/>
    <n v="60000"/>
    <n v="7"/>
    <x v="0"/>
    <n v="48000"/>
    <n v="420000"/>
    <n v="336000"/>
    <n v="84000"/>
  </r>
  <r>
    <s v="ID_358"/>
    <d v="2025-01-25T00:00:00"/>
    <x v="0"/>
    <x v="2"/>
    <x v="3"/>
    <s v="Retail"/>
    <s v="Online"/>
    <x v="4"/>
    <x v="1"/>
    <n v="180000"/>
    <n v="9"/>
    <x v="1"/>
    <n v="144000"/>
    <n v="1620000"/>
    <n v="1296000"/>
    <n v="324000"/>
  </r>
  <r>
    <s v="ID_1533"/>
    <d v="2025-01-28T00:00:00"/>
    <x v="0"/>
    <x v="3"/>
    <x v="0"/>
    <s v="Corporate"/>
    <s v="Online"/>
    <x v="1"/>
    <x v="1"/>
    <n v="30000"/>
    <n v="6"/>
    <x v="1"/>
    <n v="24000"/>
    <n v="180000"/>
    <n v="144000"/>
    <n v="36000"/>
  </r>
  <r>
    <s v="ID_621"/>
    <d v="2025-01-13T00:00:00"/>
    <x v="0"/>
    <x v="2"/>
    <x v="1"/>
    <s v="Retail"/>
    <s v="Online"/>
    <x v="3"/>
    <x v="2"/>
    <n v="300000"/>
    <n v="10"/>
    <x v="4"/>
    <n v="240000"/>
    <n v="3000000"/>
    <n v="2400000"/>
    <n v="600000"/>
  </r>
  <r>
    <s v="ID_536"/>
    <d v="2025-01-13T00:00:00"/>
    <x v="0"/>
    <x v="2"/>
    <x v="3"/>
    <s v="Corporate"/>
    <s v="Online"/>
    <x v="1"/>
    <x v="1"/>
    <n v="30000"/>
    <n v="2"/>
    <x v="2"/>
    <n v="24000"/>
    <n v="60000"/>
    <n v="48000"/>
    <n v="12000"/>
  </r>
  <r>
    <s v="ID_1440"/>
    <d v="2025-03-07T00:00:00"/>
    <x v="3"/>
    <x v="1"/>
    <x v="2"/>
    <s v="Corporate"/>
    <s v="Online"/>
    <x v="1"/>
    <x v="1"/>
    <n v="30000"/>
    <n v="8"/>
    <x v="5"/>
    <n v="24000"/>
    <n v="240000"/>
    <n v="192000"/>
    <n v="48000"/>
  </r>
  <r>
    <s v="ID_189"/>
    <d v="2025-01-02T00:00:00"/>
    <x v="0"/>
    <x v="2"/>
    <x v="2"/>
    <s v="Corporate"/>
    <s v="Store"/>
    <x v="1"/>
    <x v="1"/>
    <n v="30000"/>
    <n v="9"/>
    <x v="2"/>
    <n v="24000"/>
    <n v="270000"/>
    <n v="216000"/>
    <n v="54000"/>
  </r>
  <r>
    <s v="ID_1429"/>
    <d v="2025-03-28T00:00:00"/>
    <x v="3"/>
    <x v="3"/>
    <x v="0"/>
    <s v="Retail"/>
    <s v="Store"/>
    <x v="9"/>
    <x v="1"/>
    <n v="220000"/>
    <n v="2"/>
    <x v="5"/>
    <n v="176000"/>
    <n v="440000"/>
    <n v="352000"/>
    <n v="88000"/>
  </r>
  <r>
    <s v="ID_1028"/>
    <d v="2025-02-01T00:00:00"/>
    <x v="2"/>
    <x v="2"/>
    <x v="2"/>
    <s v="Retail"/>
    <s v="Store"/>
    <x v="9"/>
    <x v="1"/>
    <n v="220000"/>
    <n v="3"/>
    <x v="5"/>
    <n v="176000"/>
    <n v="660000"/>
    <n v="528000"/>
    <n v="132000"/>
  </r>
  <r>
    <s v="ID_612"/>
    <d v="2025-04-25T00:00:00"/>
    <x v="1"/>
    <x v="2"/>
    <x v="3"/>
    <s v="Retail"/>
    <s v="Store"/>
    <x v="0"/>
    <x v="0"/>
    <n v="85000"/>
    <n v="3"/>
    <x v="1"/>
    <n v="68000"/>
    <n v="255000"/>
    <n v="204000"/>
    <n v="51000"/>
  </r>
  <r>
    <s v="ID_855"/>
    <d v="2025-02-05T00:00:00"/>
    <x v="2"/>
    <x v="0"/>
    <x v="1"/>
    <s v="Corporate"/>
    <s v="Online"/>
    <x v="2"/>
    <x v="1"/>
    <n v="60000"/>
    <n v="3"/>
    <x v="3"/>
    <n v="48000"/>
    <n v="180000"/>
    <n v="144000"/>
    <n v="36000"/>
  </r>
  <r>
    <s v="ID_2055"/>
    <d v="2025-04-25T00:00:00"/>
    <x v="1"/>
    <x v="0"/>
    <x v="2"/>
    <s v="Corporate"/>
    <s v="Store"/>
    <x v="9"/>
    <x v="1"/>
    <n v="220000"/>
    <n v="3"/>
    <x v="5"/>
    <n v="176000"/>
    <n v="660000"/>
    <n v="528000"/>
    <n v="132000"/>
  </r>
  <r>
    <s v="ID_1354"/>
    <d v="2025-03-12T00:00:00"/>
    <x v="3"/>
    <x v="0"/>
    <x v="0"/>
    <s v="Retail"/>
    <s v="Store"/>
    <x v="1"/>
    <x v="1"/>
    <n v="30000"/>
    <n v="1"/>
    <x v="0"/>
    <n v="24000"/>
    <n v="30000"/>
    <n v="24000"/>
    <n v="6000"/>
  </r>
  <r>
    <s v="ID_1150"/>
    <d v="2025-02-04T00:00:00"/>
    <x v="2"/>
    <x v="1"/>
    <x v="3"/>
    <s v="Corporate"/>
    <s v="Store"/>
    <x v="7"/>
    <x v="2"/>
    <n v="420000"/>
    <n v="1"/>
    <x v="5"/>
    <n v="336000"/>
    <n v="420000"/>
    <n v="336000"/>
    <n v="84000"/>
  </r>
  <r>
    <s v="ID_975"/>
    <d v="2025-02-22T00:00:00"/>
    <x v="2"/>
    <x v="0"/>
    <x v="1"/>
    <s v="Retail"/>
    <s v="Store"/>
    <x v="9"/>
    <x v="1"/>
    <n v="220000"/>
    <n v="10"/>
    <x v="1"/>
    <n v="176000"/>
    <n v="2200000"/>
    <n v="1760000"/>
    <n v="440000"/>
  </r>
  <r>
    <s v="ID_651"/>
    <d v="2025-04-10T00:00:00"/>
    <x v="1"/>
    <x v="2"/>
    <x v="2"/>
    <s v="Corporate"/>
    <s v="Store"/>
    <x v="4"/>
    <x v="1"/>
    <n v="180000"/>
    <n v="10"/>
    <x v="5"/>
    <n v="144000"/>
    <n v="1800000"/>
    <n v="1440000"/>
    <n v="360000"/>
  </r>
  <r>
    <s v="ID_1626"/>
    <d v="2025-04-15T00:00:00"/>
    <x v="1"/>
    <x v="2"/>
    <x v="0"/>
    <s v="Retail"/>
    <s v="Online"/>
    <x v="7"/>
    <x v="2"/>
    <n v="420000"/>
    <n v="3"/>
    <x v="4"/>
    <n v="336000"/>
    <n v="1260000"/>
    <n v="1008000"/>
    <n v="252000"/>
  </r>
  <r>
    <s v="ID_1598"/>
    <d v="2025-01-03T00:00:00"/>
    <x v="0"/>
    <x v="0"/>
    <x v="3"/>
    <s v="Corporate"/>
    <s v="Online"/>
    <x v="0"/>
    <x v="0"/>
    <n v="85000"/>
    <n v="4"/>
    <x v="2"/>
    <n v="68000"/>
    <n v="340000"/>
    <n v="272000"/>
    <n v="68000"/>
  </r>
  <r>
    <s v="ID_110"/>
    <d v="2025-04-09T00:00:00"/>
    <x v="1"/>
    <x v="2"/>
    <x v="2"/>
    <s v="Corporate"/>
    <s v="Online"/>
    <x v="5"/>
    <x v="0"/>
    <n v="320000"/>
    <n v="4"/>
    <x v="3"/>
    <n v="256000"/>
    <n v="1280000"/>
    <n v="1024000"/>
    <n v="256000"/>
  </r>
  <r>
    <s v="ID_668"/>
    <d v="2025-01-08T00:00:00"/>
    <x v="0"/>
    <x v="0"/>
    <x v="3"/>
    <s v="Retail"/>
    <s v="Store"/>
    <x v="9"/>
    <x v="1"/>
    <n v="220000"/>
    <n v="1"/>
    <x v="4"/>
    <n v="176000"/>
    <n v="220000"/>
    <n v="176000"/>
    <n v="44000"/>
  </r>
  <r>
    <s v="ID_89"/>
    <d v="2025-04-01T00:00:00"/>
    <x v="1"/>
    <x v="2"/>
    <x v="1"/>
    <s v="Corporate"/>
    <s v="Store"/>
    <x v="0"/>
    <x v="0"/>
    <n v="85000"/>
    <n v="1"/>
    <x v="1"/>
    <n v="68000"/>
    <n v="85000"/>
    <n v="68000"/>
    <n v="17000"/>
  </r>
  <r>
    <s v="ID_563"/>
    <d v="2025-01-10T00:00:00"/>
    <x v="0"/>
    <x v="0"/>
    <x v="3"/>
    <s v="Retail"/>
    <s v="Online"/>
    <x v="6"/>
    <x v="2"/>
    <n v="150000"/>
    <n v="8"/>
    <x v="5"/>
    <n v="120000"/>
    <n v="1200000"/>
    <n v="960000"/>
    <n v="240000"/>
  </r>
  <r>
    <s v="ID_567"/>
    <d v="2025-01-11T00:00:00"/>
    <x v="0"/>
    <x v="3"/>
    <x v="1"/>
    <s v="Corporate"/>
    <s v="Online"/>
    <x v="6"/>
    <x v="2"/>
    <n v="150000"/>
    <n v="9"/>
    <x v="0"/>
    <n v="120000"/>
    <n v="1350000"/>
    <n v="1080000"/>
    <n v="270000"/>
  </r>
  <r>
    <s v="ID_618"/>
    <d v="2025-04-26T00:00:00"/>
    <x v="1"/>
    <x v="0"/>
    <x v="1"/>
    <s v="Corporate"/>
    <s v="Online"/>
    <x v="3"/>
    <x v="2"/>
    <n v="300000"/>
    <n v="3"/>
    <x v="0"/>
    <n v="240000"/>
    <n v="900000"/>
    <n v="720000"/>
    <n v="180000"/>
  </r>
  <r>
    <s v="ID_305"/>
    <d v="2025-04-03T00:00:00"/>
    <x v="1"/>
    <x v="3"/>
    <x v="3"/>
    <s v="Corporate"/>
    <s v="Online"/>
    <x v="6"/>
    <x v="2"/>
    <n v="150000"/>
    <n v="10"/>
    <x v="3"/>
    <n v="120000"/>
    <n v="1500000"/>
    <n v="1200000"/>
    <n v="300000"/>
  </r>
  <r>
    <s v="ID_1370"/>
    <d v="2025-04-25T00:00:00"/>
    <x v="1"/>
    <x v="0"/>
    <x v="3"/>
    <s v="Retail"/>
    <s v="Store"/>
    <x v="0"/>
    <x v="0"/>
    <n v="85000"/>
    <n v="2"/>
    <x v="3"/>
    <n v="68000"/>
    <n v="170000"/>
    <n v="136000"/>
    <n v="34000"/>
  </r>
  <r>
    <s v="ID_1676"/>
    <d v="2025-01-09T00:00:00"/>
    <x v="0"/>
    <x v="1"/>
    <x v="0"/>
    <s v="Corporate"/>
    <s v="Store"/>
    <x v="7"/>
    <x v="2"/>
    <n v="420000"/>
    <n v="9"/>
    <x v="1"/>
    <n v="336000"/>
    <n v="3780000"/>
    <n v="3024000"/>
    <n v="756000"/>
  </r>
  <r>
    <s v="ID_2082"/>
    <d v="2025-01-09T00:00:00"/>
    <x v="0"/>
    <x v="0"/>
    <x v="1"/>
    <s v="Corporate"/>
    <s v="Online"/>
    <x v="3"/>
    <x v="2"/>
    <n v="300000"/>
    <n v="2"/>
    <x v="5"/>
    <n v="240000"/>
    <n v="600000"/>
    <n v="480000"/>
    <n v="120000"/>
  </r>
  <r>
    <s v="ID_1278"/>
    <d v="2025-04-05T00:00:00"/>
    <x v="1"/>
    <x v="1"/>
    <x v="2"/>
    <s v="Corporate"/>
    <s v="Online"/>
    <x v="6"/>
    <x v="2"/>
    <n v="150000"/>
    <n v="4"/>
    <x v="4"/>
    <n v="120000"/>
    <n v="600000"/>
    <n v="480000"/>
    <n v="120000"/>
  </r>
  <r>
    <s v="ID_1047"/>
    <d v="2025-04-11T00:00:00"/>
    <x v="1"/>
    <x v="1"/>
    <x v="1"/>
    <s v="Retail"/>
    <s v="Online"/>
    <x v="7"/>
    <x v="2"/>
    <n v="420000"/>
    <n v="9"/>
    <x v="1"/>
    <n v="336000"/>
    <n v="3780000"/>
    <n v="3024000"/>
    <n v="756000"/>
  </r>
  <r>
    <s v="ID_877"/>
    <d v="2025-01-30T00:00:00"/>
    <x v="0"/>
    <x v="3"/>
    <x v="2"/>
    <s v="Retail"/>
    <s v="Store"/>
    <x v="8"/>
    <x v="2"/>
    <n v="250000"/>
    <n v="5"/>
    <x v="1"/>
    <n v="200000"/>
    <n v="1250000"/>
    <n v="1000000"/>
    <n v="250000"/>
  </r>
  <r>
    <s v="ID_584"/>
    <d v="2025-01-02T00:00:00"/>
    <x v="0"/>
    <x v="3"/>
    <x v="3"/>
    <s v="Corporate"/>
    <s v="Online"/>
    <x v="1"/>
    <x v="1"/>
    <n v="30000"/>
    <n v="10"/>
    <x v="4"/>
    <n v="24000"/>
    <n v="300000"/>
    <n v="240000"/>
    <n v="60000"/>
  </r>
  <r>
    <s v="ID_1223"/>
    <d v="2025-05-01T00:00:00"/>
    <x v="4"/>
    <x v="2"/>
    <x v="2"/>
    <s v="Retail"/>
    <s v="Store"/>
    <x v="7"/>
    <x v="2"/>
    <n v="420000"/>
    <n v="3"/>
    <x v="0"/>
    <n v="336000"/>
    <n v="1260000"/>
    <n v="1008000"/>
    <n v="252000"/>
  </r>
  <r>
    <s v="ID_492"/>
    <d v="2025-02-27T00:00:00"/>
    <x v="2"/>
    <x v="2"/>
    <x v="3"/>
    <s v="Retail"/>
    <s v="Online"/>
    <x v="5"/>
    <x v="0"/>
    <n v="320000"/>
    <n v="8"/>
    <x v="4"/>
    <n v="256000"/>
    <n v="2560000"/>
    <n v="2048000"/>
    <n v="512000"/>
  </r>
  <r>
    <s v="ID_1137"/>
    <d v="2025-02-10T00:00:00"/>
    <x v="2"/>
    <x v="3"/>
    <x v="1"/>
    <s v="Corporate"/>
    <s v="Online"/>
    <x v="7"/>
    <x v="2"/>
    <n v="420000"/>
    <n v="8"/>
    <x v="4"/>
    <n v="336000"/>
    <n v="3360000"/>
    <n v="2688000"/>
    <n v="672000"/>
  </r>
  <r>
    <s v="ID_810"/>
    <d v="2025-01-26T00:00:00"/>
    <x v="0"/>
    <x v="2"/>
    <x v="2"/>
    <s v="Corporate"/>
    <s v="Online"/>
    <x v="6"/>
    <x v="2"/>
    <n v="150000"/>
    <n v="1"/>
    <x v="4"/>
    <n v="120000"/>
    <n v="150000"/>
    <n v="120000"/>
    <n v="30000"/>
  </r>
  <r>
    <s v="ID_1071"/>
    <d v="2025-03-12T00:00:00"/>
    <x v="3"/>
    <x v="2"/>
    <x v="1"/>
    <s v="Retail"/>
    <s v="Online"/>
    <x v="2"/>
    <x v="1"/>
    <n v="60000"/>
    <n v="7"/>
    <x v="3"/>
    <n v="48000"/>
    <n v="420000"/>
    <n v="336000"/>
    <n v="84000"/>
  </r>
  <r>
    <s v="ID_442"/>
    <d v="2025-02-01T00:00:00"/>
    <x v="2"/>
    <x v="2"/>
    <x v="1"/>
    <s v="Retail"/>
    <s v="Store"/>
    <x v="7"/>
    <x v="2"/>
    <n v="420000"/>
    <n v="9"/>
    <x v="4"/>
    <n v="336000"/>
    <n v="3780000"/>
    <n v="3024000"/>
    <n v="756000"/>
  </r>
  <r>
    <s v="ID_627"/>
    <d v="2025-03-29T00:00:00"/>
    <x v="3"/>
    <x v="1"/>
    <x v="2"/>
    <s v="Corporate"/>
    <s v="Store"/>
    <x v="7"/>
    <x v="2"/>
    <n v="420000"/>
    <n v="6"/>
    <x v="1"/>
    <n v="336000"/>
    <n v="2520000"/>
    <n v="2016000"/>
    <n v="504000"/>
  </r>
  <r>
    <s v="ID_440"/>
    <d v="2025-01-02T00:00:00"/>
    <x v="0"/>
    <x v="1"/>
    <x v="0"/>
    <s v="Retail"/>
    <s v="Online"/>
    <x v="3"/>
    <x v="2"/>
    <n v="300000"/>
    <n v="9"/>
    <x v="4"/>
    <n v="240000"/>
    <n v="2700000"/>
    <n v="2160000"/>
    <n v="540000"/>
  </r>
  <r>
    <s v="ID_2044"/>
    <d v="2025-02-12T00:00:00"/>
    <x v="2"/>
    <x v="3"/>
    <x v="0"/>
    <s v="Corporate"/>
    <s v="Online"/>
    <x v="4"/>
    <x v="1"/>
    <n v="180000"/>
    <n v="5"/>
    <x v="5"/>
    <n v="144000"/>
    <n v="900000"/>
    <n v="720000"/>
    <n v="180000"/>
  </r>
  <r>
    <s v="ID_304"/>
    <d v="2025-01-20T00:00:00"/>
    <x v="0"/>
    <x v="2"/>
    <x v="2"/>
    <s v="Retail"/>
    <s v="Store"/>
    <x v="6"/>
    <x v="2"/>
    <n v="150000"/>
    <n v="5"/>
    <x v="2"/>
    <n v="120000"/>
    <n v="750000"/>
    <n v="600000"/>
    <n v="150000"/>
  </r>
  <r>
    <s v="ID_1607"/>
    <d v="2025-01-30T00:00:00"/>
    <x v="0"/>
    <x v="1"/>
    <x v="0"/>
    <s v="Retail"/>
    <s v="Online"/>
    <x v="0"/>
    <x v="0"/>
    <n v="85000"/>
    <n v="9"/>
    <x v="2"/>
    <n v="68000"/>
    <n v="765000"/>
    <n v="612000"/>
    <n v="153000"/>
  </r>
  <r>
    <s v="ID_591"/>
    <d v="2025-02-01T00:00:00"/>
    <x v="2"/>
    <x v="0"/>
    <x v="3"/>
    <s v="Corporate"/>
    <s v="Online"/>
    <x v="7"/>
    <x v="2"/>
    <n v="420000"/>
    <n v="5"/>
    <x v="5"/>
    <n v="336000"/>
    <n v="2100000"/>
    <n v="1680000"/>
    <n v="420000"/>
  </r>
  <r>
    <s v="ID_856"/>
    <d v="2025-03-20T00:00:00"/>
    <x v="3"/>
    <x v="1"/>
    <x v="1"/>
    <s v="Retail"/>
    <s v="Store"/>
    <x v="5"/>
    <x v="0"/>
    <n v="320000"/>
    <n v="4"/>
    <x v="2"/>
    <n v="256000"/>
    <n v="1280000"/>
    <n v="1024000"/>
    <n v="256000"/>
  </r>
  <r>
    <s v="ID_1941"/>
    <d v="2025-03-25T00:00:00"/>
    <x v="3"/>
    <x v="1"/>
    <x v="1"/>
    <s v="Corporate"/>
    <s v="Online"/>
    <x v="1"/>
    <x v="1"/>
    <n v="30000"/>
    <n v="4"/>
    <x v="2"/>
    <n v="24000"/>
    <n v="120000"/>
    <n v="96000"/>
    <n v="24000"/>
  </r>
  <r>
    <s v="ID_737"/>
    <d v="2025-01-18T00:00:00"/>
    <x v="0"/>
    <x v="2"/>
    <x v="3"/>
    <s v="Corporate"/>
    <s v="Store"/>
    <x v="6"/>
    <x v="2"/>
    <n v="150000"/>
    <n v="3"/>
    <x v="4"/>
    <n v="120000"/>
    <n v="450000"/>
    <n v="360000"/>
    <n v="90000"/>
  </r>
  <r>
    <s v="ID_210"/>
    <d v="2025-02-13T00:00:00"/>
    <x v="2"/>
    <x v="0"/>
    <x v="1"/>
    <s v="Retail"/>
    <s v="Online"/>
    <x v="9"/>
    <x v="1"/>
    <n v="220000"/>
    <n v="7"/>
    <x v="0"/>
    <n v="176000"/>
    <n v="1540000"/>
    <n v="1232000"/>
    <n v="308000"/>
  </r>
  <r>
    <s v="ID_93"/>
    <d v="2025-01-14T00:00:00"/>
    <x v="0"/>
    <x v="1"/>
    <x v="0"/>
    <s v="Retail"/>
    <s v="Store"/>
    <x v="4"/>
    <x v="1"/>
    <n v="180000"/>
    <n v="10"/>
    <x v="3"/>
    <n v="144000"/>
    <n v="1800000"/>
    <n v="1440000"/>
    <n v="360000"/>
  </r>
  <r>
    <s v="ID_1239"/>
    <d v="2025-03-11T00:00:00"/>
    <x v="3"/>
    <x v="0"/>
    <x v="3"/>
    <s v="Corporate"/>
    <s v="Online"/>
    <x v="0"/>
    <x v="0"/>
    <n v="85000"/>
    <n v="7"/>
    <x v="1"/>
    <n v="68000"/>
    <n v="595000"/>
    <n v="476000"/>
    <n v="119000"/>
  </r>
  <r>
    <s v="ID_898"/>
    <d v="2025-02-16T00:00:00"/>
    <x v="2"/>
    <x v="1"/>
    <x v="1"/>
    <s v="Retail"/>
    <s v="Online"/>
    <x v="1"/>
    <x v="1"/>
    <n v="30000"/>
    <n v="3"/>
    <x v="1"/>
    <n v="24000"/>
    <n v="90000"/>
    <n v="72000"/>
    <n v="18000"/>
  </r>
  <r>
    <s v="ID_482"/>
    <d v="2025-01-12T00:00:00"/>
    <x v="0"/>
    <x v="3"/>
    <x v="0"/>
    <s v="Corporate"/>
    <s v="Online"/>
    <x v="5"/>
    <x v="0"/>
    <n v="320000"/>
    <n v="9"/>
    <x v="4"/>
    <n v="256000"/>
    <n v="2880000"/>
    <n v="2304000"/>
    <n v="576000"/>
  </r>
  <r>
    <s v="ID_989"/>
    <d v="2025-02-11T00:00:00"/>
    <x v="2"/>
    <x v="0"/>
    <x v="1"/>
    <s v="Retail"/>
    <s v="Store"/>
    <x v="6"/>
    <x v="2"/>
    <n v="150000"/>
    <n v="2"/>
    <x v="1"/>
    <n v="120000"/>
    <n v="300000"/>
    <n v="240000"/>
    <n v="60000"/>
  </r>
  <r>
    <s v="ID_25"/>
    <d v="2025-02-15T00:00:00"/>
    <x v="2"/>
    <x v="1"/>
    <x v="1"/>
    <s v="Corporate"/>
    <s v="Store"/>
    <x v="4"/>
    <x v="1"/>
    <n v="180000"/>
    <n v="8"/>
    <x v="4"/>
    <n v="144000"/>
    <n v="1440000"/>
    <n v="1152000"/>
    <n v="288000"/>
  </r>
  <r>
    <s v="ID_1579"/>
    <d v="2025-02-08T00:00:00"/>
    <x v="2"/>
    <x v="1"/>
    <x v="1"/>
    <s v="Corporate"/>
    <s v="Store"/>
    <x v="0"/>
    <x v="0"/>
    <n v="85000"/>
    <n v="7"/>
    <x v="0"/>
    <n v="68000"/>
    <n v="595000"/>
    <n v="476000"/>
    <n v="119000"/>
  </r>
  <r>
    <s v="ID_1299"/>
    <d v="2025-04-27T00:00:00"/>
    <x v="1"/>
    <x v="0"/>
    <x v="3"/>
    <s v="Corporate"/>
    <s v="Online"/>
    <x v="4"/>
    <x v="1"/>
    <n v="180000"/>
    <n v="8"/>
    <x v="5"/>
    <n v="144000"/>
    <n v="1440000"/>
    <n v="1152000"/>
    <n v="288000"/>
  </r>
  <r>
    <s v="ID_1920"/>
    <d v="2025-02-26T00:00:00"/>
    <x v="2"/>
    <x v="3"/>
    <x v="0"/>
    <s v="Corporate"/>
    <s v="Online"/>
    <x v="9"/>
    <x v="1"/>
    <n v="220000"/>
    <n v="5"/>
    <x v="5"/>
    <n v="176000"/>
    <n v="1100000"/>
    <n v="880000"/>
    <n v="220000"/>
  </r>
  <r>
    <s v="ID_770"/>
    <d v="2025-02-13T00:00:00"/>
    <x v="2"/>
    <x v="3"/>
    <x v="2"/>
    <s v="Retail"/>
    <s v="Online"/>
    <x v="3"/>
    <x v="2"/>
    <n v="300000"/>
    <n v="5"/>
    <x v="4"/>
    <n v="240000"/>
    <n v="1500000"/>
    <n v="1200000"/>
    <n v="300000"/>
  </r>
  <r>
    <s v="ID_1968"/>
    <d v="2025-04-07T00:00:00"/>
    <x v="1"/>
    <x v="3"/>
    <x v="3"/>
    <s v="Retail"/>
    <s v="Store"/>
    <x v="8"/>
    <x v="2"/>
    <n v="250000"/>
    <n v="7"/>
    <x v="0"/>
    <n v="200000"/>
    <n v="1750000"/>
    <n v="1400000"/>
    <n v="350000"/>
  </r>
  <r>
    <s v="ID_24"/>
    <d v="2025-01-06T00:00:00"/>
    <x v="0"/>
    <x v="0"/>
    <x v="3"/>
    <s v="Corporate"/>
    <s v="Store"/>
    <x v="2"/>
    <x v="1"/>
    <n v="60000"/>
    <n v="7"/>
    <x v="4"/>
    <n v="48000"/>
    <n v="420000"/>
    <n v="336000"/>
    <n v="84000"/>
  </r>
  <r>
    <s v="ID_1084"/>
    <d v="2025-03-27T00:00:00"/>
    <x v="3"/>
    <x v="1"/>
    <x v="0"/>
    <s v="Corporate"/>
    <s v="Online"/>
    <x v="0"/>
    <x v="0"/>
    <n v="85000"/>
    <n v="2"/>
    <x v="3"/>
    <n v="68000"/>
    <n v="170000"/>
    <n v="136000"/>
    <n v="34000"/>
  </r>
  <r>
    <s v="ID_1158"/>
    <d v="2025-01-07T00:00:00"/>
    <x v="0"/>
    <x v="0"/>
    <x v="0"/>
    <s v="Retail"/>
    <s v="Store"/>
    <x v="2"/>
    <x v="1"/>
    <n v="60000"/>
    <n v="2"/>
    <x v="5"/>
    <n v="48000"/>
    <n v="120000"/>
    <n v="96000"/>
    <n v="24000"/>
  </r>
  <r>
    <s v="ID_1673"/>
    <d v="2025-01-10T00:00:00"/>
    <x v="0"/>
    <x v="1"/>
    <x v="3"/>
    <s v="Corporate"/>
    <s v="Online"/>
    <x v="1"/>
    <x v="1"/>
    <n v="30000"/>
    <n v="10"/>
    <x v="5"/>
    <n v="24000"/>
    <n v="300000"/>
    <n v="240000"/>
    <n v="60000"/>
  </r>
  <r>
    <s v="ID_1581"/>
    <d v="2025-03-23T00:00:00"/>
    <x v="3"/>
    <x v="3"/>
    <x v="1"/>
    <s v="Corporate"/>
    <s v="Store"/>
    <x v="7"/>
    <x v="2"/>
    <n v="420000"/>
    <n v="8"/>
    <x v="1"/>
    <n v="336000"/>
    <n v="3360000"/>
    <n v="2688000"/>
    <n v="672000"/>
  </r>
  <r>
    <s v="ID_1209"/>
    <d v="2025-04-03T00:00:00"/>
    <x v="1"/>
    <x v="0"/>
    <x v="1"/>
    <s v="Corporate"/>
    <s v="Online"/>
    <x v="2"/>
    <x v="1"/>
    <n v="60000"/>
    <n v="2"/>
    <x v="4"/>
    <n v="48000"/>
    <n v="120000"/>
    <n v="96000"/>
    <n v="24000"/>
  </r>
  <r>
    <s v="ID_1151"/>
    <d v="2025-03-14T00:00:00"/>
    <x v="3"/>
    <x v="2"/>
    <x v="2"/>
    <s v="Corporate"/>
    <s v="Store"/>
    <x v="0"/>
    <x v="0"/>
    <n v="85000"/>
    <n v="8"/>
    <x v="5"/>
    <n v="68000"/>
    <n v="680000"/>
    <n v="544000"/>
    <n v="136000"/>
  </r>
  <r>
    <s v="ID_2042"/>
    <d v="2025-02-13T00:00:00"/>
    <x v="2"/>
    <x v="0"/>
    <x v="0"/>
    <s v="Retail"/>
    <s v="Store"/>
    <x v="7"/>
    <x v="2"/>
    <n v="420000"/>
    <n v="7"/>
    <x v="3"/>
    <n v="336000"/>
    <n v="2940000"/>
    <n v="2352000"/>
    <n v="588000"/>
  </r>
  <r>
    <s v="ID_1425"/>
    <d v="2025-02-23T00:00:00"/>
    <x v="2"/>
    <x v="1"/>
    <x v="3"/>
    <s v="Retail"/>
    <s v="Store"/>
    <x v="3"/>
    <x v="2"/>
    <n v="300000"/>
    <n v="6"/>
    <x v="5"/>
    <n v="240000"/>
    <n v="1800000"/>
    <n v="1440000"/>
    <n v="360000"/>
  </r>
  <r>
    <s v="ID_543"/>
    <d v="2025-03-20T00:00:00"/>
    <x v="3"/>
    <x v="3"/>
    <x v="0"/>
    <s v="Retail"/>
    <s v="Online"/>
    <x v="7"/>
    <x v="2"/>
    <n v="420000"/>
    <n v="2"/>
    <x v="4"/>
    <n v="336000"/>
    <n v="840000"/>
    <n v="672000"/>
    <n v="168000"/>
  </r>
  <r>
    <s v="ID_257"/>
    <d v="2025-04-06T00:00:00"/>
    <x v="1"/>
    <x v="3"/>
    <x v="0"/>
    <s v="Corporate"/>
    <s v="Online"/>
    <x v="3"/>
    <x v="2"/>
    <n v="300000"/>
    <n v="8"/>
    <x v="3"/>
    <n v="240000"/>
    <n v="2400000"/>
    <n v="1920000"/>
    <n v="480000"/>
  </r>
  <r>
    <s v="ID_1169"/>
    <d v="2025-03-15T00:00:00"/>
    <x v="3"/>
    <x v="3"/>
    <x v="2"/>
    <s v="Retail"/>
    <s v="Online"/>
    <x v="8"/>
    <x v="2"/>
    <n v="250000"/>
    <n v="5"/>
    <x v="3"/>
    <n v="200000"/>
    <n v="1250000"/>
    <n v="1000000"/>
    <n v="250000"/>
  </r>
  <r>
    <s v="ID_2094"/>
    <d v="2025-02-21T00:00:00"/>
    <x v="2"/>
    <x v="1"/>
    <x v="3"/>
    <s v="Corporate"/>
    <s v="Store"/>
    <x v="7"/>
    <x v="2"/>
    <n v="420000"/>
    <n v="5"/>
    <x v="3"/>
    <n v="336000"/>
    <n v="2100000"/>
    <n v="1680000"/>
    <n v="420000"/>
  </r>
  <r>
    <s v="ID_1650"/>
    <d v="2025-02-08T00:00:00"/>
    <x v="2"/>
    <x v="1"/>
    <x v="2"/>
    <s v="Corporate"/>
    <s v="Online"/>
    <x v="7"/>
    <x v="2"/>
    <n v="420000"/>
    <n v="10"/>
    <x v="1"/>
    <n v="336000"/>
    <n v="4200000"/>
    <n v="3360000"/>
    <n v="840000"/>
  </r>
  <r>
    <s v="ID_505"/>
    <d v="2025-04-20T00:00:00"/>
    <x v="1"/>
    <x v="3"/>
    <x v="2"/>
    <s v="Retail"/>
    <s v="Online"/>
    <x v="5"/>
    <x v="0"/>
    <n v="320000"/>
    <n v="1"/>
    <x v="2"/>
    <n v="256000"/>
    <n v="320000"/>
    <n v="256000"/>
    <n v="64000"/>
  </r>
  <r>
    <s v="ID_1712"/>
    <d v="2025-02-26T00:00:00"/>
    <x v="2"/>
    <x v="2"/>
    <x v="3"/>
    <s v="Retail"/>
    <s v="Online"/>
    <x v="5"/>
    <x v="0"/>
    <n v="320000"/>
    <n v="1"/>
    <x v="3"/>
    <n v="256000"/>
    <n v="320000"/>
    <n v="256000"/>
    <n v="64000"/>
  </r>
  <r>
    <s v="ID_434"/>
    <d v="2025-04-30T00:00:00"/>
    <x v="1"/>
    <x v="3"/>
    <x v="2"/>
    <s v="Corporate"/>
    <s v="Store"/>
    <x v="6"/>
    <x v="2"/>
    <n v="150000"/>
    <n v="1"/>
    <x v="5"/>
    <n v="120000"/>
    <n v="150000"/>
    <n v="120000"/>
    <n v="30000"/>
  </r>
  <r>
    <s v="ID_797"/>
    <d v="2025-01-06T00:00:00"/>
    <x v="0"/>
    <x v="1"/>
    <x v="0"/>
    <s v="Corporate"/>
    <s v="Online"/>
    <x v="4"/>
    <x v="1"/>
    <n v="180000"/>
    <n v="10"/>
    <x v="2"/>
    <n v="144000"/>
    <n v="1800000"/>
    <n v="1440000"/>
    <n v="360000"/>
  </r>
  <r>
    <s v="ID_31"/>
    <d v="2025-04-29T00:00:00"/>
    <x v="1"/>
    <x v="3"/>
    <x v="2"/>
    <s v="Retail"/>
    <s v="Store"/>
    <x v="7"/>
    <x v="2"/>
    <n v="420000"/>
    <n v="3"/>
    <x v="1"/>
    <n v="336000"/>
    <n v="1260000"/>
    <n v="1008000"/>
    <n v="252000"/>
  </r>
  <r>
    <s v="ID_1502"/>
    <d v="2025-03-01T00:00:00"/>
    <x v="3"/>
    <x v="3"/>
    <x v="3"/>
    <s v="Retail"/>
    <s v="Online"/>
    <x v="9"/>
    <x v="1"/>
    <n v="220000"/>
    <n v="10"/>
    <x v="5"/>
    <n v="176000"/>
    <n v="2200000"/>
    <n v="1760000"/>
    <n v="440000"/>
  </r>
  <r>
    <s v="ID_1976"/>
    <d v="2025-03-27T00:00:00"/>
    <x v="3"/>
    <x v="1"/>
    <x v="3"/>
    <s v="Corporate"/>
    <s v="Store"/>
    <x v="7"/>
    <x v="2"/>
    <n v="420000"/>
    <n v="9"/>
    <x v="3"/>
    <n v="336000"/>
    <n v="3780000"/>
    <n v="3024000"/>
    <n v="756000"/>
  </r>
  <r>
    <s v="ID_640"/>
    <d v="2025-02-21T00:00:00"/>
    <x v="2"/>
    <x v="0"/>
    <x v="3"/>
    <s v="Retail"/>
    <s v="Store"/>
    <x v="1"/>
    <x v="1"/>
    <n v="30000"/>
    <n v="6"/>
    <x v="5"/>
    <n v="24000"/>
    <n v="180000"/>
    <n v="144000"/>
    <n v="36000"/>
  </r>
  <r>
    <s v="ID_580"/>
    <d v="2025-04-30T00:00:00"/>
    <x v="1"/>
    <x v="3"/>
    <x v="0"/>
    <s v="Retail"/>
    <s v="Store"/>
    <x v="8"/>
    <x v="2"/>
    <n v="250000"/>
    <n v="10"/>
    <x v="1"/>
    <n v="200000"/>
    <n v="2500000"/>
    <n v="2000000"/>
    <n v="500000"/>
  </r>
  <r>
    <s v="ID_952"/>
    <d v="2025-01-08T00:00:00"/>
    <x v="0"/>
    <x v="1"/>
    <x v="2"/>
    <s v="Retail"/>
    <s v="Store"/>
    <x v="0"/>
    <x v="0"/>
    <n v="85000"/>
    <n v="6"/>
    <x v="5"/>
    <n v="68000"/>
    <n v="510000"/>
    <n v="408000"/>
    <n v="102000"/>
  </r>
  <r>
    <s v="ID_1391"/>
    <d v="2025-03-03T00:00:00"/>
    <x v="3"/>
    <x v="3"/>
    <x v="1"/>
    <s v="Corporate"/>
    <s v="Store"/>
    <x v="7"/>
    <x v="2"/>
    <n v="420000"/>
    <n v="3"/>
    <x v="4"/>
    <n v="336000"/>
    <n v="1260000"/>
    <n v="1008000"/>
    <n v="252000"/>
  </r>
  <r>
    <s v="ID_1718"/>
    <d v="2025-02-15T00:00:00"/>
    <x v="2"/>
    <x v="1"/>
    <x v="3"/>
    <s v="Retail"/>
    <s v="Online"/>
    <x v="6"/>
    <x v="2"/>
    <n v="150000"/>
    <n v="8"/>
    <x v="0"/>
    <n v="120000"/>
    <n v="1200000"/>
    <n v="960000"/>
    <n v="240000"/>
  </r>
  <r>
    <s v="ID_48"/>
    <d v="2025-01-07T00:00:00"/>
    <x v="0"/>
    <x v="0"/>
    <x v="1"/>
    <s v="Corporate"/>
    <s v="Online"/>
    <x v="2"/>
    <x v="1"/>
    <n v="60000"/>
    <n v="5"/>
    <x v="3"/>
    <n v="48000"/>
    <n v="300000"/>
    <n v="240000"/>
    <n v="60000"/>
  </r>
  <r>
    <s v="ID_745"/>
    <d v="2025-02-04T00:00:00"/>
    <x v="2"/>
    <x v="0"/>
    <x v="2"/>
    <s v="Corporate"/>
    <s v="Store"/>
    <x v="5"/>
    <x v="0"/>
    <n v="320000"/>
    <n v="9"/>
    <x v="4"/>
    <n v="256000"/>
    <n v="2880000"/>
    <n v="2304000"/>
    <n v="576000"/>
  </r>
  <r>
    <s v="ID_1841"/>
    <d v="2025-01-27T00:00:00"/>
    <x v="0"/>
    <x v="0"/>
    <x v="1"/>
    <s v="Corporate"/>
    <s v="Online"/>
    <x v="7"/>
    <x v="2"/>
    <n v="420000"/>
    <n v="5"/>
    <x v="0"/>
    <n v="336000"/>
    <n v="2100000"/>
    <n v="1680000"/>
    <n v="420000"/>
  </r>
  <r>
    <s v="ID_1814"/>
    <d v="2025-01-03T00:00:00"/>
    <x v="0"/>
    <x v="3"/>
    <x v="1"/>
    <s v="Corporate"/>
    <s v="Online"/>
    <x v="2"/>
    <x v="1"/>
    <n v="60000"/>
    <n v="9"/>
    <x v="2"/>
    <n v="48000"/>
    <n v="540000"/>
    <n v="432000"/>
    <n v="108000"/>
  </r>
  <r>
    <s v="ID_287"/>
    <d v="2025-02-24T00:00:00"/>
    <x v="2"/>
    <x v="2"/>
    <x v="1"/>
    <s v="Retail"/>
    <s v="Online"/>
    <x v="7"/>
    <x v="2"/>
    <n v="420000"/>
    <n v="1"/>
    <x v="5"/>
    <n v="336000"/>
    <n v="420000"/>
    <n v="336000"/>
    <n v="84000"/>
  </r>
  <r>
    <s v="ID_295"/>
    <d v="2025-01-10T00:00:00"/>
    <x v="0"/>
    <x v="1"/>
    <x v="3"/>
    <s v="Retail"/>
    <s v="Online"/>
    <x v="6"/>
    <x v="2"/>
    <n v="150000"/>
    <n v="9"/>
    <x v="4"/>
    <n v="120000"/>
    <n v="1350000"/>
    <n v="1080000"/>
    <n v="270000"/>
  </r>
  <r>
    <s v="ID_792"/>
    <d v="2025-04-27T00:00:00"/>
    <x v="1"/>
    <x v="2"/>
    <x v="3"/>
    <s v="Corporate"/>
    <s v="Store"/>
    <x v="9"/>
    <x v="1"/>
    <n v="220000"/>
    <n v="7"/>
    <x v="0"/>
    <n v="176000"/>
    <n v="1540000"/>
    <n v="1232000"/>
    <n v="308000"/>
  </r>
  <r>
    <s v="ID_636"/>
    <d v="2025-02-06T00:00:00"/>
    <x v="2"/>
    <x v="3"/>
    <x v="0"/>
    <s v="Retail"/>
    <s v="Store"/>
    <x v="5"/>
    <x v="0"/>
    <n v="320000"/>
    <n v="3"/>
    <x v="3"/>
    <n v="256000"/>
    <n v="960000"/>
    <n v="768000"/>
    <n v="192000"/>
  </r>
  <r>
    <s v="ID_1562"/>
    <d v="2025-02-18T00:00:00"/>
    <x v="2"/>
    <x v="2"/>
    <x v="1"/>
    <s v="Corporate"/>
    <s v="Online"/>
    <x v="5"/>
    <x v="0"/>
    <n v="320000"/>
    <n v="8"/>
    <x v="4"/>
    <n v="256000"/>
    <n v="2560000"/>
    <n v="2048000"/>
    <n v="512000"/>
  </r>
  <r>
    <s v="ID_266"/>
    <d v="2025-01-25T00:00:00"/>
    <x v="0"/>
    <x v="2"/>
    <x v="2"/>
    <s v="Corporate"/>
    <s v="Online"/>
    <x v="6"/>
    <x v="2"/>
    <n v="150000"/>
    <n v="3"/>
    <x v="4"/>
    <n v="120000"/>
    <n v="450000"/>
    <n v="360000"/>
    <n v="90000"/>
  </r>
  <r>
    <s v="ID_1777"/>
    <d v="2025-04-01T00:00:00"/>
    <x v="1"/>
    <x v="0"/>
    <x v="3"/>
    <s v="Retail"/>
    <s v="Online"/>
    <x v="8"/>
    <x v="2"/>
    <n v="250000"/>
    <n v="9"/>
    <x v="0"/>
    <n v="200000"/>
    <n v="2250000"/>
    <n v="1800000"/>
    <n v="450000"/>
  </r>
  <r>
    <s v="ID_1642"/>
    <d v="2025-02-17T00:00:00"/>
    <x v="2"/>
    <x v="0"/>
    <x v="1"/>
    <s v="Retail"/>
    <s v="Store"/>
    <x v="7"/>
    <x v="2"/>
    <n v="420000"/>
    <n v="7"/>
    <x v="2"/>
    <n v="336000"/>
    <n v="2940000"/>
    <n v="2352000"/>
    <n v="588000"/>
  </r>
  <r>
    <s v="ID_1091"/>
    <d v="2025-03-13T00:00:00"/>
    <x v="3"/>
    <x v="0"/>
    <x v="0"/>
    <s v="Corporate"/>
    <s v="Store"/>
    <x v="8"/>
    <x v="2"/>
    <n v="250000"/>
    <n v="10"/>
    <x v="1"/>
    <n v="200000"/>
    <n v="2500000"/>
    <n v="2000000"/>
    <n v="500000"/>
  </r>
  <r>
    <s v="ID_1380"/>
    <d v="2025-04-02T00:00:00"/>
    <x v="1"/>
    <x v="1"/>
    <x v="2"/>
    <s v="Retail"/>
    <s v="Online"/>
    <x v="2"/>
    <x v="1"/>
    <n v="60000"/>
    <n v="4"/>
    <x v="1"/>
    <n v="48000"/>
    <n v="240000"/>
    <n v="192000"/>
    <n v="48000"/>
  </r>
  <r>
    <s v="ID_879"/>
    <d v="2025-03-11T00:00:00"/>
    <x v="3"/>
    <x v="3"/>
    <x v="1"/>
    <s v="Retail"/>
    <s v="Online"/>
    <x v="8"/>
    <x v="2"/>
    <n v="250000"/>
    <n v="4"/>
    <x v="0"/>
    <n v="200000"/>
    <n v="1000000"/>
    <n v="800000"/>
    <n v="200000"/>
  </r>
  <r>
    <s v="ID_1294"/>
    <d v="2025-02-10T00:00:00"/>
    <x v="2"/>
    <x v="3"/>
    <x v="0"/>
    <s v="Retail"/>
    <s v="Online"/>
    <x v="3"/>
    <x v="2"/>
    <n v="300000"/>
    <n v="3"/>
    <x v="5"/>
    <n v="240000"/>
    <n v="900000"/>
    <n v="720000"/>
    <n v="180000"/>
  </r>
  <r>
    <s v="ID_1792"/>
    <d v="2025-03-29T00:00:00"/>
    <x v="3"/>
    <x v="2"/>
    <x v="1"/>
    <s v="Corporate"/>
    <s v="Online"/>
    <x v="7"/>
    <x v="2"/>
    <n v="420000"/>
    <n v="9"/>
    <x v="4"/>
    <n v="336000"/>
    <n v="3780000"/>
    <n v="3024000"/>
    <n v="756000"/>
  </r>
  <r>
    <s v="ID_395"/>
    <d v="2025-03-08T00:00:00"/>
    <x v="3"/>
    <x v="2"/>
    <x v="1"/>
    <s v="Corporate"/>
    <s v="Online"/>
    <x v="7"/>
    <x v="2"/>
    <n v="420000"/>
    <n v="7"/>
    <x v="2"/>
    <n v="336000"/>
    <n v="2940000"/>
    <n v="2352000"/>
    <n v="588000"/>
  </r>
  <r>
    <s v="ID_699"/>
    <d v="2025-02-08T00:00:00"/>
    <x v="2"/>
    <x v="1"/>
    <x v="2"/>
    <s v="Retail"/>
    <s v="Online"/>
    <x v="9"/>
    <x v="1"/>
    <n v="220000"/>
    <n v="9"/>
    <x v="5"/>
    <n v="176000"/>
    <n v="1980000"/>
    <n v="1584000"/>
    <n v="396000"/>
  </r>
  <r>
    <s v="ID_394"/>
    <d v="2025-02-11T00:00:00"/>
    <x v="2"/>
    <x v="1"/>
    <x v="3"/>
    <s v="Corporate"/>
    <s v="Online"/>
    <x v="0"/>
    <x v="0"/>
    <n v="85000"/>
    <n v="8"/>
    <x v="2"/>
    <n v="68000"/>
    <n v="680000"/>
    <n v="544000"/>
    <n v="136000"/>
  </r>
  <r>
    <s v="ID_936"/>
    <d v="2025-01-19T00:00:00"/>
    <x v="0"/>
    <x v="2"/>
    <x v="0"/>
    <s v="Corporate"/>
    <s v="Store"/>
    <x v="0"/>
    <x v="0"/>
    <n v="85000"/>
    <n v="5"/>
    <x v="3"/>
    <n v="68000"/>
    <n v="425000"/>
    <n v="340000"/>
    <n v="85000"/>
  </r>
  <r>
    <s v="ID_984"/>
    <d v="2025-04-04T00:00:00"/>
    <x v="1"/>
    <x v="2"/>
    <x v="3"/>
    <s v="Retail"/>
    <s v="Store"/>
    <x v="8"/>
    <x v="2"/>
    <n v="250000"/>
    <n v="6"/>
    <x v="5"/>
    <n v="200000"/>
    <n v="1500000"/>
    <n v="1200000"/>
    <n v="300000"/>
  </r>
  <r>
    <s v="ID_1362"/>
    <d v="2025-04-21T00:00:00"/>
    <x v="1"/>
    <x v="1"/>
    <x v="2"/>
    <s v="Corporate"/>
    <s v="Store"/>
    <x v="1"/>
    <x v="1"/>
    <n v="30000"/>
    <n v="8"/>
    <x v="5"/>
    <n v="24000"/>
    <n v="240000"/>
    <n v="192000"/>
    <n v="48000"/>
  </r>
  <r>
    <s v="ID_417"/>
    <d v="2025-02-21T00:00:00"/>
    <x v="2"/>
    <x v="3"/>
    <x v="0"/>
    <s v="Corporate"/>
    <s v="Online"/>
    <x v="8"/>
    <x v="2"/>
    <n v="250000"/>
    <n v="6"/>
    <x v="4"/>
    <n v="200000"/>
    <n v="1500000"/>
    <n v="1200000"/>
    <n v="300000"/>
  </r>
  <r>
    <s v="ID_1159"/>
    <d v="2025-03-28T00:00:00"/>
    <x v="3"/>
    <x v="2"/>
    <x v="1"/>
    <s v="Corporate"/>
    <s v="Store"/>
    <x v="5"/>
    <x v="0"/>
    <n v="320000"/>
    <n v="10"/>
    <x v="3"/>
    <n v="256000"/>
    <n v="3200000"/>
    <n v="2560000"/>
    <n v="640000"/>
  </r>
  <r>
    <s v="ID_42"/>
    <d v="2025-03-18T00:00:00"/>
    <x v="3"/>
    <x v="1"/>
    <x v="3"/>
    <s v="Retail"/>
    <s v="Store"/>
    <x v="1"/>
    <x v="1"/>
    <n v="30000"/>
    <n v="4"/>
    <x v="3"/>
    <n v="24000"/>
    <n v="120000"/>
    <n v="96000"/>
    <n v="24000"/>
  </r>
  <r>
    <s v="ID_892"/>
    <d v="2025-02-08T00:00:00"/>
    <x v="2"/>
    <x v="2"/>
    <x v="3"/>
    <s v="Retail"/>
    <s v="Store"/>
    <x v="0"/>
    <x v="0"/>
    <n v="85000"/>
    <n v="10"/>
    <x v="0"/>
    <n v="68000"/>
    <n v="850000"/>
    <n v="680000"/>
    <n v="170000"/>
  </r>
  <r>
    <s v="ID_1035"/>
    <d v="2025-04-15T00:00:00"/>
    <x v="1"/>
    <x v="3"/>
    <x v="3"/>
    <s v="Corporate"/>
    <s v="Store"/>
    <x v="8"/>
    <x v="2"/>
    <n v="250000"/>
    <n v="6"/>
    <x v="2"/>
    <n v="200000"/>
    <n v="1500000"/>
    <n v="1200000"/>
    <n v="300000"/>
  </r>
  <r>
    <s v="ID_1224"/>
    <d v="2025-01-12T00:00:00"/>
    <x v="0"/>
    <x v="2"/>
    <x v="1"/>
    <s v="Retail"/>
    <s v="Store"/>
    <x v="2"/>
    <x v="1"/>
    <n v="60000"/>
    <n v="10"/>
    <x v="1"/>
    <n v="48000"/>
    <n v="600000"/>
    <n v="480000"/>
    <n v="120000"/>
  </r>
  <r>
    <s v="ID_1606"/>
    <d v="2025-02-05T00:00:00"/>
    <x v="2"/>
    <x v="1"/>
    <x v="1"/>
    <s v="Retail"/>
    <s v="Store"/>
    <x v="3"/>
    <x v="2"/>
    <n v="300000"/>
    <n v="3"/>
    <x v="1"/>
    <n v="240000"/>
    <n v="900000"/>
    <n v="720000"/>
    <n v="180000"/>
  </r>
  <r>
    <s v="ID_1971"/>
    <d v="2025-01-17T00:00:00"/>
    <x v="0"/>
    <x v="0"/>
    <x v="3"/>
    <s v="Retail"/>
    <s v="Store"/>
    <x v="6"/>
    <x v="2"/>
    <n v="150000"/>
    <n v="10"/>
    <x v="5"/>
    <n v="120000"/>
    <n v="1500000"/>
    <n v="1200000"/>
    <n v="300000"/>
  </r>
  <r>
    <s v="ID_1079"/>
    <d v="2025-03-30T00:00:00"/>
    <x v="3"/>
    <x v="2"/>
    <x v="1"/>
    <s v="Corporate"/>
    <s v="Store"/>
    <x v="1"/>
    <x v="1"/>
    <n v="30000"/>
    <n v="7"/>
    <x v="3"/>
    <n v="24000"/>
    <n v="210000"/>
    <n v="168000"/>
    <n v="42000"/>
  </r>
  <r>
    <s v="ID_1736"/>
    <d v="2025-01-14T00:00:00"/>
    <x v="0"/>
    <x v="1"/>
    <x v="1"/>
    <s v="Corporate"/>
    <s v="Store"/>
    <x v="3"/>
    <x v="2"/>
    <n v="300000"/>
    <n v="9"/>
    <x v="4"/>
    <n v="240000"/>
    <n v="2700000"/>
    <n v="2160000"/>
    <n v="540000"/>
  </r>
  <r>
    <s v="ID_468"/>
    <d v="2025-01-03T00:00:00"/>
    <x v="0"/>
    <x v="3"/>
    <x v="3"/>
    <s v="Corporate"/>
    <s v="Store"/>
    <x v="9"/>
    <x v="1"/>
    <n v="220000"/>
    <n v="4"/>
    <x v="2"/>
    <n v="176000"/>
    <n v="880000"/>
    <n v="704000"/>
    <n v="176000"/>
  </r>
  <r>
    <s v="ID_549"/>
    <d v="2025-01-25T00:00:00"/>
    <x v="0"/>
    <x v="1"/>
    <x v="2"/>
    <s v="Corporate"/>
    <s v="Online"/>
    <x v="8"/>
    <x v="2"/>
    <n v="250000"/>
    <n v="9"/>
    <x v="0"/>
    <n v="200000"/>
    <n v="2250000"/>
    <n v="1800000"/>
    <n v="450000"/>
  </r>
  <r>
    <s v="ID_5"/>
    <d v="2025-01-10T00:00:00"/>
    <x v="0"/>
    <x v="0"/>
    <x v="0"/>
    <s v="Corporate"/>
    <s v="Store"/>
    <x v="3"/>
    <x v="2"/>
    <n v="300000"/>
    <n v="4"/>
    <x v="5"/>
    <n v="240000"/>
    <n v="1200000"/>
    <n v="960000"/>
    <n v="240000"/>
  </r>
  <r>
    <s v="ID_1675"/>
    <d v="2025-01-01T00:00:00"/>
    <x v="0"/>
    <x v="0"/>
    <x v="0"/>
    <s v="Retail"/>
    <s v="Store"/>
    <x v="2"/>
    <x v="1"/>
    <n v="60000"/>
    <n v="10"/>
    <x v="4"/>
    <n v="48000"/>
    <n v="600000"/>
    <n v="480000"/>
    <n v="120000"/>
  </r>
  <r>
    <s v="ID_2083"/>
    <d v="2025-03-17T00:00:00"/>
    <x v="3"/>
    <x v="3"/>
    <x v="2"/>
    <s v="Corporate"/>
    <s v="Online"/>
    <x v="7"/>
    <x v="2"/>
    <n v="420000"/>
    <n v="10"/>
    <x v="2"/>
    <n v="336000"/>
    <n v="4200000"/>
    <n v="3360000"/>
    <n v="840000"/>
  </r>
  <r>
    <s v="ID_1813"/>
    <d v="2025-03-22T00:00:00"/>
    <x v="3"/>
    <x v="0"/>
    <x v="2"/>
    <s v="Retail"/>
    <s v="Store"/>
    <x v="6"/>
    <x v="2"/>
    <n v="150000"/>
    <n v="1"/>
    <x v="5"/>
    <n v="120000"/>
    <n v="150000"/>
    <n v="120000"/>
    <n v="30000"/>
  </r>
  <r>
    <s v="ID_1878"/>
    <d v="2025-02-19T00:00:00"/>
    <x v="2"/>
    <x v="2"/>
    <x v="2"/>
    <s v="Retail"/>
    <s v="Store"/>
    <x v="8"/>
    <x v="2"/>
    <n v="250000"/>
    <n v="7"/>
    <x v="1"/>
    <n v="200000"/>
    <n v="1750000"/>
    <n v="1400000"/>
    <n v="350000"/>
  </r>
  <r>
    <s v="ID_835"/>
    <d v="2025-04-12T00:00:00"/>
    <x v="1"/>
    <x v="2"/>
    <x v="3"/>
    <s v="Retail"/>
    <s v="Store"/>
    <x v="3"/>
    <x v="2"/>
    <n v="300000"/>
    <n v="9"/>
    <x v="2"/>
    <n v="240000"/>
    <n v="2700000"/>
    <n v="2160000"/>
    <n v="540000"/>
  </r>
  <r>
    <s v="ID_1730"/>
    <d v="2025-03-22T00:00:00"/>
    <x v="3"/>
    <x v="3"/>
    <x v="0"/>
    <s v="Retail"/>
    <s v="Store"/>
    <x v="6"/>
    <x v="2"/>
    <n v="150000"/>
    <n v="2"/>
    <x v="4"/>
    <n v="120000"/>
    <n v="300000"/>
    <n v="240000"/>
    <n v="60000"/>
  </r>
  <r>
    <s v="ID_1087"/>
    <d v="2025-04-11T00:00:00"/>
    <x v="1"/>
    <x v="0"/>
    <x v="1"/>
    <s v="Retail"/>
    <s v="Store"/>
    <x v="9"/>
    <x v="1"/>
    <n v="220000"/>
    <n v="9"/>
    <x v="1"/>
    <n v="176000"/>
    <n v="1980000"/>
    <n v="1584000"/>
    <n v="396000"/>
  </r>
  <r>
    <s v="ID_737"/>
    <d v="2025-03-26T00:00:00"/>
    <x v="3"/>
    <x v="3"/>
    <x v="3"/>
    <s v="Retail"/>
    <s v="Store"/>
    <x v="2"/>
    <x v="1"/>
    <n v="60000"/>
    <n v="5"/>
    <x v="0"/>
    <n v="48000"/>
    <n v="300000"/>
    <n v="240000"/>
    <n v="60000"/>
  </r>
  <r>
    <s v="ID_323"/>
    <d v="2025-02-20T00:00:00"/>
    <x v="2"/>
    <x v="0"/>
    <x v="0"/>
    <s v="Corporate"/>
    <s v="Store"/>
    <x v="4"/>
    <x v="1"/>
    <n v="180000"/>
    <n v="6"/>
    <x v="3"/>
    <n v="144000"/>
    <n v="1080000"/>
    <n v="864000"/>
    <n v="216000"/>
  </r>
  <r>
    <s v="ID_1255"/>
    <d v="2025-02-22T00:00:00"/>
    <x v="2"/>
    <x v="1"/>
    <x v="0"/>
    <s v="Corporate"/>
    <s v="Store"/>
    <x v="8"/>
    <x v="2"/>
    <n v="250000"/>
    <n v="10"/>
    <x v="0"/>
    <n v="200000"/>
    <n v="2500000"/>
    <n v="2000000"/>
    <n v="500000"/>
  </r>
  <r>
    <s v="ID_124"/>
    <d v="2025-03-27T00:00:00"/>
    <x v="3"/>
    <x v="1"/>
    <x v="3"/>
    <s v="Retail"/>
    <s v="Store"/>
    <x v="0"/>
    <x v="0"/>
    <n v="85000"/>
    <n v="1"/>
    <x v="4"/>
    <n v="68000"/>
    <n v="85000"/>
    <n v="68000"/>
    <n v="17000"/>
  </r>
  <r>
    <s v="ID_1448"/>
    <d v="2025-03-08T00:00:00"/>
    <x v="3"/>
    <x v="3"/>
    <x v="0"/>
    <s v="Retail"/>
    <s v="Online"/>
    <x v="8"/>
    <x v="2"/>
    <n v="250000"/>
    <n v="9"/>
    <x v="1"/>
    <n v="200000"/>
    <n v="2250000"/>
    <n v="1800000"/>
    <n v="450000"/>
  </r>
  <r>
    <s v="ID_1332"/>
    <d v="2025-04-09T00:00:00"/>
    <x v="1"/>
    <x v="1"/>
    <x v="1"/>
    <s v="Retail"/>
    <s v="Online"/>
    <x v="8"/>
    <x v="2"/>
    <n v="250000"/>
    <n v="2"/>
    <x v="1"/>
    <n v="200000"/>
    <n v="500000"/>
    <n v="400000"/>
    <n v="100000"/>
  </r>
  <r>
    <s v="ID_1152"/>
    <d v="2025-02-02T00:00:00"/>
    <x v="2"/>
    <x v="2"/>
    <x v="1"/>
    <s v="Retail"/>
    <s v="Online"/>
    <x v="8"/>
    <x v="2"/>
    <n v="250000"/>
    <n v="1"/>
    <x v="5"/>
    <n v="200000"/>
    <n v="250000"/>
    <n v="200000"/>
    <n v="50000"/>
  </r>
  <r>
    <s v="ID_719"/>
    <d v="2025-02-03T00:00:00"/>
    <x v="2"/>
    <x v="0"/>
    <x v="0"/>
    <s v="Corporate"/>
    <s v="Store"/>
    <x v="3"/>
    <x v="2"/>
    <n v="300000"/>
    <n v="9"/>
    <x v="2"/>
    <n v="240000"/>
    <n v="2700000"/>
    <n v="2160000"/>
    <n v="540000"/>
  </r>
  <r>
    <s v="ID_1130"/>
    <d v="2025-03-08T00:00:00"/>
    <x v="3"/>
    <x v="0"/>
    <x v="1"/>
    <s v="Corporate"/>
    <s v="Online"/>
    <x v="5"/>
    <x v="0"/>
    <n v="320000"/>
    <n v="10"/>
    <x v="1"/>
    <n v="256000"/>
    <n v="3200000"/>
    <n v="2560000"/>
    <n v="640000"/>
  </r>
  <r>
    <s v="ID_1930"/>
    <d v="2025-01-08T00:00:00"/>
    <x v="0"/>
    <x v="2"/>
    <x v="1"/>
    <s v="Corporate"/>
    <s v="Online"/>
    <x v="4"/>
    <x v="1"/>
    <n v="180000"/>
    <n v="9"/>
    <x v="4"/>
    <n v="144000"/>
    <n v="1620000"/>
    <n v="1296000"/>
    <n v="324000"/>
  </r>
  <r>
    <s v="ID_107"/>
    <d v="2025-04-14T00:00:00"/>
    <x v="1"/>
    <x v="2"/>
    <x v="2"/>
    <s v="Corporate"/>
    <s v="Online"/>
    <x v="8"/>
    <x v="2"/>
    <n v="250000"/>
    <n v="1"/>
    <x v="5"/>
    <n v="200000"/>
    <n v="250000"/>
    <n v="200000"/>
    <n v="50000"/>
  </r>
  <r>
    <s v="ID_1250"/>
    <d v="2025-03-31T00:00:00"/>
    <x v="3"/>
    <x v="2"/>
    <x v="3"/>
    <s v="Corporate"/>
    <s v="Online"/>
    <x v="0"/>
    <x v="0"/>
    <n v="85000"/>
    <n v="7"/>
    <x v="5"/>
    <n v="68000"/>
    <n v="595000"/>
    <n v="476000"/>
    <n v="119000"/>
  </r>
  <r>
    <s v="ID_223"/>
    <d v="2025-04-20T00:00:00"/>
    <x v="1"/>
    <x v="0"/>
    <x v="0"/>
    <s v="Retail"/>
    <s v="Store"/>
    <x v="1"/>
    <x v="1"/>
    <n v="30000"/>
    <n v="6"/>
    <x v="2"/>
    <n v="24000"/>
    <n v="180000"/>
    <n v="144000"/>
    <n v="36000"/>
  </r>
  <r>
    <s v="ID_220"/>
    <d v="2025-01-29T00:00:00"/>
    <x v="0"/>
    <x v="0"/>
    <x v="1"/>
    <s v="Retail"/>
    <s v="Store"/>
    <x v="1"/>
    <x v="1"/>
    <n v="30000"/>
    <n v="6"/>
    <x v="1"/>
    <n v="24000"/>
    <n v="180000"/>
    <n v="144000"/>
    <n v="36000"/>
  </r>
  <r>
    <s v="ID_52"/>
    <d v="2025-03-23T00:00:00"/>
    <x v="3"/>
    <x v="0"/>
    <x v="0"/>
    <s v="Corporate"/>
    <s v="Store"/>
    <x v="5"/>
    <x v="0"/>
    <n v="320000"/>
    <n v="2"/>
    <x v="4"/>
    <n v="256000"/>
    <n v="640000"/>
    <n v="512000"/>
    <n v="128000"/>
  </r>
  <r>
    <s v="ID_1130"/>
    <d v="2025-01-25T00:00:00"/>
    <x v="0"/>
    <x v="0"/>
    <x v="3"/>
    <s v="Retail"/>
    <s v="Store"/>
    <x v="2"/>
    <x v="1"/>
    <n v="60000"/>
    <n v="6"/>
    <x v="1"/>
    <n v="48000"/>
    <n v="360000"/>
    <n v="288000"/>
    <n v="72000"/>
  </r>
  <r>
    <s v="ID_486"/>
    <d v="2025-03-12T00:00:00"/>
    <x v="3"/>
    <x v="0"/>
    <x v="1"/>
    <s v="Retail"/>
    <s v="Store"/>
    <x v="9"/>
    <x v="1"/>
    <n v="220000"/>
    <n v="10"/>
    <x v="5"/>
    <n v="176000"/>
    <n v="2200000"/>
    <n v="1760000"/>
    <n v="440000"/>
  </r>
  <r>
    <s v="ID_1757"/>
    <d v="2025-04-10T00:00:00"/>
    <x v="1"/>
    <x v="0"/>
    <x v="3"/>
    <s v="Retail"/>
    <s v="Online"/>
    <x v="2"/>
    <x v="1"/>
    <n v="60000"/>
    <n v="6"/>
    <x v="5"/>
    <n v="48000"/>
    <n v="360000"/>
    <n v="288000"/>
    <n v="72000"/>
  </r>
  <r>
    <s v="ID_1431"/>
    <d v="2025-01-01T00:00:00"/>
    <x v="0"/>
    <x v="0"/>
    <x v="2"/>
    <s v="Retail"/>
    <s v="Online"/>
    <x v="9"/>
    <x v="1"/>
    <n v="220000"/>
    <n v="7"/>
    <x v="4"/>
    <n v="176000"/>
    <n v="1540000"/>
    <n v="1232000"/>
    <n v="308000"/>
  </r>
  <r>
    <s v="ID_1938"/>
    <d v="2025-01-20T00:00:00"/>
    <x v="0"/>
    <x v="1"/>
    <x v="1"/>
    <s v="Corporate"/>
    <s v="Store"/>
    <x v="7"/>
    <x v="2"/>
    <n v="420000"/>
    <n v="8"/>
    <x v="4"/>
    <n v="336000"/>
    <n v="3360000"/>
    <n v="2688000"/>
    <n v="672000"/>
  </r>
  <r>
    <s v="ID_1219"/>
    <d v="2025-01-06T00:00:00"/>
    <x v="0"/>
    <x v="1"/>
    <x v="1"/>
    <s v="Retail"/>
    <s v="Store"/>
    <x v="7"/>
    <x v="2"/>
    <n v="420000"/>
    <n v="1"/>
    <x v="5"/>
    <n v="336000"/>
    <n v="420000"/>
    <n v="336000"/>
    <n v="84000"/>
  </r>
  <r>
    <s v="ID_1371"/>
    <d v="2025-03-12T00:00:00"/>
    <x v="3"/>
    <x v="1"/>
    <x v="0"/>
    <s v="Corporate"/>
    <s v="Store"/>
    <x v="8"/>
    <x v="2"/>
    <n v="250000"/>
    <n v="9"/>
    <x v="4"/>
    <n v="200000"/>
    <n v="2250000"/>
    <n v="1800000"/>
    <n v="450000"/>
  </r>
  <r>
    <s v="ID_1634"/>
    <d v="2025-02-28T00:00:00"/>
    <x v="2"/>
    <x v="3"/>
    <x v="3"/>
    <s v="Retail"/>
    <s v="Online"/>
    <x v="1"/>
    <x v="1"/>
    <n v="30000"/>
    <n v="3"/>
    <x v="1"/>
    <n v="24000"/>
    <n v="90000"/>
    <n v="72000"/>
    <n v="18000"/>
  </r>
  <r>
    <s v="ID_1323"/>
    <d v="2025-05-01T00:00:00"/>
    <x v="4"/>
    <x v="3"/>
    <x v="2"/>
    <s v="Retail"/>
    <s v="Online"/>
    <x v="5"/>
    <x v="0"/>
    <n v="320000"/>
    <n v="1"/>
    <x v="5"/>
    <n v="256000"/>
    <n v="320000"/>
    <n v="256000"/>
    <n v="64000"/>
  </r>
  <r>
    <s v="ID_1085"/>
    <d v="2025-02-02T00:00:00"/>
    <x v="2"/>
    <x v="0"/>
    <x v="3"/>
    <s v="Corporate"/>
    <s v="Online"/>
    <x v="5"/>
    <x v="0"/>
    <n v="320000"/>
    <n v="10"/>
    <x v="2"/>
    <n v="256000"/>
    <n v="3200000"/>
    <n v="2560000"/>
    <n v="640000"/>
  </r>
  <r>
    <s v="ID_1277"/>
    <d v="2025-04-16T00:00:00"/>
    <x v="1"/>
    <x v="3"/>
    <x v="1"/>
    <s v="Corporate"/>
    <s v="Online"/>
    <x v="4"/>
    <x v="1"/>
    <n v="180000"/>
    <n v="4"/>
    <x v="2"/>
    <n v="144000"/>
    <n v="720000"/>
    <n v="576000"/>
    <n v="144000"/>
  </r>
  <r>
    <s v="ID_1089"/>
    <d v="2025-03-03T00:00:00"/>
    <x v="3"/>
    <x v="0"/>
    <x v="1"/>
    <s v="Retail"/>
    <s v="Store"/>
    <x v="7"/>
    <x v="2"/>
    <n v="420000"/>
    <n v="5"/>
    <x v="4"/>
    <n v="336000"/>
    <n v="2100000"/>
    <n v="1680000"/>
    <n v="420000"/>
  </r>
  <r>
    <s v="ID_1056"/>
    <d v="2025-03-19T00:00:00"/>
    <x v="3"/>
    <x v="3"/>
    <x v="3"/>
    <s v="Retail"/>
    <s v="Online"/>
    <x v="2"/>
    <x v="1"/>
    <n v="60000"/>
    <n v="5"/>
    <x v="1"/>
    <n v="48000"/>
    <n v="300000"/>
    <n v="240000"/>
    <n v="60000"/>
  </r>
  <r>
    <s v="ID_280"/>
    <d v="2025-02-10T00:00:00"/>
    <x v="2"/>
    <x v="3"/>
    <x v="3"/>
    <s v="Retail"/>
    <s v="Store"/>
    <x v="2"/>
    <x v="1"/>
    <n v="60000"/>
    <n v="9"/>
    <x v="4"/>
    <n v="48000"/>
    <n v="540000"/>
    <n v="432000"/>
    <n v="108000"/>
  </r>
  <r>
    <s v="ID_1208"/>
    <d v="2025-01-19T00:00:00"/>
    <x v="0"/>
    <x v="1"/>
    <x v="2"/>
    <s v="Corporate"/>
    <s v="Store"/>
    <x v="3"/>
    <x v="2"/>
    <n v="300000"/>
    <n v="10"/>
    <x v="1"/>
    <n v="240000"/>
    <n v="3000000"/>
    <n v="2400000"/>
    <n v="600000"/>
  </r>
  <r>
    <s v="ID_234"/>
    <d v="2025-04-28T00:00:00"/>
    <x v="1"/>
    <x v="2"/>
    <x v="3"/>
    <s v="Retail"/>
    <s v="Store"/>
    <x v="7"/>
    <x v="2"/>
    <n v="420000"/>
    <n v="8"/>
    <x v="5"/>
    <n v="336000"/>
    <n v="3360000"/>
    <n v="2688000"/>
    <n v="672000"/>
  </r>
  <r>
    <s v="ID_1705"/>
    <d v="2025-03-09T00:00:00"/>
    <x v="3"/>
    <x v="2"/>
    <x v="2"/>
    <s v="Corporate"/>
    <s v="Store"/>
    <x v="4"/>
    <x v="1"/>
    <n v="180000"/>
    <n v="4"/>
    <x v="1"/>
    <n v="144000"/>
    <n v="720000"/>
    <n v="576000"/>
    <n v="144000"/>
  </r>
  <r>
    <s v="ID_1774"/>
    <d v="2025-02-13T00:00:00"/>
    <x v="2"/>
    <x v="1"/>
    <x v="2"/>
    <s v="Retail"/>
    <s v="Store"/>
    <x v="1"/>
    <x v="1"/>
    <n v="30000"/>
    <n v="5"/>
    <x v="4"/>
    <n v="24000"/>
    <n v="150000"/>
    <n v="120000"/>
    <n v="30000"/>
  </r>
  <r>
    <s v="ID_1526"/>
    <d v="2025-01-28T00:00:00"/>
    <x v="0"/>
    <x v="3"/>
    <x v="1"/>
    <s v="Retail"/>
    <s v="Online"/>
    <x v="8"/>
    <x v="2"/>
    <n v="250000"/>
    <n v="3"/>
    <x v="1"/>
    <n v="200000"/>
    <n v="750000"/>
    <n v="600000"/>
    <n v="150000"/>
  </r>
  <r>
    <s v="ID_1039"/>
    <d v="2025-03-24T00:00:00"/>
    <x v="3"/>
    <x v="1"/>
    <x v="2"/>
    <s v="Corporate"/>
    <s v="Store"/>
    <x v="0"/>
    <x v="0"/>
    <n v="85000"/>
    <n v="8"/>
    <x v="2"/>
    <n v="68000"/>
    <n v="680000"/>
    <n v="544000"/>
    <n v="136000"/>
  </r>
  <r>
    <s v="ID_675"/>
    <d v="2025-01-31T00:00:00"/>
    <x v="0"/>
    <x v="2"/>
    <x v="0"/>
    <s v="Corporate"/>
    <s v="Online"/>
    <x v="2"/>
    <x v="1"/>
    <n v="60000"/>
    <n v="8"/>
    <x v="4"/>
    <n v="48000"/>
    <n v="480000"/>
    <n v="384000"/>
    <n v="96000"/>
  </r>
  <r>
    <s v="ID_32"/>
    <d v="2025-03-12T00:00:00"/>
    <x v="3"/>
    <x v="2"/>
    <x v="0"/>
    <s v="Corporate"/>
    <s v="Store"/>
    <x v="6"/>
    <x v="2"/>
    <n v="150000"/>
    <n v="5"/>
    <x v="0"/>
    <n v="120000"/>
    <n v="750000"/>
    <n v="600000"/>
    <n v="150000"/>
  </r>
  <r>
    <s v="ID_2022"/>
    <d v="2025-03-07T00:00:00"/>
    <x v="3"/>
    <x v="3"/>
    <x v="0"/>
    <s v="Corporate"/>
    <s v="Online"/>
    <x v="5"/>
    <x v="0"/>
    <n v="320000"/>
    <n v="9"/>
    <x v="3"/>
    <n v="256000"/>
    <n v="2880000"/>
    <n v="2304000"/>
    <n v="576000"/>
  </r>
  <r>
    <s v="ID_14"/>
    <d v="2025-02-13T00:00:00"/>
    <x v="2"/>
    <x v="3"/>
    <x v="3"/>
    <s v="Corporate"/>
    <s v="Online"/>
    <x v="7"/>
    <x v="2"/>
    <n v="420000"/>
    <n v="7"/>
    <x v="0"/>
    <n v="336000"/>
    <n v="2940000"/>
    <n v="2352000"/>
    <n v="588000"/>
  </r>
  <r>
    <s v="ID_753"/>
    <d v="2025-04-16T00:00:00"/>
    <x v="1"/>
    <x v="2"/>
    <x v="2"/>
    <s v="Corporate"/>
    <s v="Store"/>
    <x v="2"/>
    <x v="1"/>
    <n v="60000"/>
    <n v="6"/>
    <x v="4"/>
    <n v="48000"/>
    <n v="360000"/>
    <n v="288000"/>
    <n v="72000"/>
  </r>
  <r>
    <s v="ID_1990"/>
    <d v="2025-03-10T00:00:00"/>
    <x v="3"/>
    <x v="3"/>
    <x v="0"/>
    <s v="Retail"/>
    <s v="Store"/>
    <x v="6"/>
    <x v="2"/>
    <n v="150000"/>
    <n v="7"/>
    <x v="5"/>
    <n v="120000"/>
    <n v="1050000"/>
    <n v="840000"/>
    <n v="210000"/>
  </r>
  <r>
    <s v="ID_982"/>
    <d v="2025-03-15T00:00:00"/>
    <x v="3"/>
    <x v="1"/>
    <x v="2"/>
    <s v="Retail"/>
    <s v="Store"/>
    <x v="5"/>
    <x v="0"/>
    <n v="320000"/>
    <n v="10"/>
    <x v="2"/>
    <n v="256000"/>
    <n v="3200000"/>
    <n v="2560000"/>
    <n v="640000"/>
  </r>
  <r>
    <s v="ID_1539"/>
    <d v="2025-03-16T00:00:00"/>
    <x v="3"/>
    <x v="1"/>
    <x v="0"/>
    <s v="Corporate"/>
    <s v="Online"/>
    <x v="3"/>
    <x v="2"/>
    <n v="300000"/>
    <n v="8"/>
    <x v="1"/>
    <n v="240000"/>
    <n v="2400000"/>
    <n v="1920000"/>
    <n v="480000"/>
  </r>
  <r>
    <s v="ID_632"/>
    <d v="2025-01-15T00:00:00"/>
    <x v="0"/>
    <x v="0"/>
    <x v="0"/>
    <s v="Retail"/>
    <s v="Online"/>
    <x v="7"/>
    <x v="2"/>
    <n v="420000"/>
    <n v="5"/>
    <x v="3"/>
    <n v="336000"/>
    <n v="2100000"/>
    <n v="1680000"/>
    <n v="420000"/>
  </r>
  <r>
    <s v="ID_1007"/>
    <d v="2025-04-26T00:00:00"/>
    <x v="1"/>
    <x v="1"/>
    <x v="2"/>
    <s v="Retail"/>
    <s v="Store"/>
    <x v="9"/>
    <x v="1"/>
    <n v="220000"/>
    <n v="5"/>
    <x v="0"/>
    <n v="176000"/>
    <n v="1100000"/>
    <n v="880000"/>
    <n v="220000"/>
  </r>
  <r>
    <s v="ID_1494"/>
    <d v="2025-04-06T00:00:00"/>
    <x v="1"/>
    <x v="0"/>
    <x v="0"/>
    <s v="Corporate"/>
    <s v="Store"/>
    <x v="5"/>
    <x v="0"/>
    <n v="320000"/>
    <n v="3"/>
    <x v="1"/>
    <n v="256000"/>
    <n v="960000"/>
    <n v="768000"/>
    <n v="192000"/>
  </r>
  <r>
    <s v="ID_1500"/>
    <d v="2025-04-16T00:00:00"/>
    <x v="1"/>
    <x v="1"/>
    <x v="0"/>
    <s v="Retail"/>
    <s v="Online"/>
    <x v="4"/>
    <x v="1"/>
    <n v="180000"/>
    <n v="9"/>
    <x v="5"/>
    <n v="144000"/>
    <n v="1620000"/>
    <n v="1296000"/>
    <n v="324000"/>
  </r>
  <r>
    <s v="ID_57"/>
    <d v="2025-03-30T00:00:00"/>
    <x v="3"/>
    <x v="3"/>
    <x v="0"/>
    <s v="Retail"/>
    <s v="Online"/>
    <x v="3"/>
    <x v="2"/>
    <n v="300000"/>
    <n v="1"/>
    <x v="5"/>
    <n v="240000"/>
    <n v="300000"/>
    <n v="240000"/>
    <n v="60000"/>
  </r>
  <r>
    <s v="ID_1269"/>
    <d v="2025-04-03T00:00:00"/>
    <x v="1"/>
    <x v="3"/>
    <x v="2"/>
    <s v="Retail"/>
    <s v="Store"/>
    <x v="9"/>
    <x v="1"/>
    <n v="220000"/>
    <n v="7"/>
    <x v="5"/>
    <n v="176000"/>
    <n v="1540000"/>
    <n v="1232000"/>
    <n v="308000"/>
  </r>
  <r>
    <s v="ID_210"/>
    <d v="2025-03-25T00:00:00"/>
    <x v="3"/>
    <x v="1"/>
    <x v="1"/>
    <s v="Corporate"/>
    <s v="Store"/>
    <x v="0"/>
    <x v="0"/>
    <n v="85000"/>
    <n v="9"/>
    <x v="1"/>
    <n v="68000"/>
    <n v="765000"/>
    <n v="612000"/>
    <n v="153000"/>
  </r>
  <r>
    <s v="ID_1692"/>
    <d v="2025-02-07T00:00:00"/>
    <x v="2"/>
    <x v="1"/>
    <x v="1"/>
    <s v="Retail"/>
    <s v="Online"/>
    <x v="0"/>
    <x v="0"/>
    <n v="85000"/>
    <n v="4"/>
    <x v="2"/>
    <n v="68000"/>
    <n v="340000"/>
    <n v="272000"/>
    <n v="68000"/>
  </r>
  <r>
    <s v="ID_16"/>
    <d v="2025-03-30T00:00:00"/>
    <x v="3"/>
    <x v="1"/>
    <x v="3"/>
    <s v="Retail"/>
    <s v="Store"/>
    <x v="2"/>
    <x v="1"/>
    <n v="60000"/>
    <n v="8"/>
    <x v="2"/>
    <n v="48000"/>
    <n v="480000"/>
    <n v="384000"/>
    <n v="96000"/>
  </r>
  <r>
    <s v="ID_817"/>
    <d v="2025-01-24T00:00:00"/>
    <x v="0"/>
    <x v="2"/>
    <x v="1"/>
    <s v="Corporate"/>
    <s v="Store"/>
    <x v="6"/>
    <x v="2"/>
    <n v="150000"/>
    <n v="6"/>
    <x v="3"/>
    <n v="120000"/>
    <n v="900000"/>
    <n v="720000"/>
    <n v="180000"/>
  </r>
  <r>
    <s v="ID_230"/>
    <d v="2025-04-02T00:00:00"/>
    <x v="1"/>
    <x v="1"/>
    <x v="2"/>
    <s v="Corporate"/>
    <s v="Online"/>
    <x v="0"/>
    <x v="0"/>
    <n v="85000"/>
    <n v="10"/>
    <x v="2"/>
    <n v="68000"/>
    <n v="850000"/>
    <n v="680000"/>
    <n v="170000"/>
  </r>
  <r>
    <s v="ID_715"/>
    <d v="2025-04-12T00:00:00"/>
    <x v="1"/>
    <x v="0"/>
    <x v="1"/>
    <s v="Corporate"/>
    <s v="Store"/>
    <x v="0"/>
    <x v="0"/>
    <n v="85000"/>
    <n v="3"/>
    <x v="5"/>
    <n v="68000"/>
    <n v="255000"/>
    <n v="204000"/>
    <n v="51000"/>
  </r>
  <r>
    <s v="ID_235"/>
    <d v="2025-03-26T00:00:00"/>
    <x v="3"/>
    <x v="0"/>
    <x v="2"/>
    <s v="Corporate"/>
    <s v="Online"/>
    <x v="3"/>
    <x v="2"/>
    <n v="300000"/>
    <n v="8"/>
    <x v="3"/>
    <n v="240000"/>
    <n v="2400000"/>
    <n v="1920000"/>
    <n v="480000"/>
  </r>
  <r>
    <s v="ID_484"/>
    <d v="2025-02-25T00:00:00"/>
    <x v="2"/>
    <x v="0"/>
    <x v="0"/>
    <s v="Corporate"/>
    <s v="Online"/>
    <x v="7"/>
    <x v="2"/>
    <n v="420000"/>
    <n v="6"/>
    <x v="4"/>
    <n v="336000"/>
    <n v="2520000"/>
    <n v="2016000"/>
    <n v="504000"/>
  </r>
  <r>
    <s v="ID_1175"/>
    <d v="2025-01-18T00:00:00"/>
    <x v="0"/>
    <x v="2"/>
    <x v="2"/>
    <s v="Corporate"/>
    <s v="Online"/>
    <x v="8"/>
    <x v="2"/>
    <n v="250000"/>
    <n v="3"/>
    <x v="1"/>
    <n v="200000"/>
    <n v="750000"/>
    <n v="600000"/>
    <n v="150000"/>
  </r>
  <r>
    <s v="ID_1390"/>
    <d v="2025-03-11T00:00:00"/>
    <x v="3"/>
    <x v="0"/>
    <x v="3"/>
    <s v="Retail"/>
    <s v="Store"/>
    <x v="8"/>
    <x v="2"/>
    <n v="250000"/>
    <n v="8"/>
    <x v="2"/>
    <n v="200000"/>
    <n v="2000000"/>
    <n v="1600000"/>
    <n v="400000"/>
  </r>
  <r>
    <s v="ID_1349"/>
    <d v="2025-01-08T00:00:00"/>
    <x v="0"/>
    <x v="3"/>
    <x v="1"/>
    <s v="Corporate"/>
    <s v="Online"/>
    <x v="0"/>
    <x v="0"/>
    <n v="85000"/>
    <n v="3"/>
    <x v="2"/>
    <n v="68000"/>
    <n v="255000"/>
    <n v="204000"/>
    <n v="51000"/>
  </r>
  <r>
    <s v="ID_291"/>
    <d v="2025-03-27T00:00:00"/>
    <x v="3"/>
    <x v="3"/>
    <x v="3"/>
    <s v="Corporate"/>
    <s v="Online"/>
    <x v="1"/>
    <x v="1"/>
    <n v="30000"/>
    <n v="7"/>
    <x v="2"/>
    <n v="24000"/>
    <n v="210000"/>
    <n v="168000"/>
    <n v="42000"/>
  </r>
  <r>
    <s v="ID_1684"/>
    <d v="2025-01-16T00:00:00"/>
    <x v="0"/>
    <x v="1"/>
    <x v="2"/>
    <s v="Retail"/>
    <s v="Store"/>
    <x v="2"/>
    <x v="1"/>
    <n v="60000"/>
    <n v="7"/>
    <x v="3"/>
    <n v="48000"/>
    <n v="420000"/>
    <n v="336000"/>
    <n v="84000"/>
  </r>
  <r>
    <s v="ID_1093"/>
    <d v="2025-01-07T00:00:00"/>
    <x v="0"/>
    <x v="2"/>
    <x v="0"/>
    <s v="Retail"/>
    <s v="Store"/>
    <x v="9"/>
    <x v="1"/>
    <n v="220000"/>
    <n v="10"/>
    <x v="1"/>
    <n v="176000"/>
    <n v="2200000"/>
    <n v="1760000"/>
    <n v="440000"/>
  </r>
  <r>
    <s v="ID_911"/>
    <d v="2025-04-02T00:00:00"/>
    <x v="1"/>
    <x v="2"/>
    <x v="1"/>
    <s v="Retail"/>
    <s v="Store"/>
    <x v="8"/>
    <x v="2"/>
    <n v="250000"/>
    <n v="5"/>
    <x v="5"/>
    <n v="200000"/>
    <n v="1250000"/>
    <n v="1000000"/>
    <n v="250000"/>
  </r>
  <r>
    <s v="ID_229"/>
    <d v="2025-04-09T00:00:00"/>
    <x v="1"/>
    <x v="2"/>
    <x v="3"/>
    <s v="Retail"/>
    <s v="Online"/>
    <x v="0"/>
    <x v="0"/>
    <n v="85000"/>
    <n v="7"/>
    <x v="5"/>
    <n v="68000"/>
    <n v="595000"/>
    <n v="476000"/>
    <n v="119000"/>
  </r>
  <r>
    <s v="ID_528"/>
    <d v="2025-04-30T00:00:00"/>
    <x v="1"/>
    <x v="0"/>
    <x v="1"/>
    <s v="Corporate"/>
    <s v="Online"/>
    <x v="6"/>
    <x v="2"/>
    <n v="150000"/>
    <n v="4"/>
    <x v="2"/>
    <n v="120000"/>
    <n v="600000"/>
    <n v="480000"/>
    <n v="120000"/>
  </r>
  <r>
    <s v="ID_1401"/>
    <d v="2025-04-02T00:00:00"/>
    <x v="1"/>
    <x v="2"/>
    <x v="3"/>
    <s v="Retail"/>
    <s v="Online"/>
    <x v="7"/>
    <x v="2"/>
    <n v="420000"/>
    <n v="5"/>
    <x v="1"/>
    <n v="336000"/>
    <n v="2100000"/>
    <n v="1680000"/>
    <n v="420000"/>
  </r>
  <r>
    <s v="ID_1618"/>
    <d v="2025-02-15T00:00:00"/>
    <x v="2"/>
    <x v="1"/>
    <x v="2"/>
    <s v="Retail"/>
    <s v="Online"/>
    <x v="2"/>
    <x v="1"/>
    <n v="60000"/>
    <n v="5"/>
    <x v="0"/>
    <n v="48000"/>
    <n v="300000"/>
    <n v="240000"/>
    <n v="60000"/>
  </r>
  <r>
    <s v="ID_614"/>
    <d v="2025-02-18T00:00:00"/>
    <x v="2"/>
    <x v="2"/>
    <x v="0"/>
    <s v="Corporate"/>
    <s v="Online"/>
    <x v="8"/>
    <x v="2"/>
    <n v="250000"/>
    <n v="10"/>
    <x v="1"/>
    <n v="200000"/>
    <n v="2500000"/>
    <n v="2000000"/>
    <n v="500000"/>
  </r>
  <r>
    <s v="ID_1414"/>
    <d v="2025-04-02T00:00:00"/>
    <x v="1"/>
    <x v="0"/>
    <x v="1"/>
    <s v="Retail"/>
    <s v="Online"/>
    <x v="2"/>
    <x v="1"/>
    <n v="60000"/>
    <n v="3"/>
    <x v="1"/>
    <n v="48000"/>
    <n v="180000"/>
    <n v="144000"/>
    <n v="36000"/>
  </r>
  <r>
    <s v="ID_1719"/>
    <d v="2025-01-12T00:00:00"/>
    <x v="0"/>
    <x v="0"/>
    <x v="3"/>
    <s v="Corporate"/>
    <s v="Online"/>
    <x v="9"/>
    <x v="1"/>
    <n v="220000"/>
    <n v="5"/>
    <x v="4"/>
    <n v="176000"/>
    <n v="1100000"/>
    <n v="880000"/>
    <n v="220000"/>
  </r>
  <r>
    <s v="ID_1343"/>
    <d v="2025-04-20T00:00:00"/>
    <x v="1"/>
    <x v="2"/>
    <x v="0"/>
    <s v="Corporate"/>
    <s v="Store"/>
    <x v="7"/>
    <x v="2"/>
    <n v="420000"/>
    <n v="3"/>
    <x v="2"/>
    <n v="336000"/>
    <n v="1260000"/>
    <n v="1008000"/>
    <n v="252000"/>
  </r>
  <r>
    <s v="ID_1845"/>
    <d v="2025-03-17T00:00:00"/>
    <x v="3"/>
    <x v="0"/>
    <x v="1"/>
    <s v="Corporate"/>
    <s v="Store"/>
    <x v="2"/>
    <x v="1"/>
    <n v="60000"/>
    <n v="7"/>
    <x v="3"/>
    <n v="48000"/>
    <n v="420000"/>
    <n v="336000"/>
    <n v="84000"/>
  </r>
  <r>
    <s v="ID_1339"/>
    <d v="2025-03-03T00:00:00"/>
    <x v="3"/>
    <x v="0"/>
    <x v="0"/>
    <s v="Retail"/>
    <s v="Online"/>
    <x v="9"/>
    <x v="1"/>
    <n v="220000"/>
    <n v="8"/>
    <x v="2"/>
    <n v="176000"/>
    <n v="1760000"/>
    <n v="1408000"/>
    <n v="352000"/>
  </r>
  <r>
    <s v="ID_1294"/>
    <d v="2025-05-01T00:00:00"/>
    <x v="4"/>
    <x v="0"/>
    <x v="3"/>
    <s v="Corporate"/>
    <s v="Store"/>
    <x v="8"/>
    <x v="2"/>
    <n v="250000"/>
    <n v="6"/>
    <x v="4"/>
    <n v="200000"/>
    <n v="1500000"/>
    <n v="1200000"/>
    <n v="300000"/>
  </r>
  <r>
    <s v="ID_395"/>
    <d v="2025-04-24T00:00:00"/>
    <x v="1"/>
    <x v="0"/>
    <x v="1"/>
    <s v="Corporate"/>
    <s v="Online"/>
    <x v="6"/>
    <x v="2"/>
    <n v="150000"/>
    <n v="5"/>
    <x v="2"/>
    <n v="120000"/>
    <n v="750000"/>
    <n v="600000"/>
    <n v="150000"/>
  </r>
  <r>
    <s v="ID_1014"/>
    <d v="2025-01-20T00:00:00"/>
    <x v="0"/>
    <x v="3"/>
    <x v="1"/>
    <s v="Corporate"/>
    <s v="Online"/>
    <x v="0"/>
    <x v="0"/>
    <n v="85000"/>
    <n v="2"/>
    <x v="3"/>
    <n v="68000"/>
    <n v="170000"/>
    <n v="136000"/>
    <n v="34000"/>
  </r>
  <r>
    <s v="ID_1153"/>
    <d v="2025-02-07T00:00:00"/>
    <x v="2"/>
    <x v="2"/>
    <x v="0"/>
    <s v="Corporate"/>
    <s v="Store"/>
    <x v="0"/>
    <x v="0"/>
    <n v="85000"/>
    <n v="6"/>
    <x v="1"/>
    <n v="68000"/>
    <n v="510000"/>
    <n v="408000"/>
    <n v="102000"/>
  </r>
  <r>
    <s v="ID_1091"/>
    <d v="2025-01-04T00:00:00"/>
    <x v="0"/>
    <x v="0"/>
    <x v="3"/>
    <s v="Corporate"/>
    <s v="Online"/>
    <x v="6"/>
    <x v="2"/>
    <n v="150000"/>
    <n v="5"/>
    <x v="3"/>
    <n v="120000"/>
    <n v="750000"/>
    <n v="600000"/>
    <n v="150000"/>
  </r>
  <r>
    <s v="ID_1125"/>
    <d v="2025-01-10T00:00:00"/>
    <x v="0"/>
    <x v="0"/>
    <x v="2"/>
    <s v="Corporate"/>
    <s v="Store"/>
    <x v="7"/>
    <x v="2"/>
    <n v="420000"/>
    <n v="4"/>
    <x v="4"/>
    <n v="336000"/>
    <n v="1680000"/>
    <n v="1344000"/>
    <n v="336000"/>
  </r>
  <r>
    <s v="ID_342"/>
    <d v="2025-04-14T00:00:00"/>
    <x v="1"/>
    <x v="1"/>
    <x v="2"/>
    <s v="Corporate"/>
    <s v="Store"/>
    <x v="3"/>
    <x v="2"/>
    <n v="300000"/>
    <n v="6"/>
    <x v="5"/>
    <n v="240000"/>
    <n v="1800000"/>
    <n v="1440000"/>
    <n v="360000"/>
  </r>
  <r>
    <s v="ID_1691"/>
    <d v="2025-03-12T00:00:00"/>
    <x v="3"/>
    <x v="3"/>
    <x v="0"/>
    <s v="Corporate"/>
    <s v="Online"/>
    <x v="2"/>
    <x v="1"/>
    <n v="60000"/>
    <n v="2"/>
    <x v="4"/>
    <n v="48000"/>
    <n v="120000"/>
    <n v="96000"/>
    <n v="24000"/>
  </r>
  <r>
    <s v="ID_1737"/>
    <d v="2025-01-20T00:00:00"/>
    <x v="0"/>
    <x v="3"/>
    <x v="3"/>
    <s v="Corporate"/>
    <s v="Online"/>
    <x v="0"/>
    <x v="0"/>
    <n v="85000"/>
    <n v="5"/>
    <x v="3"/>
    <n v="68000"/>
    <n v="425000"/>
    <n v="340000"/>
    <n v="85000"/>
  </r>
  <r>
    <s v="ID_1842"/>
    <d v="2025-04-23T00:00:00"/>
    <x v="1"/>
    <x v="0"/>
    <x v="3"/>
    <s v="Retail"/>
    <s v="Store"/>
    <x v="2"/>
    <x v="1"/>
    <n v="60000"/>
    <n v="3"/>
    <x v="1"/>
    <n v="48000"/>
    <n v="180000"/>
    <n v="144000"/>
    <n v="36000"/>
  </r>
  <r>
    <s v="ID_521"/>
    <d v="2025-02-12T00:00:00"/>
    <x v="2"/>
    <x v="3"/>
    <x v="3"/>
    <s v="Corporate"/>
    <s v="Online"/>
    <x v="0"/>
    <x v="0"/>
    <n v="85000"/>
    <n v="7"/>
    <x v="3"/>
    <n v="68000"/>
    <n v="595000"/>
    <n v="476000"/>
    <n v="119000"/>
  </r>
  <r>
    <s v="ID_777"/>
    <d v="2025-04-04T00:00:00"/>
    <x v="1"/>
    <x v="3"/>
    <x v="1"/>
    <s v="Corporate"/>
    <s v="Online"/>
    <x v="4"/>
    <x v="1"/>
    <n v="180000"/>
    <n v="5"/>
    <x v="5"/>
    <n v="144000"/>
    <n v="900000"/>
    <n v="720000"/>
    <n v="180000"/>
  </r>
  <r>
    <s v="ID_1664"/>
    <d v="2025-03-23T00:00:00"/>
    <x v="3"/>
    <x v="1"/>
    <x v="1"/>
    <s v="Retail"/>
    <s v="Online"/>
    <x v="7"/>
    <x v="2"/>
    <n v="420000"/>
    <n v="5"/>
    <x v="2"/>
    <n v="336000"/>
    <n v="2100000"/>
    <n v="1680000"/>
    <n v="420000"/>
  </r>
  <r>
    <s v="ID_1009"/>
    <d v="2025-04-10T00:00:00"/>
    <x v="1"/>
    <x v="1"/>
    <x v="3"/>
    <s v="Corporate"/>
    <s v="Store"/>
    <x v="0"/>
    <x v="0"/>
    <n v="85000"/>
    <n v="6"/>
    <x v="2"/>
    <n v="68000"/>
    <n v="510000"/>
    <n v="408000"/>
    <n v="102000"/>
  </r>
  <r>
    <s v="ID_291"/>
    <d v="2025-03-05T00:00:00"/>
    <x v="3"/>
    <x v="3"/>
    <x v="0"/>
    <s v="Retail"/>
    <s v="Store"/>
    <x v="7"/>
    <x v="2"/>
    <n v="420000"/>
    <n v="7"/>
    <x v="0"/>
    <n v="336000"/>
    <n v="2940000"/>
    <n v="2352000"/>
    <n v="588000"/>
  </r>
  <r>
    <s v="ID_1014"/>
    <d v="2025-02-02T00:00:00"/>
    <x v="2"/>
    <x v="2"/>
    <x v="3"/>
    <s v="Corporate"/>
    <s v="Online"/>
    <x v="7"/>
    <x v="2"/>
    <n v="420000"/>
    <n v="9"/>
    <x v="5"/>
    <n v="336000"/>
    <n v="3780000"/>
    <n v="3024000"/>
    <n v="756000"/>
  </r>
  <r>
    <s v="ID_773"/>
    <d v="2025-02-18T00:00:00"/>
    <x v="2"/>
    <x v="0"/>
    <x v="1"/>
    <s v="Corporate"/>
    <s v="Online"/>
    <x v="3"/>
    <x v="2"/>
    <n v="300000"/>
    <n v="3"/>
    <x v="4"/>
    <n v="240000"/>
    <n v="900000"/>
    <n v="720000"/>
    <n v="180000"/>
  </r>
  <r>
    <s v="ID_779"/>
    <d v="2025-01-10T00:00:00"/>
    <x v="0"/>
    <x v="1"/>
    <x v="2"/>
    <s v="Retail"/>
    <s v="Online"/>
    <x v="0"/>
    <x v="0"/>
    <n v="85000"/>
    <n v="9"/>
    <x v="4"/>
    <n v="68000"/>
    <n v="765000"/>
    <n v="612000"/>
    <n v="153000"/>
  </r>
  <r>
    <s v="ID_381"/>
    <d v="2025-03-02T00:00:00"/>
    <x v="3"/>
    <x v="2"/>
    <x v="0"/>
    <s v="Corporate"/>
    <s v="Store"/>
    <x v="9"/>
    <x v="1"/>
    <n v="220000"/>
    <n v="7"/>
    <x v="3"/>
    <n v="176000"/>
    <n v="1540000"/>
    <n v="1232000"/>
    <n v="308000"/>
  </r>
  <r>
    <s v="ID_205"/>
    <d v="2025-04-07T00:00:00"/>
    <x v="1"/>
    <x v="0"/>
    <x v="1"/>
    <s v="Corporate"/>
    <s v="Store"/>
    <x v="3"/>
    <x v="2"/>
    <n v="300000"/>
    <n v="10"/>
    <x v="0"/>
    <n v="240000"/>
    <n v="3000000"/>
    <n v="2400000"/>
    <n v="600000"/>
  </r>
  <r>
    <s v="ID_1676"/>
    <d v="2025-04-13T00:00:00"/>
    <x v="1"/>
    <x v="0"/>
    <x v="0"/>
    <s v="Retail"/>
    <s v="Store"/>
    <x v="0"/>
    <x v="0"/>
    <n v="85000"/>
    <n v="8"/>
    <x v="4"/>
    <n v="68000"/>
    <n v="680000"/>
    <n v="544000"/>
    <n v="136000"/>
  </r>
  <r>
    <s v="ID_2092"/>
    <d v="2025-02-13T00:00:00"/>
    <x v="2"/>
    <x v="1"/>
    <x v="1"/>
    <s v="Corporate"/>
    <s v="Online"/>
    <x v="1"/>
    <x v="1"/>
    <n v="30000"/>
    <n v="3"/>
    <x v="4"/>
    <n v="24000"/>
    <n v="90000"/>
    <n v="72000"/>
    <n v="18000"/>
  </r>
  <r>
    <s v="ID_1628"/>
    <d v="2025-02-11T00:00:00"/>
    <x v="2"/>
    <x v="2"/>
    <x v="2"/>
    <s v="Corporate"/>
    <s v="Store"/>
    <x v="0"/>
    <x v="0"/>
    <n v="85000"/>
    <n v="8"/>
    <x v="3"/>
    <n v="68000"/>
    <n v="680000"/>
    <n v="544000"/>
    <n v="136000"/>
  </r>
  <r>
    <s v="ID_1013"/>
    <d v="2025-02-09T00:00:00"/>
    <x v="2"/>
    <x v="0"/>
    <x v="2"/>
    <s v="Retail"/>
    <s v="Store"/>
    <x v="4"/>
    <x v="1"/>
    <n v="180000"/>
    <n v="3"/>
    <x v="3"/>
    <n v="144000"/>
    <n v="540000"/>
    <n v="432000"/>
    <n v="108000"/>
  </r>
  <r>
    <s v="ID_1151"/>
    <d v="2025-03-25T00:00:00"/>
    <x v="3"/>
    <x v="3"/>
    <x v="0"/>
    <s v="Retail"/>
    <s v="Online"/>
    <x v="9"/>
    <x v="1"/>
    <n v="220000"/>
    <n v="7"/>
    <x v="4"/>
    <n v="176000"/>
    <n v="1540000"/>
    <n v="1232000"/>
    <n v="308000"/>
  </r>
  <r>
    <s v="ID_1437"/>
    <d v="2025-03-09T00:00:00"/>
    <x v="3"/>
    <x v="3"/>
    <x v="2"/>
    <s v="Retail"/>
    <s v="Online"/>
    <x v="4"/>
    <x v="1"/>
    <n v="180000"/>
    <n v="8"/>
    <x v="5"/>
    <n v="144000"/>
    <n v="1440000"/>
    <n v="1152000"/>
    <n v="288000"/>
  </r>
  <r>
    <s v="ID_1069"/>
    <d v="2025-03-22T00:00:00"/>
    <x v="3"/>
    <x v="2"/>
    <x v="3"/>
    <s v="Retail"/>
    <s v="Online"/>
    <x v="1"/>
    <x v="1"/>
    <n v="30000"/>
    <n v="1"/>
    <x v="2"/>
    <n v="24000"/>
    <n v="30000"/>
    <n v="24000"/>
    <n v="6000"/>
  </r>
  <r>
    <s v="ID_977"/>
    <d v="2025-02-18T00:00:00"/>
    <x v="2"/>
    <x v="1"/>
    <x v="1"/>
    <s v="Retail"/>
    <s v="Online"/>
    <x v="1"/>
    <x v="1"/>
    <n v="30000"/>
    <n v="8"/>
    <x v="3"/>
    <n v="24000"/>
    <n v="240000"/>
    <n v="192000"/>
    <n v="48000"/>
  </r>
  <r>
    <s v="ID_358"/>
    <d v="2025-02-15T00:00:00"/>
    <x v="2"/>
    <x v="2"/>
    <x v="0"/>
    <s v="Retail"/>
    <s v="Online"/>
    <x v="4"/>
    <x v="1"/>
    <n v="180000"/>
    <n v="3"/>
    <x v="5"/>
    <n v="144000"/>
    <n v="540000"/>
    <n v="432000"/>
    <n v="108000"/>
  </r>
  <r>
    <s v="ID_146"/>
    <d v="2025-02-25T00:00:00"/>
    <x v="2"/>
    <x v="2"/>
    <x v="1"/>
    <s v="Retail"/>
    <s v="Store"/>
    <x v="0"/>
    <x v="0"/>
    <n v="85000"/>
    <n v="7"/>
    <x v="1"/>
    <n v="68000"/>
    <n v="595000"/>
    <n v="476000"/>
    <n v="119000"/>
  </r>
  <r>
    <s v="ID_1067"/>
    <d v="2025-03-29T00:00:00"/>
    <x v="3"/>
    <x v="0"/>
    <x v="1"/>
    <s v="Retail"/>
    <s v="Store"/>
    <x v="1"/>
    <x v="1"/>
    <n v="30000"/>
    <n v="7"/>
    <x v="2"/>
    <n v="24000"/>
    <n v="210000"/>
    <n v="168000"/>
    <n v="42000"/>
  </r>
  <r>
    <s v="ID_1655"/>
    <d v="2025-03-10T00:00:00"/>
    <x v="3"/>
    <x v="3"/>
    <x v="3"/>
    <s v="Retail"/>
    <s v="Store"/>
    <x v="2"/>
    <x v="1"/>
    <n v="60000"/>
    <n v="3"/>
    <x v="2"/>
    <n v="48000"/>
    <n v="180000"/>
    <n v="144000"/>
    <n v="36000"/>
  </r>
  <r>
    <s v="ID_190"/>
    <d v="2025-02-01T00:00:00"/>
    <x v="2"/>
    <x v="3"/>
    <x v="3"/>
    <s v="Retail"/>
    <s v="Store"/>
    <x v="0"/>
    <x v="0"/>
    <n v="85000"/>
    <n v="5"/>
    <x v="0"/>
    <n v="68000"/>
    <n v="425000"/>
    <n v="340000"/>
    <n v="85000"/>
  </r>
  <r>
    <s v="ID_1864"/>
    <d v="2025-02-15T00:00:00"/>
    <x v="2"/>
    <x v="1"/>
    <x v="3"/>
    <s v="Corporate"/>
    <s v="Online"/>
    <x v="7"/>
    <x v="2"/>
    <n v="420000"/>
    <n v="1"/>
    <x v="0"/>
    <n v="336000"/>
    <n v="420000"/>
    <n v="336000"/>
    <n v="84000"/>
  </r>
  <r>
    <s v="ID_1549"/>
    <d v="2025-04-07T00:00:00"/>
    <x v="1"/>
    <x v="2"/>
    <x v="2"/>
    <s v="Corporate"/>
    <s v="Store"/>
    <x v="1"/>
    <x v="1"/>
    <n v="30000"/>
    <n v="5"/>
    <x v="0"/>
    <n v="24000"/>
    <n v="150000"/>
    <n v="120000"/>
    <n v="30000"/>
  </r>
  <r>
    <s v="ID_221"/>
    <d v="2025-04-02T00:00:00"/>
    <x v="1"/>
    <x v="0"/>
    <x v="2"/>
    <s v="Retail"/>
    <s v="Online"/>
    <x v="8"/>
    <x v="2"/>
    <n v="250000"/>
    <n v="9"/>
    <x v="3"/>
    <n v="200000"/>
    <n v="2250000"/>
    <n v="1800000"/>
    <n v="450000"/>
  </r>
  <r>
    <s v="ID_525"/>
    <d v="2025-01-20T00:00:00"/>
    <x v="0"/>
    <x v="3"/>
    <x v="1"/>
    <s v="Corporate"/>
    <s v="Online"/>
    <x v="6"/>
    <x v="2"/>
    <n v="150000"/>
    <n v="3"/>
    <x v="5"/>
    <n v="120000"/>
    <n v="450000"/>
    <n v="360000"/>
    <n v="90000"/>
  </r>
  <r>
    <s v="ID_663"/>
    <d v="2025-01-19T00:00:00"/>
    <x v="0"/>
    <x v="1"/>
    <x v="1"/>
    <s v="Corporate"/>
    <s v="Online"/>
    <x v="3"/>
    <x v="2"/>
    <n v="300000"/>
    <n v="5"/>
    <x v="5"/>
    <n v="240000"/>
    <n v="1500000"/>
    <n v="1200000"/>
    <n v="300000"/>
  </r>
  <r>
    <s v="ID_1106"/>
    <d v="2025-01-10T00:00:00"/>
    <x v="0"/>
    <x v="0"/>
    <x v="0"/>
    <s v="Retail"/>
    <s v="Store"/>
    <x v="5"/>
    <x v="0"/>
    <n v="320000"/>
    <n v="5"/>
    <x v="0"/>
    <n v="256000"/>
    <n v="1600000"/>
    <n v="1280000"/>
    <n v="320000"/>
  </r>
  <r>
    <s v="ID_1927"/>
    <d v="2025-01-02T00:00:00"/>
    <x v="0"/>
    <x v="0"/>
    <x v="3"/>
    <s v="Corporate"/>
    <s v="Store"/>
    <x v="0"/>
    <x v="0"/>
    <n v="85000"/>
    <n v="10"/>
    <x v="4"/>
    <n v="68000"/>
    <n v="850000"/>
    <n v="680000"/>
    <n v="170000"/>
  </r>
  <r>
    <s v="ID_213"/>
    <d v="2025-01-24T00:00:00"/>
    <x v="0"/>
    <x v="0"/>
    <x v="1"/>
    <s v="Retail"/>
    <s v="Store"/>
    <x v="4"/>
    <x v="1"/>
    <n v="180000"/>
    <n v="3"/>
    <x v="4"/>
    <n v="144000"/>
    <n v="540000"/>
    <n v="432000"/>
    <n v="108000"/>
  </r>
  <r>
    <s v="ID_1729"/>
    <d v="2025-03-02T00:00:00"/>
    <x v="3"/>
    <x v="1"/>
    <x v="3"/>
    <s v="Corporate"/>
    <s v="Store"/>
    <x v="1"/>
    <x v="1"/>
    <n v="30000"/>
    <n v="3"/>
    <x v="5"/>
    <n v="24000"/>
    <n v="90000"/>
    <n v="72000"/>
    <n v="18000"/>
  </r>
  <r>
    <s v="ID_508"/>
    <d v="2025-01-03T00:00:00"/>
    <x v="0"/>
    <x v="3"/>
    <x v="1"/>
    <s v="Retail"/>
    <s v="Store"/>
    <x v="6"/>
    <x v="2"/>
    <n v="150000"/>
    <n v="5"/>
    <x v="4"/>
    <n v="120000"/>
    <n v="750000"/>
    <n v="600000"/>
    <n v="150000"/>
  </r>
  <r>
    <s v="ID_1216"/>
    <d v="2025-02-28T00:00:00"/>
    <x v="2"/>
    <x v="3"/>
    <x v="2"/>
    <s v="Retail"/>
    <s v="Online"/>
    <x v="3"/>
    <x v="2"/>
    <n v="300000"/>
    <n v="4"/>
    <x v="3"/>
    <n v="240000"/>
    <n v="1200000"/>
    <n v="960000"/>
    <n v="240000"/>
  </r>
  <r>
    <s v="ID_1048"/>
    <d v="2025-01-29T00:00:00"/>
    <x v="0"/>
    <x v="1"/>
    <x v="2"/>
    <s v="Corporate"/>
    <s v="Store"/>
    <x v="1"/>
    <x v="1"/>
    <n v="30000"/>
    <n v="8"/>
    <x v="4"/>
    <n v="24000"/>
    <n v="240000"/>
    <n v="192000"/>
    <n v="48000"/>
  </r>
  <r>
    <s v="ID_300"/>
    <d v="2025-02-26T00:00:00"/>
    <x v="2"/>
    <x v="0"/>
    <x v="0"/>
    <s v="Retail"/>
    <s v="Store"/>
    <x v="9"/>
    <x v="1"/>
    <n v="220000"/>
    <n v="10"/>
    <x v="1"/>
    <n v="176000"/>
    <n v="2200000"/>
    <n v="1760000"/>
    <n v="440000"/>
  </r>
  <r>
    <s v="ID_1732"/>
    <d v="2025-03-09T00:00:00"/>
    <x v="3"/>
    <x v="2"/>
    <x v="2"/>
    <s v="Retail"/>
    <s v="Online"/>
    <x v="1"/>
    <x v="1"/>
    <n v="30000"/>
    <n v="10"/>
    <x v="2"/>
    <n v="24000"/>
    <n v="300000"/>
    <n v="240000"/>
    <n v="60000"/>
  </r>
  <r>
    <s v="ID_1247"/>
    <d v="2025-04-25T00:00:00"/>
    <x v="1"/>
    <x v="1"/>
    <x v="1"/>
    <s v="Corporate"/>
    <s v="Store"/>
    <x v="8"/>
    <x v="2"/>
    <n v="250000"/>
    <n v="5"/>
    <x v="0"/>
    <n v="200000"/>
    <n v="1250000"/>
    <n v="1000000"/>
    <n v="250000"/>
  </r>
  <r>
    <s v="ID_706"/>
    <d v="2025-02-08T00:00:00"/>
    <x v="2"/>
    <x v="2"/>
    <x v="1"/>
    <s v="Corporate"/>
    <s v="Store"/>
    <x v="6"/>
    <x v="2"/>
    <n v="150000"/>
    <n v="8"/>
    <x v="0"/>
    <n v="120000"/>
    <n v="1200000"/>
    <n v="960000"/>
    <n v="240000"/>
  </r>
  <r>
    <s v="ID_859"/>
    <d v="2025-04-28T00:00:00"/>
    <x v="1"/>
    <x v="2"/>
    <x v="0"/>
    <s v="Retail"/>
    <s v="Store"/>
    <x v="0"/>
    <x v="0"/>
    <n v="85000"/>
    <n v="1"/>
    <x v="0"/>
    <n v="68000"/>
    <n v="85000"/>
    <n v="68000"/>
    <n v="17000"/>
  </r>
  <r>
    <s v="ID_1899"/>
    <d v="2025-05-01T00:00:00"/>
    <x v="4"/>
    <x v="1"/>
    <x v="2"/>
    <s v="Retail"/>
    <s v="Online"/>
    <x v="9"/>
    <x v="1"/>
    <n v="220000"/>
    <n v="2"/>
    <x v="4"/>
    <n v="176000"/>
    <n v="440000"/>
    <n v="352000"/>
    <n v="88000"/>
  </r>
  <r>
    <s v="ID_1467"/>
    <d v="2025-01-28T00:00:00"/>
    <x v="0"/>
    <x v="2"/>
    <x v="1"/>
    <s v="Corporate"/>
    <s v="Online"/>
    <x v="2"/>
    <x v="1"/>
    <n v="60000"/>
    <n v="9"/>
    <x v="2"/>
    <n v="48000"/>
    <n v="540000"/>
    <n v="432000"/>
    <n v="108000"/>
  </r>
  <r>
    <s v="ID_832"/>
    <d v="2025-02-17T00:00:00"/>
    <x v="2"/>
    <x v="3"/>
    <x v="2"/>
    <s v="Retail"/>
    <s v="Online"/>
    <x v="8"/>
    <x v="2"/>
    <n v="250000"/>
    <n v="9"/>
    <x v="3"/>
    <n v="200000"/>
    <n v="2250000"/>
    <n v="1800000"/>
    <n v="450000"/>
  </r>
  <r>
    <s v="ID_926"/>
    <d v="2025-03-25T00:00:00"/>
    <x v="3"/>
    <x v="1"/>
    <x v="0"/>
    <s v="Retail"/>
    <s v="Store"/>
    <x v="0"/>
    <x v="0"/>
    <n v="85000"/>
    <n v="7"/>
    <x v="4"/>
    <n v="68000"/>
    <n v="595000"/>
    <n v="476000"/>
    <n v="119000"/>
  </r>
  <r>
    <s v="ID_1881"/>
    <d v="2025-04-26T00:00:00"/>
    <x v="1"/>
    <x v="2"/>
    <x v="2"/>
    <s v="Retail"/>
    <s v="Store"/>
    <x v="6"/>
    <x v="2"/>
    <n v="150000"/>
    <n v="7"/>
    <x v="3"/>
    <n v="120000"/>
    <n v="1050000"/>
    <n v="840000"/>
    <n v="210000"/>
  </r>
  <r>
    <s v="ID_2"/>
    <d v="2025-02-26T00:00:00"/>
    <x v="2"/>
    <x v="1"/>
    <x v="2"/>
    <s v="Corporate"/>
    <s v="Online"/>
    <x v="1"/>
    <x v="1"/>
    <n v="30000"/>
    <n v="3"/>
    <x v="1"/>
    <n v="24000"/>
    <n v="90000"/>
    <n v="72000"/>
    <n v="18000"/>
  </r>
  <r>
    <s v="ID_1160"/>
    <d v="2025-04-23T00:00:00"/>
    <x v="1"/>
    <x v="1"/>
    <x v="2"/>
    <s v="Corporate"/>
    <s v="Store"/>
    <x v="1"/>
    <x v="1"/>
    <n v="30000"/>
    <n v="3"/>
    <x v="5"/>
    <n v="24000"/>
    <n v="90000"/>
    <n v="72000"/>
    <n v="18000"/>
  </r>
  <r>
    <s v="ID_1008"/>
    <d v="2025-02-23T00:00:00"/>
    <x v="2"/>
    <x v="3"/>
    <x v="3"/>
    <s v="Retail"/>
    <s v="Online"/>
    <x v="1"/>
    <x v="1"/>
    <n v="30000"/>
    <n v="4"/>
    <x v="4"/>
    <n v="24000"/>
    <n v="120000"/>
    <n v="96000"/>
    <n v="24000"/>
  </r>
  <r>
    <s v="ID_1155"/>
    <d v="2025-04-22T00:00:00"/>
    <x v="1"/>
    <x v="2"/>
    <x v="1"/>
    <s v="Retail"/>
    <s v="Store"/>
    <x v="2"/>
    <x v="1"/>
    <n v="60000"/>
    <n v="9"/>
    <x v="1"/>
    <n v="48000"/>
    <n v="540000"/>
    <n v="432000"/>
    <n v="108000"/>
  </r>
  <r>
    <s v="ID_772"/>
    <d v="2025-01-27T00:00:00"/>
    <x v="0"/>
    <x v="2"/>
    <x v="3"/>
    <s v="Corporate"/>
    <s v="Online"/>
    <x v="2"/>
    <x v="1"/>
    <n v="60000"/>
    <n v="9"/>
    <x v="3"/>
    <n v="48000"/>
    <n v="540000"/>
    <n v="432000"/>
    <n v="108000"/>
  </r>
  <r>
    <s v="ID_1568"/>
    <d v="2025-03-31T00:00:00"/>
    <x v="3"/>
    <x v="2"/>
    <x v="0"/>
    <s v="Corporate"/>
    <s v="Online"/>
    <x v="7"/>
    <x v="2"/>
    <n v="420000"/>
    <n v="2"/>
    <x v="2"/>
    <n v="336000"/>
    <n v="840000"/>
    <n v="672000"/>
    <n v="168000"/>
  </r>
  <r>
    <s v="ID_1746"/>
    <d v="2025-03-11T00:00:00"/>
    <x v="3"/>
    <x v="3"/>
    <x v="2"/>
    <s v="Retail"/>
    <s v="Store"/>
    <x v="5"/>
    <x v="0"/>
    <n v="320000"/>
    <n v="1"/>
    <x v="5"/>
    <n v="256000"/>
    <n v="320000"/>
    <n v="256000"/>
    <n v="64000"/>
  </r>
  <r>
    <s v="ID_376"/>
    <d v="2025-01-02T00:00:00"/>
    <x v="0"/>
    <x v="0"/>
    <x v="0"/>
    <s v="Retail"/>
    <s v="Store"/>
    <x v="1"/>
    <x v="1"/>
    <n v="30000"/>
    <n v="5"/>
    <x v="1"/>
    <n v="24000"/>
    <n v="150000"/>
    <n v="120000"/>
    <n v="30000"/>
  </r>
  <r>
    <s v="ID_1428"/>
    <d v="2025-03-02T00:00:00"/>
    <x v="3"/>
    <x v="0"/>
    <x v="2"/>
    <s v="Corporate"/>
    <s v="Store"/>
    <x v="0"/>
    <x v="0"/>
    <n v="85000"/>
    <n v="5"/>
    <x v="5"/>
    <n v="68000"/>
    <n v="425000"/>
    <n v="340000"/>
    <n v="85000"/>
  </r>
  <r>
    <s v="ID_1549"/>
    <d v="2025-01-16T00:00:00"/>
    <x v="0"/>
    <x v="0"/>
    <x v="2"/>
    <s v="Corporate"/>
    <s v="Online"/>
    <x v="7"/>
    <x v="2"/>
    <n v="420000"/>
    <n v="10"/>
    <x v="3"/>
    <n v="336000"/>
    <n v="4200000"/>
    <n v="3360000"/>
    <n v="840000"/>
  </r>
  <r>
    <s v="ID_710"/>
    <d v="2025-03-14T00:00:00"/>
    <x v="3"/>
    <x v="1"/>
    <x v="0"/>
    <s v="Corporate"/>
    <s v="Online"/>
    <x v="8"/>
    <x v="2"/>
    <n v="250000"/>
    <n v="8"/>
    <x v="4"/>
    <n v="200000"/>
    <n v="2000000"/>
    <n v="1600000"/>
    <n v="400000"/>
  </r>
  <r>
    <s v="ID_1210"/>
    <d v="2025-03-25T00:00:00"/>
    <x v="3"/>
    <x v="0"/>
    <x v="1"/>
    <s v="Corporate"/>
    <s v="Store"/>
    <x v="8"/>
    <x v="2"/>
    <n v="250000"/>
    <n v="10"/>
    <x v="3"/>
    <n v="200000"/>
    <n v="2500000"/>
    <n v="2000000"/>
    <n v="500000"/>
  </r>
  <r>
    <s v="ID_1233"/>
    <d v="2025-02-11T00:00:00"/>
    <x v="2"/>
    <x v="1"/>
    <x v="1"/>
    <s v="Corporate"/>
    <s v="Store"/>
    <x v="6"/>
    <x v="2"/>
    <n v="150000"/>
    <n v="4"/>
    <x v="2"/>
    <n v="120000"/>
    <n v="600000"/>
    <n v="480000"/>
    <n v="120000"/>
  </r>
  <r>
    <s v="ID_559"/>
    <d v="2025-02-01T00:00:00"/>
    <x v="2"/>
    <x v="1"/>
    <x v="1"/>
    <s v="Corporate"/>
    <s v="Online"/>
    <x v="4"/>
    <x v="1"/>
    <n v="180000"/>
    <n v="6"/>
    <x v="2"/>
    <n v="144000"/>
    <n v="1080000"/>
    <n v="864000"/>
    <n v="216000"/>
  </r>
  <r>
    <s v="ID_984"/>
    <d v="2025-04-30T00:00:00"/>
    <x v="1"/>
    <x v="1"/>
    <x v="2"/>
    <s v="Corporate"/>
    <s v="Store"/>
    <x v="1"/>
    <x v="1"/>
    <n v="30000"/>
    <n v="6"/>
    <x v="2"/>
    <n v="24000"/>
    <n v="180000"/>
    <n v="144000"/>
    <n v="36000"/>
  </r>
  <r>
    <s v="ID_993"/>
    <d v="2025-02-08T00:00:00"/>
    <x v="2"/>
    <x v="0"/>
    <x v="1"/>
    <s v="Corporate"/>
    <s v="Online"/>
    <x v="8"/>
    <x v="2"/>
    <n v="250000"/>
    <n v="5"/>
    <x v="3"/>
    <n v="200000"/>
    <n v="1250000"/>
    <n v="1000000"/>
    <n v="250000"/>
  </r>
  <r>
    <s v="ID_1943"/>
    <d v="2025-02-02T00:00:00"/>
    <x v="2"/>
    <x v="2"/>
    <x v="1"/>
    <s v="Corporate"/>
    <s v="Online"/>
    <x v="5"/>
    <x v="0"/>
    <n v="320000"/>
    <n v="2"/>
    <x v="5"/>
    <n v="256000"/>
    <n v="640000"/>
    <n v="512000"/>
    <n v="128000"/>
  </r>
  <r>
    <s v="ID_531"/>
    <d v="2025-02-10T00:00:00"/>
    <x v="2"/>
    <x v="1"/>
    <x v="1"/>
    <s v="Corporate"/>
    <s v="Store"/>
    <x v="3"/>
    <x v="2"/>
    <n v="300000"/>
    <n v="10"/>
    <x v="3"/>
    <n v="240000"/>
    <n v="3000000"/>
    <n v="2400000"/>
    <n v="600000"/>
  </r>
  <r>
    <s v="ID_625"/>
    <d v="2025-01-24T00:00:00"/>
    <x v="0"/>
    <x v="0"/>
    <x v="1"/>
    <s v="Corporate"/>
    <s v="Store"/>
    <x v="3"/>
    <x v="2"/>
    <n v="300000"/>
    <n v="7"/>
    <x v="4"/>
    <n v="240000"/>
    <n v="2100000"/>
    <n v="1680000"/>
    <n v="420000"/>
  </r>
  <r>
    <s v="ID_813"/>
    <d v="2025-01-12T00:00:00"/>
    <x v="0"/>
    <x v="3"/>
    <x v="0"/>
    <s v="Corporate"/>
    <s v="Online"/>
    <x v="4"/>
    <x v="1"/>
    <n v="180000"/>
    <n v="1"/>
    <x v="5"/>
    <n v="144000"/>
    <n v="180000"/>
    <n v="144000"/>
    <n v="36000"/>
  </r>
  <r>
    <s v="ID_1471"/>
    <d v="2025-02-25T00:00:00"/>
    <x v="2"/>
    <x v="1"/>
    <x v="2"/>
    <s v="Corporate"/>
    <s v="Store"/>
    <x v="3"/>
    <x v="2"/>
    <n v="300000"/>
    <n v="10"/>
    <x v="0"/>
    <n v="240000"/>
    <n v="3000000"/>
    <n v="2400000"/>
    <n v="600000"/>
  </r>
  <r>
    <s v="ID_1545"/>
    <d v="2025-04-20T00:00:00"/>
    <x v="1"/>
    <x v="0"/>
    <x v="3"/>
    <s v="Corporate"/>
    <s v="Online"/>
    <x v="4"/>
    <x v="1"/>
    <n v="180000"/>
    <n v="7"/>
    <x v="4"/>
    <n v="144000"/>
    <n v="1260000"/>
    <n v="1008000"/>
    <n v="252000"/>
  </r>
  <r>
    <s v="ID_674"/>
    <d v="2025-01-27T00:00:00"/>
    <x v="0"/>
    <x v="0"/>
    <x v="1"/>
    <s v="Corporate"/>
    <s v="Online"/>
    <x v="1"/>
    <x v="1"/>
    <n v="30000"/>
    <n v="7"/>
    <x v="2"/>
    <n v="24000"/>
    <n v="210000"/>
    <n v="168000"/>
    <n v="42000"/>
  </r>
  <r>
    <s v="ID_533"/>
    <d v="2025-01-28T00:00:00"/>
    <x v="0"/>
    <x v="1"/>
    <x v="0"/>
    <s v="Corporate"/>
    <s v="Online"/>
    <x v="1"/>
    <x v="1"/>
    <n v="30000"/>
    <n v="6"/>
    <x v="1"/>
    <n v="24000"/>
    <n v="180000"/>
    <n v="144000"/>
    <n v="36000"/>
  </r>
  <r>
    <s v="ID_1828"/>
    <d v="2025-02-23T00:00:00"/>
    <x v="2"/>
    <x v="1"/>
    <x v="1"/>
    <s v="Corporate"/>
    <s v="Online"/>
    <x v="0"/>
    <x v="0"/>
    <n v="85000"/>
    <n v="7"/>
    <x v="3"/>
    <n v="68000"/>
    <n v="595000"/>
    <n v="476000"/>
    <n v="119000"/>
  </r>
  <r>
    <s v="ID_851"/>
    <d v="2025-04-15T00:00:00"/>
    <x v="1"/>
    <x v="1"/>
    <x v="0"/>
    <s v="Corporate"/>
    <s v="Store"/>
    <x v="8"/>
    <x v="2"/>
    <n v="250000"/>
    <n v="3"/>
    <x v="3"/>
    <n v="200000"/>
    <n v="750000"/>
    <n v="600000"/>
    <n v="150000"/>
  </r>
  <r>
    <s v="ID_1516"/>
    <d v="2025-02-20T00:00:00"/>
    <x v="2"/>
    <x v="0"/>
    <x v="1"/>
    <s v="Corporate"/>
    <s v="Online"/>
    <x v="5"/>
    <x v="0"/>
    <n v="320000"/>
    <n v="7"/>
    <x v="2"/>
    <n v="256000"/>
    <n v="2240000"/>
    <n v="1792000"/>
    <n v="448000"/>
  </r>
  <r>
    <s v="ID_944"/>
    <d v="2025-01-11T00:00:00"/>
    <x v="0"/>
    <x v="2"/>
    <x v="2"/>
    <s v="Corporate"/>
    <s v="Store"/>
    <x v="1"/>
    <x v="1"/>
    <n v="30000"/>
    <n v="7"/>
    <x v="3"/>
    <n v="24000"/>
    <n v="210000"/>
    <n v="168000"/>
    <n v="42000"/>
  </r>
  <r>
    <s v="ID_1711"/>
    <d v="2025-03-14T00:00:00"/>
    <x v="3"/>
    <x v="0"/>
    <x v="2"/>
    <s v="Corporate"/>
    <s v="Online"/>
    <x v="5"/>
    <x v="0"/>
    <n v="320000"/>
    <n v="8"/>
    <x v="0"/>
    <n v="256000"/>
    <n v="2560000"/>
    <n v="2048000"/>
    <n v="512000"/>
  </r>
  <r>
    <s v="ID_1894"/>
    <d v="2025-04-25T00:00:00"/>
    <x v="1"/>
    <x v="3"/>
    <x v="3"/>
    <s v="Corporate"/>
    <s v="Online"/>
    <x v="5"/>
    <x v="0"/>
    <n v="320000"/>
    <n v="7"/>
    <x v="4"/>
    <n v="256000"/>
    <n v="2240000"/>
    <n v="1792000"/>
    <n v="448000"/>
  </r>
  <r>
    <s v="ID_185"/>
    <d v="2025-04-23T00:00:00"/>
    <x v="1"/>
    <x v="1"/>
    <x v="1"/>
    <s v="Corporate"/>
    <s v="Store"/>
    <x v="2"/>
    <x v="1"/>
    <n v="60000"/>
    <n v="2"/>
    <x v="2"/>
    <n v="48000"/>
    <n v="120000"/>
    <n v="96000"/>
    <n v="24000"/>
  </r>
  <r>
    <s v="ID_1155"/>
    <d v="2025-03-05T00:00:00"/>
    <x v="3"/>
    <x v="0"/>
    <x v="0"/>
    <s v="Corporate"/>
    <s v="Store"/>
    <x v="9"/>
    <x v="1"/>
    <n v="220000"/>
    <n v="8"/>
    <x v="4"/>
    <n v="176000"/>
    <n v="1760000"/>
    <n v="1408000"/>
    <n v="352000"/>
  </r>
  <r>
    <s v="ID_1900"/>
    <d v="2025-01-27T00:00:00"/>
    <x v="0"/>
    <x v="2"/>
    <x v="2"/>
    <s v="Corporate"/>
    <s v="Online"/>
    <x v="2"/>
    <x v="1"/>
    <n v="60000"/>
    <n v="2"/>
    <x v="2"/>
    <n v="48000"/>
    <n v="120000"/>
    <n v="96000"/>
    <n v="24000"/>
  </r>
  <r>
    <s v="ID_2053"/>
    <d v="2025-04-06T00:00:00"/>
    <x v="1"/>
    <x v="0"/>
    <x v="2"/>
    <s v="Corporate"/>
    <s v="Online"/>
    <x v="5"/>
    <x v="0"/>
    <n v="320000"/>
    <n v="2"/>
    <x v="5"/>
    <n v="256000"/>
    <n v="640000"/>
    <n v="512000"/>
    <n v="128000"/>
  </r>
  <r>
    <s v="ID_1496"/>
    <d v="2025-04-15T00:00:00"/>
    <x v="1"/>
    <x v="1"/>
    <x v="0"/>
    <s v="Corporate"/>
    <s v="Store"/>
    <x v="1"/>
    <x v="1"/>
    <n v="30000"/>
    <n v="2"/>
    <x v="3"/>
    <n v="24000"/>
    <n v="60000"/>
    <n v="48000"/>
    <n v="12000"/>
  </r>
  <r>
    <s v="ID_70"/>
    <d v="2025-04-05T00:00:00"/>
    <x v="1"/>
    <x v="3"/>
    <x v="1"/>
    <s v="Corporate"/>
    <s v="Store"/>
    <x v="1"/>
    <x v="1"/>
    <n v="30000"/>
    <n v="7"/>
    <x v="3"/>
    <n v="24000"/>
    <n v="210000"/>
    <n v="168000"/>
    <n v="42000"/>
  </r>
  <r>
    <s v="ID_555"/>
    <d v="2025-03-12T00:00:00"/>
    <x v="3"/>
    <x v="3"/>
    <x v="0"/>
    <s v="Corporate"/>
    <s v="Store"/>
    <x v="8"/>
    <x v="2"/>
    <n v="250000"/>
    <n v="10"/>
    <x v="3"/>
    <n v="200000"/>
    <n v="2500000"/>
    <n v="2000000"/>
    <n v="500000"/>
  </r>
  <r>
    <s v="ID_1025"/>
    <d v="2025-04-21T00:00:00"/>
    <x v="1"/>
    <x v="1"/>
    <x v="3"/>
    <s v="Corporate"/>
    <s v="Store"/>
    <x v="3"/>
    <x v="2"/>
    <n v="300000"/>
    <n v="9"/>
    <x v="2"/>
    <n v="240000"/>
    <n v="2700000"/>
    <n v="2160000"/>
    <n v="540000"/>
  </r>
  <r>
    <s v="ID_833"/>
    <d v="2025-03-04T00:00:00"/>
    <x v="3"/>
    <x v="2"/>
    <x v="2"/>
    <s v="Corporate"/>
    <s v="Store"/>
    <x v="0"/>
    <x v="0"/>
    <n v="85000"/>
    <n v="6"/>
    <x v="4"/>
    <n v="68000"/>
    <n v="510000"/>
    <n v="408000"/>
    <n v="102000"/>
  </r>
  <r>
    <s v="ID_492"/>
    <d v="2025-01-30T00:00:00"/>
    <x v="0"/>
    <x v="0"/>
    <x v="0"/>
    <s v="Corporate"/>
    <s v="Store"/>
    <x v="1"/>
    <x v="1"/>
    <n v="30000"/>
    <n v="4"/>
    <x v="0"/>
    <n v="24000"/>
    <n v="120000"/>
    <n v="96000"/>
    <n v="24000"/>
  </r>
  <r>
    <s v="ID_1836"/>
    <d v="2025-03-29T00:00:00"/>
    <x v="3"/>
    <x v="2"/>
    <x v="3"/>
    <s v="Corporate"/>
    <s v="Online"/>
    <x v="3"/>
    <x v="2"/>
    <n v="300000"/>
    <n v="4"/>
    <x v="0"/>
    <n v="240000"/>
    <n v="1200000"/>
    <n v="960000"/>
    <n v="240000"/>
  </r>
  <r>
    <s v="ID_1021"/>
    <d v="2025-02-09T00:00:00"/>
    <x v="2"/>
    <x v="2"/>
    <x v="3"/>
    <s v="Corporate"/>
    <s v="Store"/>
    <x v="9"/>
    <x v="1"/>
    <n v="220000"/>
    <n v="5"/>
    <x v="3"/>
    <n v="176000"/>
    <n v="1100000"/>
    <n v="880000"/>
    <n v="220000"/>
  </r>
  <r>
    <s v="ID_1912"/>
    <d v="2025-01-22T00:00:00"/>
    <x v="0"/>
    <x v="1"/>
    <x v="3"/>
    <s v="Corporate"/>
    <s v="Store"/>
    <x v="9"/>
    <x v="1"/>
    <n v="220000"/>
    <n v="4"/>
    <x v="3"/>
    <n v="176000"/>
    <n v="880000"/>
    <n v="704000"/>
    <n v="176000"/>
  </r>
  <r>
    <s v="ID_478"/>
    <d v="2025-01-23T00:00:00"/>
    <x v="0"/>
    <x v="1"/>
    <x v="3"/>
    <s v="Corporate"/>
    <s v="Online"/>
    <x v="1"/>
    <x v="1"/>
    <n v="30000"/>
    <n v="1"/>
    <x v="5"/>
    <n v="24000"/>
    <n v="30000"/>
    <n v="24000"/>
    <n v="6000"/>
  </r>
  <r>
    <s v="ID_1228"/>
    <d v="2025-02-12T00:00:00"/>
    <x v="2"/>
    <x v="2"/>
    <x v="1"/>
    <s v="Retail"/>
    <s v="Online"/>
    <x v="7"/>
    <x v="2"/>
    <n v="420000"/>
    <n v="9"/>
    <x v="1"/>
    <n v="336000"/>
    <n v="3780000"/>
    <n v="3024000"/>
    <n v="756000"/>
  </r>
  <r>
    <s v="ID_1902"/>
    <d v="2025-04-13T00:00:00"/>
    <x v="1"/>
    <x v="0"/>
    <x v="1"/>
    <s v="Corporate"/>
    <s v="Online"/>
    <x v="2"/>
    <x v="1"/>
    <n v="60000"/>
    <n v="6"/>
    <x v="1"/>
    <n v="48000"/>
    <n v="360000"/>
    <n v="288000"/>
    <n v="72000"/>
  </r>
  <r>
    <s v="ID_818"/>
    <d v="2025-01-27T00:00:00"/>
    <x v="0"/>
    <x v="0"/>
    <x v="3"/>
    <s v="Retail"/>
    <s v="Online"/>
    <x v="4"/>
    <x v="1"/>
    <n v="180000"/>
    <n v="2"/>
    <x v="2"/>
    <n v="144000"/>
    <n v="360000"/>
    <n v="288000"/>
    <n v="72000"/>
  </r>
  <r>
    <s v="ID_826"/>
    <d v="2025-04-16T00:00:00"/>
    <x v="1"/>
    <x v="1"/>
    <x v="1"/>
    <s v="Retail"/>
    <s v="Online"/>
    <x v="0"/>
    <x v="0"/>
    <n v="85000"/>
    <n v="1"/>
    <x v="1"/>
    <n v="68000"/>
    <n v="85000"/>
    <n v="68000"/>
    <n v="17000"/>
  </r>
  <r>
    <s v="ID_41"/>
    <d v="2025-02-13T00:00:00"/>
    <x v="2"/>
    <x v="0"/>
    <x v="2"/>
    <s v="Retail"/>
    <s v="Store"/>
    <x v="8"/>
    <x v="2"/>
    <n v="250000"/>
    <n v="2"/>
    <x v="0"/>
    <n v="200000"/>
    <n v="500000"/>
    <n v="400000"/>
    <n v="100000"/>
  </r>
  <r>
    <s v="ID_1415"/>
    <d v="2025-01-13T00:00:00"/>
    <x v="0"/>
    <x v="3"/>
    <x v="3"/>
    <s v="Retail"/>
    <s v="Store"/>
    <x v="1"/>
    <x v="1"/>
    <n v="30000"/>
    <n v="7"/>
    <x v="3"/>
    <n v="24000"/>
    <n v="210000"/>
    <n v="168000"/>
    <n v="42000"/>
  </r>
  <r>
    <s v="ID_1014"/>
    <d v="2025-04-24T00:00:00"/>
    <x v="1"/>
    <x v="0"/>
    <x v="1"/>
    <s v="Retail"/>
    <s v="Store"/>
    <x v="7"/>
    <x v="2"/>
    <n v="420000"/>
    <n v="9"/>
    <x v="3"/>
    <n v="336000"/>
    <n v="3780000"/>
    <n v="3024000"/>
    <n v="756000"/>
  </r>
  <r>
    <s v="ID_1822"/>
    <d v="2025-01-19T00:00:00"/>
    <x v="0"/>
    <x v="2"/>
    <x v="3"/>
    <s v="Retail"/>
    <s v="Online"/>
    <x v="2"/>
    <x v="1"/>
    <n v="60000"/>
    <n v="7"/>
    <x v="1"/>
    <n v="48000"/>
    <n v="420000"/>
    <n v="336000"/>
    <n v="84000"/>
  </r>
  <r>
    <s v="ID_822"/>
    <d v="2025-04-01T00:00:00"/>
    <x v="1"/>
    <x v="3"/>
    <x v="2"/>
    <s v="Retail"/>
    <s v="Store"/>
    <x v="3"/>
    <x v="2"/>
    <n v="300000"/>
    <n v="7"/>
    <x v="3"/>
    <n v="240000"/>
    <n v="2100000"/>
    <n v="1680000"/>
    <n v="420000"/>
  </r>
  <r>
    <s v="ID_526"/>
    <d v="2025-03-03T00:00:00"/>
    <x v="3"/>
    <x v="1"/>
    <x v="0"/>
    <s v="Corporate"/>
    <s v="Online"/>
    <x v="6"/>
    <x v="2"/>
    <n v="150000"/>
    <n v="9"/>
    <x v="5"/>
    <n v="120000"/>
    <n v="1350000"/>
    <n v="1080000"/>
    <n v="270000"/>
  </r>
  <r>
    <s v="ID_1204"/>
    <d v="2025-02-05T00:00:00"/>
    <x v="2"/>
    <x v="2"/>
    <x v="2"/>
    <s v="Corporate"/>
    <s v="Online"/>
    <x v="3"/>
    <x v="2"/>
    <n v="300000"/>
    <n v="7"/>
    <x v="2"/>
    <n v="240000"/>
    <n v="2100000"/>
    <n v="1680000"/>
    <n v="420000"/>
  </r>
  <r>
    <s v="ID_1299"/>
    <d v="2025-01-24T00:00:00"/>
    <x v="0"/>
    <x v="0"/>
    <x v="1"/>
    <s v="Retail"/>
    <s v="Online"/>
    <x v="8"/>
    <x v="2"/>
    <n v="250000"/>
    <n v="1"/>
    <x v="4"/>
    <n v="200000"/>
    <n v="250000"/>
    <n v="200000"/>
    <n v="50000"/>
  </r>
  <r>
    <s v="ID_495"/>
    <d v="2025-01-11T00:00:00"/>
    <x v="0"/>
    <x v="0"/>
    <x v="1"/>
    <s v="Corporate"/>
    <s v="Online"/>
    <x v="8"/>
    <x v="2"/>
    <n v="250000"/>
    <n v="6"/>
    <x v="2"/>
    <n v="200000"/>
    <n v="1500000"/>
    <n v="1200000"/>
    <n v="300000"/>
  </r>
  <r>
    <s v="ID_80"/>
    <d v="2025-01-18T00:00:00"/>
    <x v="0"/>
    <x v="1"/>
    <x v="2"/>
    <s v="Corporate"/>
    <s v="Store"/>
    <x v="7"/>
    <x v="2"/>
    <n v="420000"/>
    <n v="9"/>
    <x v="5"/>
    <n v="336000"/>
    <n v="3780000"/>
    <n v="3024000"/>
    <n v="756000"/>
  </r>
  <r>
    <s v="ID_489"/>
    <d v="2025-03-14T00:00:00"/>
    <x v="3"/>
    <x v="2"/>
    <x v="3"/>
    <s v="Corporate"/>
    <s v="Online"/>
    <x v="4"/>
    <x v="1"/>
    <n v="180000"/>
    <n v="6"/>
    <x v="1"/>
    <n v="144000"/>
    <n v="1080000"/>
    <n v="864000"/>
    <n v="216000"/>
  </r>
  <r>
    <s v="ID_226"/>
    <d v="2025-01-11T00:00:00"/>
    <x v="0"/>
    <x v="2"/>
    <x v="2"/>
    <s v="Corporate"/>
    <s v="Online"/>
    <x v="0"/>
    <x v="0"/>
    <n v="85000"/>
    <n v="5"/>
    <x v="5"/>
    <n v="68000"/>
    <n v="425000"/>
    <n v="340000"/>
    <n v="85000"/>
  </r>
  <r>
    <s v="ID_486"/>
    <d v="2025-04-30T00:00:00"/>
    <x v="1"/>
    <x v="0"/>
    <x v="2"/>
    <s v="Corporate"/>
    <s v="Online"/>
    <x v="9"/>
    <x v="1"/>
    <n v="220000"/>
    <n v="5"/>
    <x v="5"/>
    <n v="176000"/>
    <n v="1100000"/>
    <n v="880000"/>
    <n v="220000"/>
  </r>
  <r>
    <s v="ID_561"/>
    <d v="2025-03-18T00:00:00"/>
    <x v="3"/>
    <x v="1"/>
    <x v="3"/>
    <s v="Retail"/>
    <s v="Online"/>
    <x v="2"/>
    <x v="1"/>
    <n v="60000"/>
    <n v="8"/>
    <x v="4"/>
    <n v="48000"/>
    <n v="480000"/>
    <n v="384000"/>
    <n v="96000"/>
  </r>
  <r>
    <s v="ID_402"/>
    <d v="2025-01-06T00:00:00"/>
    <x v="0"/>
    <x v="1"/>
    <x v="3"/>
    <s v="Corporate"/>
    <s v="Store"/>
    <x v="0"/>
    <x v="0"/>
    <n v="85000"/>
    <n v="10"/>
    <x v="3"/>
    <n v="68000"/>
    <n v="850000"/>
    <n v="680000"/>
    <n v="170000"/>
  </r>
  <r>
    <s v="ID_453"/>
    <d v="2025-02-17T00:00:00"/>
    <x v="2"/>
    <x v="3"/>
    <x v="1"/>
    <s v="Retail"/>
    <s v="Store"/>
    <x v="1"/>
    <x v="1"/>
    <n v="30000"/>
    <n v="6"/>
    <x v="5"/>
    <n v="24000"/>
    <n v="180000"/>
    <n v="144000"/>
    <n v="36000"/>
  </r>
  <r>
    <s v="ID_1134"/>
    <d v="2025-04-07T00:00:00"/>
    <x v="1"/>
    <x v="0"/>
    <x v="1"/>
    <s v="Corporate"/>
    <s v="Store"/>
    <x v="5"/>
    <x v="0"/>
    <n v="320000"/>
    <n v="10"/>
    <x v="1"/>
    <n v="256000"/>
    <n v="3200000"/>
    <n v="2560000"/>
    <n v="640000"/>
  </r>
  <r>
    <s v="ID_413"/>
    <d v="2025-04-19T00:00:00"/>
    <x v="1"/>
    <x v="2"/>
    <x v="3"/>
    <s v="Corporate"/>
    <s v="Store"/>
    <x v="2"/>
    <x v="1"/>
    <n v="60000"/>
    <n v="2"/>
    <x v="1"/>
    <n v="48000"/>
    <n v="120000"/>
    <n v="96000"/>
    <n v="24000"/>
  </r>
  <r>
    <s v="ID_888"/>
    <d v="2025-04-11T00:00:00"/>
    <x v="1"/>
    <x v="1"/>
    <x v="1"/>
    <s v="Corporate"/>
    <s v="Store"/>
    <x v="7"/>
    <x v="2"/>
    <n v="420000"/>
    <n v="3"/>
    <x v="0"/>
    <n v="336000"/>
    <n v="1260000"/>
    <n v="1008000"/>
    <n v="252000"/>
  </r>
  <r>
    <s v="ID_1061"/>
    <d v="2025-03-09T00:00:00"/>
    <x v="3"/>
    <x v="1"/>
    <x v="1"/>
    <s v="Retail"/>
    <s v="Online"/>
    <x v="6"/>
    <x v="2"/>
    <n v="150000"/>
    <n v="5"/>
    <x v="2"/>
    <n v="120000"/>
    <n v="750000"/>
    <n v="600000"/>
    <n v="150000"/>
  </r>
  <r>
    <s v="ID_1606"/>
    <d v="2025-02-18T00:00:00"/>
    <x v="2"/>
    <x v="2"/>
    <x v="1"/>
    <s v="Retail"/>
    <s v="Store"/>
    <x v="6"/>
    <x v="2"/>
    <n v="150000"/>
    <n v="9"/>
    <x v="3"/>
    <n v="120000"/>
    <n v="1350000"/>
    <n v="1080000"/>
    <n v="270000"/>
  </r>
  <r>
    <s v="ID_1036"/>
    <d v="2025-02-16T00:00:00"/>
    <x v="2"/>
    <x v="2"/>
    <x v="0"/>
    <s v="Corporate"/>
    <s v="Store"/>
    <x v="0"/>
    <x v="0"/>
    <n v="85000"/>
    <n v="5"/>
    <x v="4"/>
    <n v="68000"/>
    <n v="425000"/>
    <n v="340000"/>
    <n v="85000"/>
  </r>
  <r>
    <s v="ID_1149"/>
    <d v="2025-02-06T00:00:00"/>
    <x v="2"/>
    <x v="3"/>
    <x v="1"/>
    <s v="Corporate"/>
    <s v="Online"/>
    <x v="5"/>
    <x v="0"/>
    <n v="320000"/>
    <n v="1"/>
    <x v="1"/>
    <n v="256000"/>
    <n v="320000"/>
    <n v="256000"/>
    <n v="64000"/>
  </r>
  <r>
    <s v="ID_776"/>
    <d v="2025-03-26T00:00:00"/>
    <x v="3"/>
    <x v="1"/>
    <x v="0"/>
    <s v="Retail"/>
    <s v="Store"/>
    <x v="1"/>
    <x v="1"/>
    <n v="30000"/>
    <n v="4"/>
    <x v="2"/>
    <n v="24000"/>
    <n v="120000"/>
    <n v="96000"/>
    <n v="24000"/>
  </r>
  <r>
    <s v="ID_1334"/>
    <d v="2025-04-27T00:00:00"/>
    <x v="1"/>
    <x v="2"/>
    <x v="2"/>
    <s v="Corporate"/>
    <s v="Store"/>
    <x v="9"/>
    <x v="1"/>
    <n v="220000"/>
    <n v="8"/>
    <x v="4"/>
    <n v="176000"/>
    <n v="1760000"/>
    <n v="1408000"/>
    <n v="352000"/>
  </r>
  <r>
    <s v="ID_724"/>
    <d v="2025-03-25T00:00:00"/>
    <x v="3"/>
    <x v="0"/>
    <x v="3"/>
    <s v="Corporate"/>
    <s v="Store"/>
    <x v="5"/>
    <x v="0"/>
    <n v="320000"/>
    <n v="5"/>
    <x v="5"/>
    <n v="256000"/>
    <n v="1600000"/>
    <n v="1280000"/>
    <n v="320000"/>
  </r>
  <r>
    <s v="ID_684"/>
    <d v="2025-02-15T00:00:00"/>
    <x v="2"/>
    <x v="0"/>
    <x v="3"/>
    <s v="Corporate"/>
    <s v="Store"/>
    <x v="0"/>
    <x v="0"/>
    <n v="85000"/>
    <n v="3"/>
    <x v="4"/>
    <n v="68000"/>
    <n v="255000"/>
    <n v="204000"/>
    <n v="51000"/>
  </r>
  <r>
    <s v="ID_470"/>
    <d v="2025-02-01T00:00:00"/>
    <x v="2"/>
    <x v="1"/>
    <x v="2"/>
    <s v="Retail"/>
    <s v="Store"/>
    <x v="5"/>
    <x v="0"/>
    <n v="320000"/>
    <n v="10"/>
    <x v="0"/>
    <n v="256000"/>
    <n v="3200000"/>
    <n v="2560000"/>
    <n v="640000"/>
  </r>
  <r>
    <s v="ID_736"/>
    <d v="2025-02-28T00:00:00"/>
    <x v="2"/>
    <x v="0"/>
    <x v="2"/>
    <s v="Retail"/>
    <s v="Online"/>
    <x v="7"/>
    <x v="2"/>
    <n v="420000"/>
    <n v="2"/>
    <x v="5"/>
    <n v="336000"/>
    <n v="840000"/>
    <n v="672000"/>
    <n v="168000"/>
  </r>
  <r>
    <s v="ID_799"/>
    <d v="2025-03-22T00:00:00"/>
    <x v="3"/>
    <x v="3"/>
    <x v="3"/>
    <s v="Retail"/>
    <s v="Online"/>
    <x v="1"/>
    <x v="1"/>
    <n v="30000"/>
    <n v="3"/>
    <x v="0"/>
    <n v="24000"/>
    <n v="90000"/>
    <n v="72000"/>
    <n v="18000"/>
  </r>
  <r>
    <s v="ID_2047"/>
    <d v="2025-04-10T00:00:00"/>
    <x v="1"/>
    <x v="0"/>
    <x v="3"/>
    <s v="Corporate"/>
    <s v="Online"/>
    <x v="1"/>
    <x v="1"/>
    <n v="30000"/>
    <n v="1"/>
    <x v="5"/>
    <n v="24000"/>
    <n v="30000"/>
    <n v="24000"/>
    <n v="6000"/>
  </r>
  <r>
    <s v="ID_589"/>
    <d v="2025-01-09T00:00:00"/>
    <x v="0"/>
    <x v="1"/>
    <x v="2"/>
    <s v="Retail"/>
    <s v="Store"/>
    <x v="7"/>
    <x v="2"/>
    <n v="420000"/>
    <n v="10"/>
    <x v="5"/>
    <n v="336000"/>
    <n v="4200000"/>
    <n v="3360000"/>
    <n v="840000"/>
  </r>
  <r>
    <s v="ID_1589"/>
    <d v="2025-04-15T00:00:00"/>
    <x v="1"/>
    <x v="2"/>
    <x v="2"/>
    <s v="Retail"/>
    <s v="Store"/>
    <x v="6"/>
    <x v="2"/>
    <n v="150000"/>
    <n v="8"/>
    <x v="0"/>
    <n v="120000"/>
    <n v="1200000"/>
    <n v="960000"/>
    <n v="240000"/>
  </r>
  <r>
    <s v="ID_362"/>
    <d v="2025-03-01T00:00:00"/>
    <x v="3"/>
    <x v="3"/>
    <x v="1"/>
    <s v="Corporate"/>
    <s v="Store"/>
    <x v="9"/>
    <x v="1"/>
    <n v="220000"/>
    <n v="8"/>
    <x v="0"/>
    <n v="176000"/>
    <n v="1760000"/>
    <n v="1408000"/>
    <n v="352000"/>
  </r>
  <r>
    <s v="ID_1047"/>
    <d v="2025-01-28T00:00:00"/>
    <x v="0"/>
    <x v="1"/>
    <x v="3"/>
    <s v="Retail"/>
    <s v="Store"/>
    <x v="5"/>
    <x v="0"/>
    <n v="320000"/>
    <n v="9"/>
    <x v="3"/>
    <n v="256000"/>
    <n v="2880000"/>
    <n v="2304000"/>
    <n v="576000"/>
  </r>
  <r>
    <s v="ID_1389"/>
    <d v="2025-03-21T00:00:00"/>
    <x v="3"/>
    <x v="3"/>
    <x v="0"/>
    <s v="Retail"/>
    <s v="Store"/>
    <x v="9"/>
    <x v="1"/>
    <n v="220000"/>
    <n v="3"/>
    <x v="5"/>
    <n v="176000"/>
    <n v="660000"/>
    <n v="528000"/>
    <n v="132000"/>
  </r>
  <r>
    <s v="ID_256"/>
    <d v="2025-02-25T00:00:00"/>
    <x v="2"/>
    <x v="0"/>
    <x v="2"/>
    <s v="Corporate"/>
    <s v="Online"/>
    <x v="4"/>
    <x v="1"/>
    <n v="180000"/>
    <n v="8"/>
    <x v="3"/>
    <n v="144000"/>
    <n v="1440000"/>
    <n v="1152000"/>
    <n v="288000"/>
  </r>
  <r>
    <s v="ID_1538"/>
    <d v="2025-02-07T00:00:00"/>
    <x v="2"/>
    <x v="3"/>
    <x v="2"/>
    <s v="Retail"/>
    <s v="Store"/>
    <x v="8"/>
    <x v="2"/>
    <n v="250000"/>
    <n v="4"/>
    <x v="2"/>
    <n v="200000"/>
    <n v="1000000"/>
    <n v="800000"/>
    <n v="200000"/>
  </r>
  <r>
    <s v="ID_1976"/>
    <d v="2025-02-23T00:00:00"/>
    <x v="2"/>
    <x v="3"/>
    <x v="1"/>
    <s v="Corporate"/>
    <s v="Store"/>
    <x v="2"/>
    <x v="1"/>
    <n v="60000"/>
    <n v="7"/>
    <x v="3"/>
    <n v="48000"/>
    <n v="420000"/>
    <n v="336000"/>
    <n v="84000"/>
  </r>
  <r>
    <s v="ID_1600"/>
    <d v="2025-01-18T00:00:00"/>
    <x v="0"/>
    <x v="3"/>
    <x v="0"/>
    <s v="Corporate"/>
    <s v="Store"/>
    <x v="9"/>
    <x v="1"/>
    <n v="220000"/>
    <n v="10"/>
    <x v="5"/>
    <n v="176000"/>
    <n v="2200000"/>
    <n v="1760000"/>
    <n v="440000"/>
  </r>
  <r>
    <s v="ID_310"/>
    <d v="2025-04-14T00:00:00"/>
    <x v="1"/>
    <x v="2"/>
    <x v="2"/>
    <s v="Retail"/>
    <s v="Online"/>
    <x v="2"/>
    <x v="1"/>
    <n v="60000"/>
    <n v="9"/>
    <x v="5"/>
    <n v="48000"/>
    <n v="540000"/>
    <n v="432000"/>
    <n v="108000"/>
  </r>
  <r>
    <s v="ID_1880"/>
    <d v="2025-02-16T00:00:00"/>
    <x v="2"/>
    <x v="0"/>
    <x v="2"/>
    <s v="Corporate"/>
    <s v="Online"/>
    <x v="2"/>
    <x v="1"/>
    <n v="60000"/>
    <n v="2"/>
    <x v="2"/>
    <n v="48000"/>
    <n v="120000"/>
    <n v="96000"/>
    <n v="24000"/>
  </r>
  <r>
    <s v="ID_1336"/>
    <d v="2025-02-15T00:00:00"/>
    <x v="2"/>
    <x v="1"/>
    <x v="1"/>
    <s v="Corporate"/>
    <s v="Online"/>
    <x v="6"/>
    <x v="2"/>
    <n v="150000"/>
    <n v="3"/>
    <x v="0"/>
    <n v="120000"/>
    <n v="450000"/>
    <n v="360000"/>
    <n v="90000"/>
  </r>
  <r>
    <s v="ID_2029"/>
    <d v="2025-01-11T00:00:00"/>
    <x v="0"/>
    <x v="0"/>
    <x v="1"/>
    <s v="Corporate"/>
    <s v="Online"/>
    <x v="6"/>
    <x v="2"/>
    <n v="150000"/>
    <n v="10"/>
    <x v="0"/>
    <n v="120000"/>
    <n v="1500000"/>
    <n v="1200000"/>
    <n v="300000"/>
  </r>
  <r>
    <s v="ID_414"/>
    <d v="2025-01-19T00:00:00"/>
    <x v="0"/>
    <x v="3"/>
    <x v="2"/>
    <s v="Corporate"/>
    <s v="Online"/>
    <x v="6"/>
    <x v="2"/>
    <n v="150000"/>
    <n v="9"/>
    <x v="3"/>
    <n v="120000"/>
    <n v="1350000"/>
    <n v="1080000"/>
    <n v="270000"/>
  </r>
  <r>
    <s v="ID_563"/>
    <d v="2025-01-13T00:00:00"/>
    <x v="0"/>
    <x v="0"/>
    <x v="3"/>
    <s v="Retail"/>
    <s v="Online"/>
    <x v="5"/>
    <x v="0"/>
    <n v="320000"/>
    <n v="5"/>
    <x v="5"/>
    <n v="256000"/>
    <n v="1600000"/>
    <n v="1280000"/>
    <n v="320000"/>
  </r>
  <r>
    <s v="ID_706"/>
    <d v="2025-01-15T00:00:00"/>
    <x v="0"/>
    <x v="1"/>
    <x v="3"/>
    <s v="Retail"/>
    <s v="Online"/>
    <x v="4"/>
    <x v="1"/>
    <n v="180000"/>
    <n v="3"/>
    <x v="0"/>
    <n v="144000"/>
    <n v="540000"/>
    <n v="432000"/>
    <n v="108000"/>
  </r>
  <r>
    <s v="ID_563"/>
    <d v="2025-01-18T00:00:00"/>
    <x v="0"/>
    <x v="0"/>
    <x v="2"/>
    <s v="Corporate"/>
    <s v="Online"/>
    <x v="0"/>
    <x v="0"/>
    <n v="85000"/>
    <n v="4"/>
    <x v="3"/>
    <n v="68000"/>
    <n v="340000"/>
    <n v="272000"/>
    <n v="68000"/>
  </r>
  <r>
    <s v="ID_499"/>
    <d v="2025-03-14T00:00:00"/>
    <x v="3"/>
    <x v="0"/>
    <x v="3"/>
    <s v="Corporate"/>
    <s v="Store"/>
    <x v="5"/>
    <x v="0"/>
    <n v="320000"/>
    <n v="7"/>
    <x v="5"/>
    <n v="256000"/>
    <n v="2240000"/>
    <n v="1792000"/>
    <n v="448000"/>
  </r>
  <r>
    <s v="ID_1674"/>
    <d v="2025-04-02T00:00:00"/>
    <x v="1"/>
    <x v="2"/>
    <x v="1"/>
    <s v="Retail"/>
    <s v="Store"/>
    <x v="9"/>
    <x v="1"/>
    <n v="220000"/>
    <n v="5"/>
    <x v="3"/>
    <n v="176000"/>
    <n v="1100000"/>
    <n v="880000"/>
    <n v="220000"/>
  </r>
  <r>
    <s v="ID_1639"/>
    <d v="2025-03-20T00:00:00"/>
    <x v="3"/>
    <x v="2"/>
    <x v="1"/>
    <s v="Corporate"/>
    <s v="Store"/>
    <x v="6"/>
    <x v="2"/>
    <n v="150000"/>
    <n v="3"/>
    <x v="0"/>
    <n v="120000"/>
    <n v="450000"/>
    <n v="360000"/>
    <n v="90000"/>
  </r>
  <r>
    <s v="ID_1712"/>
    <d v="2025-01-02T00:00:00"/>
    <x v="0"/>
    <x v="0"/>
    <x v="1"/>
    <s v="Corporate"/>
    <s v="Online"/>
    <x v="7"/>
    <x v="2"/>
    <n v="420000"/>
    <n v="8"/>
    <x v="1"/>
    <n v="336000"/>
    <n v="3360000"/>
    <n v="2688000"/>
    <n v="672000"/>
  </r>
  <r>
    <s v="ID_336"/>
    <d v="2025-01-07T00:00:00"/>
    <x v="0"/>
    <x v="1"/>
    <x v="3"/>
    <s v="Retail"/>
    <s v="Online"/>
    <x v="9"/>
    <x v="1"/>
    <n v="220000"/>
    <n v="9"/>
    <x v="1"/>
    <n v="176000"/>
    <n v="1980000"/>
    <n v="1584000"/>
    <n v="396000"/>
  </r>
  <r>
    <s v="ID_1633"/>
    <d v="2025-05-01T00:00:00"/>
    <x v="4"/>
    <x v="3"/>
    <x v="0"/>
    <s v="Retail"/>
    <s v="Online"/>
    <x v="7"/>
    <x v="2"/>
    <n v="420000"/>
    <n v="3"/>
    <x v="5"/>
    <n v="336000"/>
    <n v="1260000"/>
    <n v="1008000"/>
    <n v="252000"/>
  </r>
  <r>
    <s v="ID_1337"/>
    <d v="2025-01-14T00:00:00"/>
    <x v="0"/>
    <x v="3"/>
    <x v="0"/>
    <s v="Retail"/>
    <s v="Store"/>
    <x v="8"/>
    <x v="2"/>
    <n v="250000"/>
    <n v="1"/>
    <x v="2"/>
    <n v="200000"/>
    <n v="250000"/>
    <n v="200000"/>
    <n v="50000"/>
  </r>
  <r>
    <s v="ID_394"/>
    <d v="2025-01-22T00:00:00"/>
    <x v="0"/>
    <x v="1"/>
    <x v="1"/>
    <s v="Retail"/>
    <s v="Store"/>
    <x v="5"/>
    <x v="0"/>
    <n v="320000"/>
    <n v="7"/>
    <x v="4"/>
    <n v="256000"/>
    <n v="2240000"/>
    <n v="1792000"/>
    <n v="448000"/>
  </r>
  <r>
    <s v="ID_456"/>
    <d v="2025-01-30T00:00:00"/>
    <x v="0"/>
    <x v="3"/>
    <x v="1"/>
    <s v="Retail"/>
    <s v="Online"/>
    <x v="7"/>
    <x v="2"/>
    <n v="420000"/>
    <n v="2"/>
    <x v="5"/>
    <n v="336000"/>
    <n v="840000"/>
    <n v="672000"/>
    <n v="168000"/>
  </r>
  <r>
    <s v="ID_1365"/>
    <d v="2025-03-25T00:00:00"/>
    <x v="3"/>
    <x v="2"/>
    <x v="0"/>
    <s v="Retail"/>
    <s v="Store"/>
    <x v="5"/>
    <x v="0"/>
    <n v="320000"/>
    <n v="3"/>
    <x v="2"/>
    <n v="256000"/>
    <n v="960000"/>
    <n v="768000"/>
    <n v="192000"/>
  </r>
  <r>
    <s v="ID_445"/>
    <d v="2025-02-18T00:00:00"/>
    <x v="2"/>
    <x v="2"/>
    <x v="0"/>
    <s v="Corporate"/>
    <s v="Online"/>
    <x v="6"/>
    <x v="2"/>
    <n v="150000"/>
    <n v="2"/>
    <x v="4"/>
    <n v="120000"/>
    <n v="300000"/>
    <n v="240000"/>
    <n v="60000"/>
  </r>
  <r>
    <s v="ID_1523"/>
    <d v="2025-02-11T00:00:00"/>
    <x v="2"/>
    <x v="0"/>
    <x v="1"/>
    <s v="Corporate"/>
    <s v="Store"/>
    <x v="7"/>
    <x v="2"/>
    <n v="420000"/>
    <n v="8"/>
    <x v="2"/>
    <n v="336000"/>
    <n v="3360000"/>
    <n v="2688000"/>
    <n v="672000"/>
  </r>
  <r>
    <s v="ID_1152"/>
    <d v="2025-04-29T00:00:00"/>
    <x v="1"/>
    <x v="1"/>
    <x v="0"/>
    <s v="Corporate"/>
    <s v="Store"/>
    <x v="7"/>
    <x v="2"/>
    <n v="420000"/>
    <n v="1"/>
    <x v="5"/>
    <n v="336000"/>
    <n v="420000"/>
    <n v="336000"/>
    <n v="84000"/>
  </r>
  <r>
    <s v="ID_2088"/>
    <d v="2025-03-10T00:00:00"/>
    <x v="3"/>
    <x v="0"/>
    <x v="3"/>
    <s v="Retail"/>
    <s v="Online"/>
    <x v="3"/>
    <x v="2"/>
    <n v="300000"/>
    <n v="5"/>
    <x v="3"/>
    <n v="240000"/>
    <n v="1500000"/>
    <n v="1200000"/>
    <n v="300000"/>
  </r>
  <r>
    <s v="ID_198"/>
    <d v="2025-02-24T00:00:00"/>
    <x v="2"/>
    <x v="1"/>
    <x v="0"/>
    <s v="Retail"/>
    <s v="Store"/>
    <x v="4"/>
    <x v="1"/>
    <n v="180000"/>
    <n v="7"/>
    <x v="4"/>
    <n v="144000"/>
    <n v="1260000"/>
    <n v="1008000"/>
    <n v="252000"/>
  </r>
  <r>
    <s v="ID_1978"/>
    <d v="2025-01-17T00:00:00"/>
    <x v="0"/>
    <x v="0"/>
    <x v="3"/>
    <s v="Retail"/>
    <s v="Store"/>
    <x v="6"/>
    <x v="2"/>
    <n v="150000"/>
    <n v="10"/>
    <x v="1"/>
    <n v="120000"/>
    <n v="1500000"/>
    <n v="1200000"/>
    <n v="300000"/>
  </r>
  <r>
    <s v="ID_906"/>
    <d v="2025-02-06T00:00:00"/>
    <x v="2"/>
    <x v="0"/>
    <x v="3"/>
    <s v="Corporate"/>
    <s v="Online"/>
    <x v="3"/>
    <x v="2"/>
    <n v="300000"/>
    <n v="7"/>
    <x v="3"/>
    <n v="240000"/>
    <n v="2100000"/>
    <n v="1680000"/>
    <n v="420000"/>
  </r>
  <r>
    <s v="ID_1346"/>
    <d v="2025-02-09T00:00:00"/>
    <x v="2"/>
    <x v="3"/>
    <x v="1"/>
    <s v="Retail"/>
    <s v="Store"/>
    <x v="9"/>
    <x v="1"/>
    <n v="220000"/>
    <n v="2"/>
    <x v="0"/>
    <n v="176000"/>
    <n v="440000"/>
    <n v="352000"/>
    <n v="88000"/>
  </r>
  <r>
    <s v="ID_1103"/>
    <d v="2025-04-25T00:00:00"/>
    <x v="1"/>
    <x v="1"/>
    <x v="0"/>
    <s v="Retail"/>
    <s v="Store"/>
    <x v="0"/>
    <x v="0"/>
    <n v="85000"/>
    <n v="8"/>
    <x v="2"/>
    <n v="68000"/>
    <n v="680000"/>
    <n v="544000"/>
    <n v="136000"/>
  </r>
  <r>
    <s v="ID_1484"/>
    <d v="2025-04-08T00:00:00"/>
    <x v="1"/>
    <x v="0"/>
    <x v="1"/>
    <s v="Retail"/>
    <s v="Online"/>
    <x v="9"/>
    <x v="1"/>
    <n v="220000"/>
    <n v="7"/>
    <x v="5"/>
    <n v="176000"/>
    <n v="1540000"/>
    <n v="1232000"/>
    <n v="308000"/>
  </r>
  <r>
    <s v="ID_757"/>
    <d v="2025-04-22T00:00:00"/>
    <x v="1"/>
    <x v="3"/>
    <x v="3"/>
    <s v="Retail"/>
    <s v="Store"/>
    <x v="9"/>
    <x v="1"/>
    <n v="220000"/>
    <n v="6"/>
    <x v="3"/>
    <n v="176000"/>
    <n v="1320000"/>
    <n v="1056000"/>
    <n v="264000"/>
  </r>
  <r>
    <s v="ID_171"/>
    <d v="2025-03-21T00:00:00"/>
    <x v="3"/>
    <x v="3"/>
    <x v="0"/>
    <s v="Retail"/>
    <s v="Store"/>
    <x v="4"/>
    <x v="1"/>
    <n v="180000"/>
    <n v="3"/>
    <x v="2"/>
    <n v="144000"/>
    <n v="540000"/>
    <n v="432000"/>
    <n v="108000"/>
  </r>
  <r>
    <s v="ID_1285"/>
    <d v="2025-01-26T00:00:00"/>
    <x v="0"/>
    <x v="2"/>
    <x v="1"/>
    <s v="Retail"/>
    <s v="Online"/>
    <x v="8"/>
    <x v="2"/>
    <n v="250000"/>
    <n v="6"/>
    <x v="3"/>
    <n v="200000"/>
    <n v="1500000"/>
    <n v="1200000"/>
    <n v="300000"/>
  </r>
  <r>
    <s v="ID_1618"/>
    <d v="2025-03-28T00:00:00"/>
    <x v="3"/>
    <x v="0"/>
    <x v="2"/>
    <s v="Corporate"/>
    <s v="Store"/>
    <x v="6"/>
    <x v="2"/>
    <n v="150000"/>
    <n v="7"/>
    <x v="4"/>
    <n v="120000"/>
    <n v="1050000"/>
    <n v="840000"/>
    <n v="210000"/>
  </r>
  <r>
    <s v="ID_1368"/>
    <d v="2025-04-28T00:00:00"/>
    <x v="1"/>
    <x v="2"/>
    <x v="0"/>
    <s v="Retail"/>
    <s v="Online"/>
    <x v="3"/>
    <x v="2"/>
    <n v="300000"/>
    <n v="9"/>
    <x v="0"/>
    <n v="240000"/>
    <n v="2700000"/>
    <n v="2160000"/>
    <n v="540000"/>
  </r>
  <r>
    <s v="ID_294"/>
    <d v="2025-04-24T00:00:00"/>
    <x v="1"/>
    <x v="0"/>
    <x v="2"/>
    <s v="Retail"/>
    <s v="Online"/>
    <x v="7"/>
    <x v="2"/>
    <n v="420000"/>
    <n v="5"/>
    <x v="2"/>
    <n v="336000"/>
    <n v="2100000"/>
    <n v="1680000"/>
    <n v="420000"/>
  </r>
  <r>
    <s v="ID_1722"/>
    <d v="2025-03-27T00:00:00"/>
    <x v="3"/>
    <x v="2"/>
    <x v="0"/>
    <s v="Retail"/>
    <s v="Store"/>
    <x v="3"/>
    <x v="2"/>
    <n v="300000"/>
    <n v="3"/>
    <x v="2"/>
    <n v="240000"/>
    <n v="900000"/>
    <n v="720000"/>
    <n v="180000"/>
  </r>
  <r>
    <s v="ID_336"/>
    <d v="2025-02-06T00:00:00"/>
    <x v="2"/>
    <x v="1"/>
    <x v="0"/>
    <s v="Corporate"/>
    <s v="Store"/>
    <x v="8"/>
    <x v="2"/>
    <n v="250000"/>
    <n v="5"/>
    <x v="0"/>
    <n v="200000"/>
    <n v="1250000"/>
    <n v="1000000"/>
    <n v="250000"/>
  </r>
  <r>
    <s v="ID_146"/>
    <d v="2025-04-27T00:00:00"/>
    <x v="1"/>
    <x v="0"/>
    <x v="3"/>
    <s v="Corporate"/>
    <s v="Store"/>
    <x v="6"/>
    <x v="2"/>
    <n v="150000"/>
    <n v="2"/>
    <x v="3"/>
    <n v="120000"/>
    <n v="300000"/>
    <n v="240000"/>
    <n v="60000"/>
  </r>
  <r>
    <s v="ID_100"/>
    <d v="2025-04-22T00:00:00"/>
    <x v="1"/>
    <x v="1"/>
    <x v="1"/>
    <s v="Corporate"/>
    <s v="Online"/>
    <x v="9"/>
    <x v="1"/>
    <n v="220000"/>
    <n v="3"/>
    <x v="5"/>
    <n v="176000"/>
    <n v="660000"/>
    <n v="528000"/>
    <n v="132000"/>
  </r>
  <r>
    <s v="ID_618"/>
    <d v="2025-03-05T00:00:00"/>
    <x v="3"/>
    <x v="1"/>
    <x v="1"/>
    <s v="Corporate"/>
    <s v="Store"/>
    <x v="3"/>
    <x v="2"/>
    <n v="300000"/>
    <n v="6"/>
    <x v="1"/>
    <n v="240000"/>
    <n v="1800000"/>
    <n v="1440000"/>
    <n v="360000"/>
  </r>
  <r>
    <s v="ID_2020"/>
    <d v="2025-04-08T00:00:00"/>
    <x v="1"/>
    <x v="2"/>
    <x v="1"/>
    <s v="Retail"/>
    <s v="Store"/>
    <x v="4"/>
    <x v="1"/>
    <n v="180000"/>
    <n v="2"/>
    <x v="5"/>
    <n v="144000"/>
    <n v="360000"/>
    <n v="288000"/>
    <n v="72000"/>
  </r>
  <r>
    <s v="ID_1073"/>
    <d v="2025-02-28T00:00:00"/>
    <x v="2"/>
    <x v="1"/>
    <x v="3"/>
    <s v="Retail"/>
    <s v="Online"/>
    <x v="6"/>
    <x v="2"/>
    <n v="150000"/>
    <n v="5"/>
    <x v="4"/>
    <n v="120000"/>
    <n v="750000"/>
    <n v="600000"/>
    <n v="150000"/>
  </r>
  <r>
    <s v="ID_648"/>
    <d v="2025-04-18T00:00:00"/>
    <x v="1"/>
    <x v="1"/>
    <x v="2"/>
    <s v="Corporate"/>
    <s v="Store"/>
    <x v="0"/>
    <x v="0"/>
    <n v="85000"/>
    <n v="1"/>
    <x v="4"/>
    <n v="68000"/>
    <n v="85000"/>
    <n v="68000"/>
    <n v="17000"/>
  </r>
  <r>
    <s v="ID_1172"/>
    <d v="2025-01-11T00:00:00"/>
    <x v="0"/>
    <x v="0"/>
    <x v="0"/>
    <s v="Retail"/>
    <s v="Online"/>
    <x v="1"/>
    <x v="1"/>
    <n v="30000"/>
    <n v="1"/>
    <x v="3"/>
    <n v="24000"/>
    <n v="30000"/>
    <n v="24000"/>
    <n v="6000"/>
  </r>
  <r>
    <s v="ID_1139"/>
    <d v="2025-02-22T00:00:00"/>
    <x v="2"/>
    <x v="1"/>
    <x v="1"/>
    <s v="Retail"/>
    <s v="Store"/>
    <x v="0"/>
    <x v="0"/>
    <n v="85000"/>
    <n v="1"/>
    <x v="4"/>
    <n v="68000"/>
    <n v="85000"/>
    <n v="68000"/>
    <n v="17000"/>
  </r>
  <r>
    <s v="ID_1533"/>
    <d v="2025-03-19T00:00:00"/>
    <x v="3"/>
    <x v="2"/>
    <x v="1"/>
    <s v="Retail"/>
    <s v="Store"/>
    <x v="1"/>
    <x v="1"/>
    <n v="30000"/>
    <n v="2"/>
    <x v="4"/>
    <n v="24000"/>
    <n v="60000"/>
    <n v="48000"/>
    <n v="12000"/>
  </r>
  <r>
    <s v="ID_1481"/>
    <d v="2025-03-11T00:00:00"/>
    <x v="3"/>
    <x v="1"/>
    <x v="0"/>
    <s v="Retail"/>
    <s v="Store"/>
    <x v="7"/>
    <x v="2"/>
    <n v="420000"/>
    <n v="3"/>
    <x v="0"/>
    <n v="336000"/>
    <n v="1260000"/>
    <n v="1008000"/>
    <n v="252000"/>
  </r>
  <r>
    <s v="ID_1236"/>
    <d v="2025-01-19T00:00:00"/>
    <x v="0"/>
    <x v="0"/>
    <x v="1"/>
    <s v="Retail"/>
    <s v="Store"/>
    <x v="1"/>
    <x v="1"/>
    <n v="30000"/>
    <n v="2"/>
    <x v="3"/>
    <n v="24000"/>
    <n v="60000"/>
    <n v="48000"/>
    <n v="12000"/>
  </r>
  <r>
    <s v="ID_1966"/>
    <d v="2025-01-16T00:00:00"/>
    <x v="0"/>
    <x v="2"/>
    <x v="3"/>
    <s v="Retail"/>
    <s v="Store"/>
    <x v="3"/>
    <x v="2"/>
    <n v="300000"/>
    <n v="9"/>
    <x v="2"/>
    <n v="240000"/>
    <n v="2700000"/>
    <n v="2160000"/>
    <n v="540000"/>
  </r>
  <r>
    <s v="ID_282"/>
    <d v="2025-01-28T00:00:00"/>
    <x v="0"/>
    <x v="1"/>
    <x v="2"/>
    <s v="Corporate"/>
    <s v="Store"/>
    <x v="6"/>
    <x v="2"/>
    <n v="150000"/>
    <n v="4"/>
    <x v="3"/>
    <n v="120000"/>
    <n v="600000"/>
    <n v="480000"/>
    <n v="120000"/>
  </r>
  <r>
    <s v="ID_1760"/>
    <d v="2025-04-21T00:00:00"/>
    <x v="1"/>
    <x v="1"/>
    <x v="0"/>
    <s v="Retail"/>
    <s v="Store"/>
    <x v="9"/>
    <x v="1"/>
    <n v="220000"/>
    <n v="2"/>
    <x v="5"/>
    <n v="176000"/>
    <n v="440000"/>
    <n v="352000"/>
    <n v="88000"/>
  </r>
  <r>
    <s v="ID_1784"/>
    <d v="2025-04-12T00:00:00"/>
    <x v="1"/>
    <x v="2"/>
    <x v="1"/>
    <s v="Retail"/>
    <s v="Store"/>
    <x v="0"/>
    <x v="0"/>
    <n v="85000"/>
    <n v="6"/>
    <x v="0"/>
    <n v="68000"/>
    <n v="510000"/>
    <n v="408000"/>
    <n v="102000"/>
  </r>
  <r>
    <s v="ID_300"/>
    <d v="2025-02-25T00:00:00"/>
    <x v="2"/>
    <x v="0"/>
    <x v="1"/>
    <s v="Retail"/>
    <s v="Store"/>
    <x v="3"/>
    <x v="2"/>
    <n v="300000"/>
    <n v="8"/>
    <x v="0"/>
    <n v="240000"/>
    <n v="2400000"/>
    <n v="1920000"/>
    <n v="480000"/>
  </r>
  <r>
    <s v="ID_296"/>
    <d v="2025-04-26T00:00:00"/>
    <x v="1"/>
    <x v="2"/>
    <x v="2"/>
    <s v="Corporate"/>
    <s v="Store"/>
    <x v="7"/>
    <x v="2"/>
    <n v="420000"/>
    <n v="2"/>
    <x v="3"/>
    <n v="336000"/>
    <n v="840000"/>
    <n v="672000"/>
    <n v="168000"/>
  </r>
  <r>
    <s v="ID_1978"/>
    <d v="2025-01-25T00:00:00"/>
    <x v="0"/>
    <x v="1"/>
    <x v="2"/>
    <s v="Retail"/>
    <s v="Store"/>
    <x v="9"/>
    <x v="1"/>
    <n v="220000"/>
    <n v="3"/>
    <x v="1"/>
    <n v="176000"/>
    <n v="660000"/>
    <n v="528000"/>
    <n v="132000"/>
  </r>
  <r>
    <s v="ID_41"/>
    <d v="2025-04-22T00:00:00"/>
    <x v="1"/>
    <x v="1"/>
    <x v="1"/>
    <s v="Retail"/>
    <s v="Store"/>
    <x v="7"/>
    <x v="2"/>
    <n v="420000"/>
    <n v="10"/>
    <x v="0"/>
    <n v="336000"/>
    <n v="4200000"/>
    <n v="3360000"/>
    <n v="840000"/>
  </r>
  <r>
    <s v="ID_494"/>
    <d v="2025-04-01T00:00:00"/>
    <x v="1"/>
    <x v="3"/>
    <x v="1"/>
    <s v="Retail"/>
    <s v="Store"/>
    <x v="3"/>
    <x v="2"/>
    <n v="300000"/>
    <n v="7"/>
    <x v="1"/>
    <n v="240000"/>
    <n v="2100000"/>
    <n v="1680000"/>
    <n v="420000"/>
  </r>
  <r>
    <s v="ID_1222"/>
    <d v="2025-04-01T00:00:00"/>
    <x v="1"/>
    <x v="1"/>
    <x v="2"/>
    <s v="Retail"/>
    <s v="Store"/>
    <x v="1"/>
    <x v="1"/>
    <n v="30000"/>
    <n v="1"/>
    <x v="2"/>
    <n v="24000"/>
    <n v="30000"/>
    <n v="24000"/>
    <n v="6000"/>
  </r>
  <r>
    <s v="ID_170"/>
    <d v="2025-02-19T00:00:00"/>
    <x v="2"/>
    <x v="1"/>
    <x v="1"/>
    <s v="Corporate"/>
    <s v="Store"/>
    <x v="1"/>
    <x v="1"/>
    <n v="30000"/>
    <n v="7"/>
    <x v="0"/>
    <n v="24000"/>
    <n v="210000"/>
    <n v="168000"/>
    <n v="42000"/>
  </r>
  <r>
    <s v="ID_1017"/>
    <d v="2025-01-13T00:00:00"/>
    <x v="0"/>
    <x v="3"/>
    <x v="3"/>
    <s v="Corporate"/>
    <s v="Store"/>
    <x v="0"/>
    <x v="0"/>
    <n v="85000"/>
    <n v="8"/>
    <x v="3"/>
    <n v="68000"/>
    <n v="680000"/>
    <n v="544000"/>
    <n v="136000"/>
  </r>
  <r>
    <s v="ID_763"/>
    <d v="2025-03-26T00:00:00"/>
    <x v="3"/>
    <x v="1"/>
    <x v="1"/>
    <s v="Retail"/>
    <s v="Store"/>
    <x v="8"/>
    <x v="2"/>
    <n v="250000"/>
    <n v="10"/>
    <x v="1"/>
    <n v="200000"/>
    <n v="2500000"/>
    <n v="2000000"/>
    <n v="500000"/>
  </r>
  <r>
    <s v="ID_377"/>
    <d v="2025-05-01T00:00:00"/>
    <x v="4"/>
    <x v="0"/>
    <x v="1"/>
    <s v="Retail"/>
    <s v="Store"/>
    <x v="0"/>
    <x v="0"/>
    <n v="85000"/>
    <n v="4"/>
    <x v="5"/>
    <n v="68000"/>
    <n v="340000"/>
    <n v="272000"/>
    <n v="68000"/>
  </r>
  <r>
    <s v="ID_1937"/>
    <d v="2025-04-30T00:00:00"/>
    <x v="1"/>
    <x v="0"/>
    <x v="3"/>
    <s v="Retail"/>
    <s v="Store"/>
    <x v="8"/>
    <x v="2"/>
    <n v="250000"/>
    <n v="6"/>
    <x v="5"/>
    <n v="200000"/>
    <n v="1500000"/>
    <n v="1200000"/>
    <n v="300000"/>
  </r>
  <r>
    <s v="ID_1242"/>
    <d v="2025-04-21T00:00:00"/>
    <x v="1"/>
    <x v="1"/>
    <x v="3"/>
    <s v="Corporate"/>
    <s v="Store"/>
    <x v="5"/>
    <x v="0"/>
    <n v="320000"/>
    <n v="7"/>
    <x v="4"/>
    <n v="256000"/>
    <n v="2240000"/>
    <n v="1792000"/>
    <n v="448000"/>
  </r>
  <r>
    <s v="ID_1922"/>
    <d v="2025-03-09T00:00:00"/>
    <x v="3"/>
    <x v="1"/>
    <x v="3"/>
    <s v="Corporate"/>
    <s v="Store"/>
    <x v="4"/>
    <x v="1"/>
    <n v="180000"/>
    <n v="2"/>
    <x v="0"/>
    <n v="144000"/>
    <n v="360000"/>
    <n v="288000"/>
    <n v="72000"/>
  </r>
  <r>
    <s v="ID_483"/>
    <d v="2025-04-27T00:00:00"/>
    <x v="1"/>
    <x v="3"/>
    <x v="3"/>
    <s v="Corporate"/>
    <s v="Store"/>
    <x v="9"/>
    <x v="1"/>
    <n v="220000"/>
    <n v="2"/>
    <x v="5"/>
    <n v="176000"/>
    <n v="440000"/>
    <n v="352000"/>
    <n v="88000"/>
  </r>
  <r>
    <s v="ID_1426"/>
    <d v="2025-01-29T00:00:00"/>
    <x v="0"/>
    <x v="3"/>
    <x v="2"/>
    <s v="Corporate"/>
    <s v="Store"/>
    <x v="4"/>
    <x v="1"/>
    <n v="180000"/>
    <n v="6"/>
    <x v="1"/>
    <n v="144000"/>
    <n v="1080000"/>
    <n v="864000"/>
    <n v="216000"/>
  </r>
  <r>
    <s v="ID_1988"/>
    <d v="2025-01-23T00:00:00"/>
    <x v="0"/>
    <x v="0"/>
    <x v="3"/>
    <s v="Retail"/>
    <s v="Store"/>
    <x v="4"/>
    <x v="1"/>
    <n v="180000"/>
    <n v="3"/>
    <x v="1"/>
    <n v="144000"/>
    <n v="540000"/>
    <n v="432000"/>
    <n v="108000"/>
  </r>
  <r>
    <s v="ID_2079"/>
    <d v="2025-04-13T00:00:00"/>
    <x v="1"/>
    <x v="0"/>
    <x v="2"/>
    <s v="Retail"/>
    <s v="Store"/>
    <x v="2"/>
    <x v="1"/>
    <n v="60000"/>
    <n v="2"/>
    <x v="1"/>
    <n v="48000"/>
    <n v="120000"/>
    <n v="96000"/>
    <n v="24000"/>
  </r>
  <r>
    <s v="ID_446"/>
    <d v="2025-04-01T00:00:00"/>
    <x v="1"/>
    <x v="3"/>
    <x v="3"/>
    <s v="Corporate"/>
    <s v="Store"/>
    <x v="3"/>
    <x v="2"/>
    <n v="300000"/>
    <n v="1"/>
    <x v="4"/>
    <n v="240000"/>
    <n v="300000"/>
    <n v="240000"/>
    <n v="60000"/>
  </r>
  <r>
    <s v="ID_1956"/>
    <d v="2025-02-21T00:00:00"/>
    <x v="2"/>
    <x v="2"/>
    <x v="2"/>
    <s v="Corporate"/>
    <s v="Store"/>
    <x v="7"/>
    <x v="2"/>
    <n v="420000"/>
    <n v="2"/>
    <x v="1"/>
    <n v="336000"/>
    <n v="840000"/>
    <n v="672000"/>
    <n v="168000"/>
  </r>
  <r>
    <s v="ID_784"/>
    <d v="2025-04-11T00:00:00"/>
    <x v="1"/>
    <x v="0"/>
    <x v="1"/>
    <s v="Retail"/>
    <s v="Store"/>
    <x v="8"/>
    <x v="2"/>
    <n v="250000"/>
    <n v="9"/>
    <x v="1"/>
    <n v="200000"/>
    <n v="2250000"/>
    <n v="1800000"/>
    <n v="450000"/>
  </r>
  <r>
    <s v="ID_336"/>
    <d v="2025-04-04T00:00:00"/>
    <x v="1"/>
    <x v="2"/>
    <x v="0"/>
    <s v="Corporate"/>
    <s v="Store"/>
    <x v="4"/>
    <x v="1"/>
    <n v="180000"/>
    <n v="5"/>
    <x v="4"/>
    <n v="144000"/>
    <n v="900000"/>
    <n v="720000"/>
    <n v="180000"/>
  </r>
  <r>
    <s v="ID_1343"/>
    <d v="2025-02-07T00:00:00"/>
    <x v="2"/>
    <x v="2"/>
    <x v="1"/>
    <s v="Corporate"/>
    <s v="Store"/>
    <x v="6"/>
    <x v="2"/>
    <n v="150000"/>
    <n v="5"/>
    <x v="3"/>
    <n v="120000"/>
    <n v="750000"/>
    <n v="600000"/>
    <n v="150000"/>
  </r>
  <r>
    <s v="ID_418"/>
    <d v="2025-01-29T00:00:00"/>
    <x v="0"/>
    <x v="0"/>
    <x v="3"/>
    <s v="Retail"/>
    <s v="Store"/>
    <x v="5"/>
    <x v="0"/>
    <n v="320000"/>
    <n v="4"/>
    <x v="5"/>
    <n v="256000"/>
    <n v="1280000"/>
    <n v="1024000"/>
    <n v="256000"/>
  </r>
  <r>
    <s v="ID_1311"/>
    <d v="2025-01-09T00:00:00"/>
    <x v="0"/>
    <x v="2"/>
    <x v="2"/>
    <s v="Retail"/>
    <s v="Store"/>
    <x v="4"/>
    <x v="1"/>
    <n v="180000"/>
    <n v="10"/>
    <x v="3"/>
    <n v="144000"/>
    <n v="1800000"/>
    <n v="1440000"/>
    <n v="360000"/>
  </r>
  <r>
    <s v="ID_1268"/>
    <d v="2025-01-21T00:00:00"/>
    <x v="0"/>
    <x v="3"/>
    <x v="0"/>
    <s v="Corporate"/>
    <s v="Store"/>
    <x v="7"/>
    <x v="2"/>
    <n v="420000"/>
    <n v="2"/>
    <x v="4"/>
    <n v="336000"/>
    <n v="840000"/>
    <n v="672000"/>
    <n v="168000"/>
  </r>
  <r>
    <s v="ID_1503"/>
    <d v="2025-02-18T00:00:00"/>
    <x v="2"/>
    <x v="2"/>
    <x v="0"/>
    <s v="Corporate"/>
    <s v="Store"/>
    <x v="6"/>
    <x v="2"/>
    <n v="150000"/>
    <n v="6"/>
    <x v="4"/>
    <n v="120000"/>
    <n v="900000"/>
    <n v="720000"/>
    <n v="180000"/>
  </r>
  <r>
    <s v="ID_1036"/>
    <d v="2025-04-21T00:00:00"/>
    <x v="1"/>
    <x v="0"/>
    <x v="1"/>
    <s v="Corporate"/>
    <s v="Store"/>
    <x v="6"/>
    <x v="2"/>
    <n v="150000"/>
    <n v="4"/>
    <x v="1"/>
    <n v="120000"/>
    <n v="600000"/>
    <n v="480000"/>
    <n v="120000"/>
  </r>
  <r>
    <s v="ID_987"/>
    <d v="2025-03-02T00:00:00"/>
    <x v="3"/>
    <x v="1"/>
    <x v="0"/>
    <s v="Corporate"/>
    <s v="Store"/>
    <x v="8"/>
    <x v="2"/>
    <n v="250000"/>
    <n v="9"/>
    <x v="4"/>
    <n v="200000"/>
    <n v="2250000"/>
    <n v="1800000"/>
    <n v="450000"/>
  </r>
  <r>
    <s v="ID_1946"/>
    <d v="2025-01-10T00:00:00"/>
    <x v="0"/>
    <x v="2"/>
    <x v="1"/>
    <s v="Corporate"/>
    <s v="Store"/>
    <x v="9"/>
    <x v="1"/>
    <n v="220000"/>
    <n v="8"/>
    <x v="5"/>
    <n v="176000"/>
    <n v="1760000"/>
    <n v="1408000"/>
    <n v="352000"/>
  </r>
  <r>
    <s v="ID_2089"/>
    <d v="2025-04-09T00:00:00"/>
    <x v="1"/>
    <x v="3"/>
    <x v="2"/>
    <s v="Retail"/>
    <s v="Store"/>
    <x v="6"/>
    <x v="2"/>
    <n v="150000"/>
    <n v="2"/>
    <x v="2"/>
    <n v="120000"/>
    <n v="300000"/>
    <n v="240000"/>
    <n v="60000"/>
  </r>
  <r>
    <s v="ID_1751"/>
    <d v="2025-03-08T00:00:00"/>
    <x v="3"/>
    <x v="0"/>
    <x v="1"/>
    <s v="Corporate"/>
    <s v="Store"/>
    <x v="9"/>
    <x v="1"/>
    <n v="220000"/>
    <n v="4"/>
    <x v="2"/>
    <n v="176000"/>
    <n v="880000"/>
    <n v="704000"/>
    <n v="176000"/>
  </r>
  <r>
    <s v="ID_1662"/>
    <d v="2025-04-19T00:00:00"/>
    <x v="1"/>
    <x v="2"/>
    <x v="0"/>
    <s v="Corporate"/>
    <s v="Store"/>
    <x v="1"/>
    <x v="1"/>
    <n v="30000"/>
    <n v="6"/>
    <x v="4"/>
    <n v="24000"/>
    <n v="180000"/>
    <n v="144000"/>
    <n v="36000"/>
  </r>
  <r>
    <s v="ID_186"/>
    <d v="2025-02-07T00:00:00"/>
    <x v="2"/>
    <x v="1"/>
    <x v="3"/>
    <s v="Retail"/>
    <s v="Store"/>
    <x v="0"/>
    <x v="0"/>
    <n v="85000"/>
    <n v="3"/>
    <x v="2"/>
    <n v="68000"/>
    <n v="255000"/>
    <n v="204000"/>
    <n v="51000"/>
  </r>
  <r>
    <s v="ID_1034"/>
    <d v="2025-03-29T00:00:00"/>
    <x v="3"/>
    <x v="1"/>
    <x v="1"/>
    <s v="Retail"/>
    <s v="Store"/>
    <x v="0"/>
    <x v="0"/>
    <n v="85000"/>
    <n v="2"/>
    <x v="0"/>
    <n v="68000"/>
    <n v="170000"/>
    <n v="136000"/>
    <n v="34000"/>
  </r>
  <r>
    <s v="ID_786"/>
    <d v="2025-02-03T00:00:00"/>
    <x v="2"/>
    <x v="3"/>
    <x v="1"/>
    <s v="Retail"/>
    <s v="Store"/>
    <x v="8"/>
    <x v="2"/>
    <n v="250000"/>
    <n v="10"/>
    <x v="2"/>
    <n v="200000"/>
    <n v="2500000"/>
    <n v="2000000"/>
    <n v="500000"/>
  </r>
  <r>
    <s v="ID_1292"/>
    <d v="2025-04-18T00:00:00"/>
    <x v="1"/>
    <x v="0"/>
    <x v="1"/>
    <s v="Corporate"/>
    <s v="Store"/>
    <x v="9"/>
    <x v="1"/>
    <n v="220000"/>
    <n v="2"/>
    <x v="4"/>
    <n v="176000"/>
    <n v="440000"/>
    <n v="352000"/>
    <n v="88000"/>
  </r>
  <r>
    <s v="ID_1801"/>
    <d v="2025-03-11T00:00:00"/>
    <x v="3"/>
    <x v="0"/>
    <x v="0"/>
    <s v="Corporate"/>
    <s v="Store"/>
    <x v="3"/>
    <x v="2"/>
    <n v="300000"/>
    <n v="9"/>
    <x v="4"/>
    <n v="240000"/>
    <n v="2700000"/>
    <n v="2160000"/>
    <n v="540000"/>
  </r>
  <r>
    <s v="ID_153"/>
    <d v="2025-03-06T00:00:00"/>
    <x v="3"/>
    <x v="1"/>
    <x v="3"/>
    <s v="Retail"/>
    <s v="Store"/>
    <x v="9"/>
    <x v="1"/>
    <n v="220000"/>
    <n v="3"/>
    <x v="1"/>
    <n v="176000"/>
    <n v="660000"/>
    <n v="528000"/>
    <n v="132000"/>
  </r>
  <r>
    <s v="ID_2097"/>
    <d v="2025-01-20T00:00:00"/>
    <x v="0"/>
    <x v="1"/>
    <x v="3"/>
    <s v="Corporate"/>
    <s v="Store"/>
    <x v="8"/>
    <x v="2"/>
    <n v="250000"/>
    <n v="8"/>
    <x v="2"/>
    <n v="200000"/>
    <n v="2000000"/>
    <n v="1600000"/>
    <n v="400000"/>
  </r>
  <r>
    <s v="ID_41"/>
    <d v="2025-01-09T00:00:00"/>
    <x v="0"/>
    <x v="2"/>
    <x v="1"/>
    <s v="Corporate"/>
    <s v="Store"/>
    <x v="8"/>
    <x v="2"/>
    <n v="250000"/>
    <n v="5"/>
    <x v="5"/>
    <n v="200000"/>
    <n v="1250000"/>
    <n v="1000000"/>
    <n v="250000"/>
  </r>
  <r>
    <s v="ID_1588"/>
    <d v="2025-02-25T00:00:00"/>
    <x v="2"/>
    <x v="3"/>
    <x v="3"/>
    <s v="Retail"/>
    <s v="Store"/>
    <x v="7"/>
    <x v="2"/>
    <n v="420000"/>
    <n v="5"/>
    <x v="1"/>
    <n v="336000"/>
    <n v="2100000"/>
    <n v="1680000"/>
    <n v="420000"/>
  </r>
  <r>
    <s v="ID_1584"/>
    <d v="2025-02-13T00:00:00"/>
    <x v="2"/>
    <x v="2"/>
    <x v="1"/>
    <s v="Retail"/>
    <s v="Store"/>
    <x v="2"/>
    <x v="1"/>
    <n v="60000"/>
    <n v="7"/>
    <x v="5"/>
    <n v="48000"/>
    <n v="420000"/>
    <n v="336000"/>
    <n v="84000"/>
  </r>
  <r>
    <s v="ID_123"/>
    <d v="2025-04-19T00:00:00"/>
    <x v="1"/>
    <x v="1"/>
    <x v="2"/>
    <s v="Retail"/>
    <s v="Store"/>
    <x v="1"/>
    <x v="1"/>
    <n v="30000"/>
    <n v="8"/>
    <x v="0"/>
    <n v="24000"/>
    <n v="240000"/>
    <n v="192000"/>
    <n v="48000"/>
  </r>
  <r>
    <s v="ID_1868"/>
    <d v="2025-03-03T00:00:00"/>
    <x v="3"/>
    <x v="3"/>
    <x v="0"/>
    <s v="Corporate"/>
    <s v="Store"/>
    <x v="8"/>
    <x v="2"/>
    <n v="250000"/>
    <n v="2"/>
    <x v="2"/>
    <n v="200000"/>
    <n v="500000"/>
    <n v="400000"/>
    <n v="100000"/>
  </r>
  <r>
    <s v="ID_999"/>
    <d v="2025-02-26T00:00:00"/>
    <x v="2"/>
    <x v="1"/>
    <x v="0"/>
    <s v="Retail"/>
    <s v="Store"/>
    <x v="2"/>
    <x v="1"/>
    <n v="60000"/>
    <n v="8"/>
    <x v="5"/>
    <n v="48000"/>
    <n v="480000"/>
    <n v="384000"/>
    <n v="96000"/>
  </r>
  <r>
    <s v="ID_121"/>
    <d v="2025-04-08T00:00:00"/>
    <x v="1"/>
    <x v="0"/>
    <x v="0"/>
    <s v="Retail"/>
    <s v="Store"/>
    <x v="1"/>
    <x v="1"/>
    <n v="30000"/>
    <n v="7"/>
    <x v="4"/>
    <n v="24000"/>
    <n v="210000"/>
    <n v="168000"/>
    <n v="42000"/>
  </r>
  <r>
    <s v="ID_147"/>
    <d v="2025-02-11T00:00:00"/>
    <x v="2"/>
    <x v="2"/>
    <x v="1"/>
    <s v="Corporate"/>
    <s v="Store"/>
    <x v="1"/>
    <x v="1"/>
    <n v="30000"/>
    <n v="3"/>
    <x v="0"/>
    <n v="24000"/>
    <n v="90000"/>
    <n v="72000"/>
    <n v="18000"/>
  </r>
  <r>
    <s v="ID_91"/>
    <d v="2025-04-03T00:00:00"/>
    <x v="1"/>
    <x v="2"/>
    <x v="2"/>
    <s v="Corporate"/>
    <s v="Store"/>
    <x v="4"/>
    <x v="1"/>
    <n v="180000"/>
    <n v="5"/>
    <x v="4"/>
    <n v="144000"/>
    <n v="900000"/>
    <n v="720000"/>
    <n v="180000"/>
  </r>
  <r>
    <s v="ID_113"/>
    <d v="2025-03-01T00:00:00"/>
    <x v="3"/>
    <x v="1"/>
    <x v="3"/>
    <s v="Retail"/>
    <s v="Store"/>
    <x v="8"/>
    <x v="2"/>
    <n v="250000"/>
    <n v="5"/>
    <x v="3"/>
    <n v="200000"/>
    <n v="1250000"/>
    <n v="1000000"/>
    <n v="250000"/>
  </r>
  <r>
    <s v="ID_1091"/>
    <d v="2025-03-17T00:00:00"/>
    <x v="3"/>
    <x v="1"/>
    <x v="0"/>
    <s v="Retail"/>
    <s v="Store"/>
    <x v="0"/>
    <x v="0"/>
    <n v="85000"/>
    <n v="3"/>
    <x v="4"/>
    <n v="68000"/>
    <n v="255000"/>
    <n v="204000"/>
    <n v="51000"/>
  </r>
  <r>
    <s v="ID_946"/>
    <d v="2025-04-07T00:00:00"/>
    <x v="1"/>
    <x v="3"/>
    <x v="0"/>
    <s v="Corporate"/>
    <s v="Store"/>
    <x v="1"/>
    <x v="1"/>
    <n v="30000"/>
    <n v="1"/>
    <x v="1"/>
    <n v="24000"/>
    <n v="30000"/>
    <n v="24000"/>
    <n v="6000"/>
  </r>
  <r>
    <s v="ID_1145"/>
    <d v="2025-03-27T00:00:00"/>
    <x v="3"/>
    <x v="2"/>
    <x v="2"/>
    <s v="Corporate"/>
    <s v="Store"/>
    <x v="3"/>
    <x v="2"/>
    <n v="300000"/>
    <n v="10"/>
    <x v="3"/>
    <n v="240000"/>
    <n v="3000000"/>
    <n v="2400000"/>
    <n v="600000"/>
  </r>
  <r>
    <s v="ID_1687"/>
    <d v="2025-02-08T00:00:00"/>
    <x v="2"/>
    <x v="2"/>
    <x v="1"/>
    <s v="Corporate"/>
    <s v="Store"/>
    <x v="7"/>
    <x v="2"/>
    <n v="420000"/>
    <n v="5"/>
    <x v="4"/>
    <n v="336000"/>
    <n v="2100000"/>
    <n v="1680000"/>
    <n v="420000"/>
  </r>
  <r>
    <s v="ID_1058"/>
    <d v="2025-04-11T00:00:00"/>
    <x v="1"/>
    <x v="1"/>
    <x v="0"/>
    <s v="Corporate"/>
    <s v="Store"/>
    <x v="8"/>
    <x v="2"/>
    <n v="250000"/>
    <n v="4"/>
    <x v="4"/>
    <n v="200000"/>
    <n v="1000000"/>
    <n v="800000"/>
    <n v="200000"/>
  </r>
  <r>
    <s v="ID_1606"/>
    <d v="2025-03-16T00:00:00"/>
    <x v="3"/>
    <x v="2"/>
    <x v="2"/>
    <s v="Retail"/>
    <s v="Store"/>
    <x v="9"/>
    <x v="1"/>
    <n v="220000"/>
    <n v="3"/>
    <x v="0"/>
    <n v="176000"/>
    <n v="660000"/>
    <n v="528000"/>
    <n v="132000"/>
  </r>
  <r>
    <s v="ID_960"/>
    <d v="2025-03-07T00:00:00"/>
    <x v="3"/>
    <x v="3"/>
    <x v="3"/>
    <s v="Retail"/>
    <s v="Store"/>
    <x v="5"/>
    <x v="0"/>
    <n v="320000"/>
    <n v="2"/>
    <x v="2"/>
    <n v="256000"/>
    <n v="640000"/>
    <n v="512000"/>
    <n v="128000"/>
  </r>
  <r>
    <s v="ID_206"/>
    <d v="2025-04-04T00:00:00"/>
    <x v="1"/>
    <x v="0"/>
    <x v="3"/>
    <s v="Corporate"/>
    <s v="Store"/>
    <x v="5"/>
    <x v="0"/>
    <n v="320000"/>
    <n v="9"/>
    <x v="5"/>
    <n v="256000"/>
    <n v="2880000"/>
    <n v="2304000"/>
    <n v="576000"/>
  </r>
  <r>
    <s v="ID_1126"/>
    <d v="2025-02-27T00:00:00"/>
    <x v="2"/>
    <x v="3"/>
    <x v="1"/>
    <s v="Retail"/>
    <s v="Store"/>
    <x v="9"/>
    <x v="1"/>
    <n v="220000"/>
    <n v="10"/>
    <x v="1"/>
    <n v="176000"/>
    <n v="2200000"/>
    <n v="1760000"/>
    <n v="440000"/>
  </r>
  <r>
    <s v="ID_1644"/>
    <d v="2025-03-02T00:00:00"/>
    <x v="3"/>
    <x v="2"/>
    <x v="0"/>
    <s v="Retail"/>
    <s v="Store"/>
    <x v="0"/>
    <x v="0"/>
    <n v="85000"/>
    <n v="1"/>
    <x v="2"/>
    <n v="68000"/>
    <n v="85000"/>
    <n v="68000"/>
    <n v="17000"/>
  </r>
  <r>
    <s v="ID_1656"/>
    <d v="2025-01-17T00:00:00"/>
    <x v="0"/>
    <x v="2"/>
    <x v="3"/>
    <s v="Retail"/>
    <s v="Online"/>
    <x v="3"/>
    <x v="2"/>
    <n v="300000"/>
    <n v="4"/>
    <x v="2"/>
    <n v="240000"/>
    <n v="1200000"/>
    <n v="960000"/>
    <n v="240000"/>
  </r>
  <r>
    <s v="ID_1041"/>
    <d v="2025-02-27T00:00:00"/>
    <x v="2"/>
    <x v="2"/>
    <x v="3"/>
    <s v="Corporate"/>
    <s v="Store"/>
    <x v="0"/>
    <x v="0"/>
    <n v="85000"/>
    <n v="5"/>
    <x v="1"/>
    <n v="68000"/>
    <n v="425000"/>
    <n v="340000"/>
    <n v="85000"/>
  </r>
  <r>
    <s v="ID_1058"/>
    <d v="2025-04-20T00:00:00"/>
    <x v="1"/>
    <x v="2"/>
    <x v="3"/>
    <s v="Corporate"/>
    <s v="Online"/>
    <x v="3"/>
    <x v="2"/>
    <n v="300000"/>
    <n v="5"/>
    <x v="5"/>
    <n v="240000"/>
    <n v="1500000"/>
    <n v="1200000"/>
    <n v="300000"/>
  </r>
  <r>
    <s v="ID_324"/>
    <d v="2025-01-09T00:00:00"/>
    <x v="0"/>
    <x v="2"/>
    <x v="3"/>
    <s v="Retail"/>
    <s v="Store"/>
    <x v="3"/>
    <x v="2"/>
    <n v="300000"/>
    <n v="5"/>
    <x v="0"/>
    <n v="240000"/>
    <n v="1500000"/>
    <n v="1200000"/>
    <n v="300000"/>
  </r>
  <r>
    <s v="ID_899"/>
    <d v="2025-04-02T00:00:00"/>
    <x v="1"/>
    <x v="0"/>
    <x v="1"/>
    <s v="Corporate"/>
    <s v="Store"/>
    <x v="1"/>
    <x v="1"/>
    <n v="30000"/>
    <n v="10"/>
    <x v="0"/>
    <n v="24000"/>
    <n v="300000"/>
    <n v="240000"/>
    <n v="60000"/>
  </r>
  <r>
    <s v="ID_1900"/>
    <d v="2025-02-14T00:00:00"/>
    <x v="2"/>
    <x v="2"/>
    <x v="2"/>
    <s v="Retail"/>
    <s v="Online"/>
    <x v="9"/>
    <x v="1"/>
    <n v="220000"/>
    <n v="6"/>
    <x v="3"/>
    <n v="176000"/>
    <n v="1320000"/>
    <n v="1056000"/>
    <n v="264000"/>
  </r>
  <r>
    <s v="ID_1247"/>
    <d v="2025-04-07T00:00:00"/>
    <x v="1"/>
    <x v="0"/>
    <x v="3"/>
    <s v="Corporate"/>
    <s v="Online"/>
    <x v="0"/>
    <x v="0"/>
    <n v="85000"/>
    <n v="9"/>
    <x v="1"/>
    <n v="68000"/>
    <n v="765000"/>
    <n v="612000"/>
    <n v="153000"/>
  </r>
  <r>
    <s v="ID_512"/>
    <d v="2025-01-21T00:00:00"/>
    <x v="0"/>
    <x v="1"/>
    <x v="3"/>
    <s v="Retail"/>
    <s v="Online"/>
    <x v="7"/>
    <x v="2"/>
    <n v="420000"/>
    <n v="10"/>
    <x v="2"/>
    <n v="336000"/>
    <n v="4200000"/>
    <n v="3360000"/>
    <n v="840000"/>
  </r>
  <r>
    <s v="ID_727"/>
    <d v="2025-02-11T00:00:00"/>
    <x v="2"/>
    <x v="3"/>
    <x v="0"/>
    <s v="Corporate"/>
    <s v="Store"/>
    <x v="7"/>
    <x v="2"/>
    <n v="420000"/>
    <n v="1"/>
    <x v="3"/>
    <n v="336000"/>
    <n v="420000"/>
    <n v="336000"/>
    <n v="84000"/>
  </r>
  <r>
    <s v="ID_262"/>
    <d v="2025-04-27T00:00:00"/>
    <x v="1"/>
    <x v="0"/>
    <x v="1"/>
    <s v="Retail"/>
    <s v="Store"/>
    <x v="2"/>
    <x v="1"/>
    <n v="60000"/>
    <n v="6"/>
    <x v="2"/>
    <n v="48000"/>
    <n v="360000"/>
    <n v="288000"/>
    <n v="72000"/>
  </r>
  <r>
    <s v="ID_439"/>
    <d v="2025-03-14T00:00:00"/>
    <x v="3"/>
    <x v="2"/>
    <x v="3"/>
    <s v="Retail"/>
    <s v="Store"/>
    <x v="6"/>
    <x v="2"/>
    <n v="150000"/>
    <n v="1"/>
    <x v="2"/>
    <n v="120000"/>
    <n v="150000"/>
    <n v="120000"/>
    <n v="30000"/>
  </r>
  <r>
    <s v="ID_54"/>
    <d v="2025-02-21T00:00:00"/>
    <x v="2"/>
    <x v="3"/>
    <x v="2"/>
    <s v="Retail"/>
    <s v="Online"/>
    <x v="8"/>
    <x v="2"/>
    <n v="250000"/>
    <n v="5"/>
    <x v="2"/>
    <n v="200000"/>
    <n v="1250000"/>
    <n v="1000000"/>
    <n v="250000"/>
  </r>
  <r>
    <s v="ID_863"/>
    <d v="2025-04-30T00:00:00"/>
    <x v="1"/>
    <x v="1"/>
    <x v="3"/>
    <s v="Retail"/>
    <s v="Store"/>
    <x v="9"/>
    <x v="1"/>
    <n v="220000"/>
    <n v="5"/>
    <x v="2"/>
    <n v="176000"/>
    <n v="1100000"/>
    <n v="880000"/>
    <n v="220000"/>
  </r>
  <r>
    <s v="ID_752"/>
    <d v="2025-04-25T00:00:00"/>
    <x v="1"/>
    <x v="0"/>
    <x v="1"/>
    <s v="Corporate"/>
    <s v="Store"/>
    <x v="2"/>
    <x v="1"/>
    <n v="60000"/>
    <n v="2"/>
    <x v="2"/>
    <n v="48000"/>
    <n v="120000"/>
    <n v="96000"/>
    <n v="24000"/>
  </r>
  <r>
    <s v="ID_96"/>
    <d v="2025-03-08T00:00:00"/>
    <x v="3"/>
    <x v="1"/>
    <x v="3"/>
    <s v="Corporate"/>
    <s v="Store"/>
    <x v="6"/>
    <x v="2"/>
    <n v="150000"/>
    <n v="3"/>
    <x v="5"/>
    <n v="120000"/>
    <n v="450000"/>
    <n v="360000"/>
    <n v="90000"/>
  </r>
  <r>
    <s v="ID_1511"/>
    <d v="2025-02-27T00:00:00"/>
    <x v="2"/>
    <x v="2"/>
    <x v="1"/>
    <s v="Corporate"/>
    <s v="Store"/>
    <x v="0"/>
    <x v="0"/>
    <n v="85000"/>
    <n v="3"/>
    <x v="4"/>
    <n v="68000"/>
    <n v="255000"/>
    <n v="204000"/>
    <n v="51000"/>
  </r>
  <r>
    <s v="ID_1635"/>
    <d v="2025-01-05T00:00:00"/>
    <x v="0"/>
    <x v="3"/>
    <x v="3"/>
    <s v="Retail"/>
    <s v="Store"/>
    <x v="4"/>
    <x v="1"/>
    <n v="180000"/>
    <n v="7"/>
    <x v="5"/>
    <n v="144000"/>
    <n v="1260000"/>
    <n v="1008000"/>
    <n v="252000"/>
  </r>
  <r>
    <s v="ID_2060"/>
    <d v="2025-03-24T00:00:00"/>
    <x v="3"/>
    <x v="3"/>
    <x v="1"/>
    <s v="Corporate"/>
    <s v="Online"/>
    <x v="4"/>
    <x v="1"/>
    <n v="180000"/>
    <n v="10"/>
    <x v="4"/>
    <n v="144000"/>
    <n v="1800000"/>
    <n v="1440000"/>
    <n v="360000"/>
  </r>
  <r>
    <s v="ID_849"/>
    <d v="2025-04-29T00:00:00"/>
    <x v="1"/>
    <x v="3"/>
    <x v="0"/>
    <s v="Corporate"/>
    <s v="Store"/>
    <x v="4"/>
    <x v="1"/>
    <n v="180000"/>
    <n v="1"/>
    <x v="2"/>
    <n v="144000"/>
    <n v="180000"/>
    <n v="144000"/>
    <n v="36000"/>
  </r>
  <r>
    <s v="ID_1008"/>
    <d v="2025-01-14T00:00:00"/>
    <x v="0"/>
    <x v="0"/>
    <x v="3"/>
    <s v="Retail"/>
    <s v="Online"/>
    <x v="5"/>
    <x v="0"/>
    <n v="320000"/>
    <n v="5"/>
    <x v="2"/>
    <n v="256000"/>
    <n v="1600000"/>
    <n v="1280000"/>
    <n v="320000"/>
  </r>
  <r>
    <s v="ID_1387"/>
    <d v="2025-03-14T00:00:00"/>
    <x v="3"/>
    <x v="1"/>
    <x v="1"/>
    <s v="Retail"/>
    <s v="Store"/>
    <x v="7"/>
    <x v="2"/>
    <n v="420000"/>
    <n v="5"/>
    <x v="3"/>
    <n v="336000"/>
    <n v="2100000"/>
    <n v="1680000"/>
    <n v="420000"/>
  </r>
  <r>
    <s v="ID_2061"/>
    <d v="2025-03-03T00:00:00"/>
    <x v="3"/>
    <x v="0"/>
    <x v="2"/>
    <s v="Corporate"/>
    <s v="Online"/>
    <x v="4"/>
    <x v="1"/>
    <n v="180000"/>
    <n v="2"/>
    <x v="0"/>
    <n v="144000"/>
    <n v="360000"/>
    <n v="288000"/>
    <n v="72000"/>
  </r>
  <r>
    <s v="ID_644"/>
    <d v="2025-04-19T00:00:00"/>
    <x v="1"/>
    <x v="2"/>
    <x v="2"/>
    <s v="Retail"/>
    <s v="Store"/>
    <x v="9"/>
    <x v="1"/>
    <n v="220000"/>
    <n v="1"/>
    <x v="1"/>
    <n v="176000"/>
    <n v="220000"/>
    <n v="176000"/>
    <n v="44000"/>
  </r>
  <r>
    <s v="ID_759"/>
    <d v="2025-04-13T00:00:00"/>
    <x v="1"/>
    <x v="0"/>
    <x v="2"/>
    <s v="Corporate"/>
    <s v="Online"/>
    <x v="5"/>
    <x v="0"/>
    <n v="320000"/>
    <n v="4"/>
    <x v="4"/>
    <n v="256000"/>
    <n v="1280000"/>
    <n v="1024000"/>
    <n v="256000"/>
  </r>
  <r>
    <s v="ID_1407"/>
    <d v="2025-03-24T00:00:00"/>
    <x v="3"/>
    <x v="2"/>
    <x v="2"/>
    <s v="Retail"/>
    <s v="Online"/>
    <x v="8"/>
    <x v="2"/>
    <n v="250000"/>
    <n v="4"/>
    <x v="1"/>
    <n v="200000"/>
    <n v="1000000"/>
    <n v="800000"/>
    <n v="200000"/>
  </r>
  <r>
    <s v="ID_1912"/>
    <d v="2025-02-27T00:00:00"/>
    <x v="2"/>
    <x v="2"/>
    <x v="0"/>
    <s v="Retail"/>
    <s v="Store"/>
    <x v="2"/>
    <x v="1"/>
    <n v="60000"/>
    <n v="10"/>
    <x v="5"/>
    <n v="48000"/>
    <n v="600000"/>
    <n v="480000"/>
    <n v="120000"/>
  </r>
  <r>
    <s v="ID_626"/>
    <d v="2025-01-22T00:00:00"/>
    <x v="0"/>
    <x v="1"/>
    <x v="3"/>
    <s v="Corporate"/>
    <s v="Online"/>
    <x v="4"/>
    <x v="1"/>
    <n v="180000"/>
    <n v="10"/>
    <x v="4"/>
    <n v="144000"/>
    <n v="1800000"/>
    <n v="1440000"/>
    <n v="360000"/>
  </r>
  <r>
    <s v="ID_706"/>
    <d v="2025-02-04T00:00:00"/>
    <x v="2"/>
    <x v="1"/>
    <x v="2"/>
    <s v="Corporate"/>
    <s v="Store"/>
    <x v="3"/>
    <x v="2"/>
    <n v="300000"/>
    <n v="5"/>
    <x v="3"/>
    <n v="240000"/>
    <n v="1500000"/>
    <n v="1200000"/>
    <n v="300000"/>
  </r>
  <r>
    <s v="ID_188"/>
    <d v="2025-04-23T00:00:00"/>
    <x v="1"/>
    <x v="1"/>
    <x v="3"/>
    <s v="Retail"/>
    <s v="Store"/>
    <x v="0"/>
    <x v="0"/>
    <n v="85000"/>
    <n v="7"/>
    <x v="4"/>
    <n v="68000"/>
    <n v="595000"/>
    <n v="476000"/>
    <n v="119000"/>
  </r>
  <r>
    <s v="ID_90"/>
    <d v="2025-04-04T00:00:00"/>
    <x v="1"/>
    <x v="1"/>
    <x v="0"/>
    <s v="Retail"/>
    <s v="Online"/>
    <x v="4"/>
    <x v="1"/>
    <n v="180000"/>
    <n v="5"/>
    <x v="2"/>
    <n v="144000"/>
    <n v="900000"/>
    <n v="720000"/>
    <n v="180000"/>
  </r>
  <r>
    <s v="ID_1096"/>
    <d v="2025-01-23T00:00:00"/>
    <x v="0"/>
    <x v="1"/>
    <x v="2"/>
    <s v="Corporate"/>
    <s v="Store"/>
    <x v="5"/>
    <x v="0"/>
    <n v="320000"/>
    <n v="4"/>
    <x v="1"/>
    <n v="256000"/>
    <n v="1280000"/>
    <n v="1024000"/>
    <n v="256000"/>
  </r>
  <r>
    <s v="ID_1630"/>
    <d v="2025-03-14T00:00:00"/>
    <x v="3"/>
    <x v="0"/>
    <x v="0"/>
    <s v="Corporate"/>
    <s v="Online"/>
    <x v="4"/>
    <x v="1"/>
    <n v="180000"/>
    <n v="8"/>
    <x v="2"/>
    <n v="144000"/>
    <n v="1440000"/>
    <n v="1152000"/>
    <n v="288000"/>
  </r>
  <r>
    <s v="ID_1322"/>
    <d v="2025-01-18T00:00:00"/>
    <x v="0"/>
    <x v="3"/>
    <x v="2"/>
    <s v="Retail"/>
    <s v="Online"/>
    <x v="1"/>
    <x v="1"/>
    <n v="30000"/>
    <n v="3"/>
    <x v="4"/>
    <n v="24000"/>
    <n v="90000"/>
    <n v="72000"/>
    <n v="18000"/>
  </r>
  <r>
    <s v="ID_1799"/>
    <d v="2025-04-25T00:00:00"/>
    <x v="1"/>
    <x v="3"/>
    <x v="3"/>
    <s v="Corporate"/>
    <s v="Store"/>
    <x v="9"/>
    <x v="1"/>
    <n v="220000"/>
    <n v="3"/>
    <x v="1"/>
    <n v="176000"/>
    <n v="660000"/>
    <n v="528000"/>
    <n v="132000"/>
  </r>
  <r>
    <s v="ID_75"/>
    <d v="2025-04-22T00:00:00"/>
    <x v="1"/>
    <x v="1"/>
    <x v="2"/>
    <s v="Retail"/>
    <s v="Online"/>
    <x v="0"/>
    <x v="0"/>
    <n v="85000"/>
    <n v="4"/>
    <x v="1"/>
    <n v="68000"/>
    <n v="340000"/>
    <n v="272000"/>
    <n v="68000"/>
  </r>
  <r>
    <s v="ID_222"/>
    <d v="2025-02-15T00:00:00"/>
    <x v="2"/>
    <x v="3"/>
    <x v="1"/>
    <s v="Retail"/>
    <s v="Online"/>
    <x v="4"/>
    <x v="1"/>
    <n v="180000"/>
    <n v="6"/>
    <x v="1"/>
    <n v="144000"/>
    <n v="1080000"/>
    <n v="864000"/>
    <n v="216000"/>
  </r>
  <r>
    <s v="ID_200"/>
    <d v="2025-01-17T00:00:00"/>
    <x v="0"/>
    <x v="3"/>
    <x v="2"/>
    <s v="Corporate"/>
    <s v="Store"/>
    <x v="9"/>
    <x v="1"/>
    <n v="220000"/>
    <n v="8"/>
    <x v="0"/>
    <n v="176000"/>
    <n v="1760000"/>
    <n v="1408000"/>
    <n v="352000"/>
  </r>
  <r>
    <s v="ID_1720"/>
    <d v="2025-02-01T00:00:00"/>
    <x v="2"/>
    <x v="2"/>
    <x v="1"/>
    <s v="Retail"/>
    <s v="Store"/>
    <x v="6"/>
    <x v="2"/>
    <n v="150000"/>
    <n v="1"/>
    <x v="5"/>
    <n v="120000"/>
    <n v="150000"/>
    <n v="120000"/>
    <n v="30000"/>
  </r>
  <r>
    <s v="ID_1797"/>
    <d v="2025-03-02T00:00:00"/>
    <x v="3"/>
    <x v="3"/>
    <x v="2"/>
    <s v="Corporate"/>
    <s v="Online"/>
    <x v="4"/>
    <x v="1"/>
    <n v="180000"/>
    <n v="9"/>
    <x v="3"/>
    <n v="144000"/>
    <n v="1620000"/>
    <n v="1296000"/>
    <n v="324000"/>
  </r>
  <r>
    <s v="ID_53"/>
    <d v="2025-04-30T00:00:00"/>
    <x v="1"/>
    <x v="3"/>
    <x v="2"/>
    <s v="Corporate"/>
    <s v="Store"/>
    <x v="7"/>
    <x v="2"/>
    <n v="420000"/>
    <n v="10"/>
    <x v="0"/>
    <n v="336000"/>
    <n v="4200000"/>
    <n v="3360000"/>
    <n v="840000"/>
  </r>
  <r>
    <s v="ID_1247"/>
    <d v="2025-03-24T00:00:00"/>
    <x v="3"/>
    <x v="0"/>
    <x v="3"/>
    <s v="Retail"/>
    <s v="Online"/>
    <x v="8"/>
    <x v="2"/>
    <n v="250000"/>
    <n v="10"/>
    <x v="0"/>
    <n v="200000"/>
    <n v="2500000"/>
    <n v="2000000"/>
    <n v="500000"/>
  </r>
  <r>
    <s v="ID_1387"/>
    <d v="2025-04-15T00:00:00"/>
    <x v="1"/>
    <x v="1"/>
    <x v="2"/>
    <s v="Retail"/>
    <s v="Store"/>
    <x v="9"/>
    <x v="1"/>
    <n v="220000"/>
    <n v="3"/>
    <x v="1"/>
    <n v="176000"/>
    <n v="660000"/>
    <n v="528000"/>
    <n v="132000"/>
  </r>
  <r>
    <s v="ID_178"/>
    <d v="2025-01-27T00:00:00"/>
    <x v="0"/>
    <x v="3"/>
    <x v="3"/>
    <s v="Retail"/>
    <s v="Online"/>
    <x v="1"/>
    <x v="1"/>
    <n v="30000"/>
    <n v="4"/>
    <x v="3"/>
    <n v="24000"/>
    <n v="120000"/>
    <n v="96000"/>
    <n v="24000"/>
  </r>
  <r>
    <s v="ID_1104"/>
    <d v="2025-04-08T00:00:00"/>
    <x v="1"/>
    <x v="1"/>
    <x v="3"/>
    <s v="Retail"/>
    <s v="Store"/>
    <x v="4"/>
    <x v="1"/>
    <n v="180000"/>
    <n v="9"/>
    <x v="3"/>
    <n v="144000"/>
    <n v="1620000"/>
    <n v="1296000"/>
    <n v="324000"/>
  </r>
  <r>
    <s v="ID_733"/>
    <d v="2025-02-28T00:00:00"/>
    <x v="2"/>
    <x v="0"/>
    <x v="2"/>
    <s v="Retail"/>
    <s v="Store"/>
    <x v="4"/>
    <x v="1"/>
    <n v="180000"/>
    <n v="7"/>
    <x v="3"/>
    <n v="144000"/>
    <n v="1260000"/>
    <n v="1008000"/>
    <n v="252000"/>
  </r>
  <r>
    <s v="ID_1525"/>
    <d v="2025-02-18T00:00:00"/>
    <x v="2"/>
    <x v="1"/>
    <x v="0"/>
    <s v="Corporate"/>
    <s v="Store"/>
    <x v="6"/>
    <x v="2"/>
    <n v="150000"/>
    <n v="7"/>
    <x v="0"/>
    <n v="120000"/>
    <n v="1050000"/>
    <n v="840000"/>
    <n v="210000"/>
  </r>
  <r>
    <s v="ID_1255"/>
    <d v="2025-01-17T00:00:00"/>
    <x v="0"/>
    <x v="1"/>
    <x v="3"/>
    <s v="Retail"/>
    <s v="Online"/>
    <x v="1"/>
    <x v="1"/>
    <n v="30000"/>
    <n v="4"/>
    <x v="2"/>
    <n v="24000"/>
    <n v="120000"/>
    <n v="96000"/>
    <n v="24000"/>
  </r>
  <r>
    <s v="ID_1877"/>
    <d v="2025-01-30T00:00:00"/>
    <x v="0"/>
    <x v="1"/>
    <x v="1"/>
    <s v="Retail"/>
    <s v="Online"/>
    <x v="5"/>
    <x v="0"/>
    <n v="320000"/>
    <n v="2"/>
    <x v="3"/>
    <n v="256000"/>
    <n v="640000"/>
    <n v="512000"/>
    <n v="128000"/>
  </r>
  <r>
    <s v="ID_2059"/>
    <d v="2025-04-02T00:00:00"/>
    <x v="1"/>
    <x v="1"/>
    <x v="1"/>
    <s v="Corporate"/>
    <s v="Store"/>
    <x v="5"/>
    <x v="0"/>
    <n v="320000"/>
    <n v="6"/>
    <x v="4"/>
    <n v="256000"/>
    <n v="1920000"/>
    <n v="1536000"/>
    <n v="384000"/>
  </r>
  <r>
    <s v="ID_941"/>
    <d v="2025-04-15T00:00:00"/>
    <x v="1"/>
    <x v="1"/>
    <x v="2"/>
    <s v="Corporate"/>
    <s v="Store"/>
    <x v="7"/>
    <x v="2"/>
    <n v="420000"/>
    <n v="10"/>
    <x v="1"/>
    <n v="336000"/>
    <n v="4200000"/>
    <n v="3360000"/>
    <n v="840000"/>
  </r>
  <r>
    <s v="ID_1368"/>
    <d v="2025-04-14T00:00:00"/>
    <x v="1"/>
    <x v="2"/>
    <x v="3"/>
    <s v="Retail"/>
    <s v="Online"/>
    <x v="9"/>
    <x v="1"/>
    <n v="220000"/>
    <n v="8"/>
    <x v="0"/>
    <n v="176000"/>
    <n v="1760000"/>
    <n v="1408000"/>
    <n v="352000"/>
  </r>
  <r>
    <s v="ID_531"/>
    <d v="2025-03-21T00:00:00"/>
    <x v="3"/>
    <x v="1"/>
    <x v="0"/>
    <s v="Retail"/>
    <s v="Online"/>
    <x v="3"/>
    <x v="2"/>
    <n v="300000"/>
    <n v="10"/>
    <x v="0"/>
    <n v="240000"/>
    <n v="3000000"/>
    <n v="2400000"/>
    <n v="600000"/>
  </r>
  <r>
    <s v="ID_1074"/>
    <d v="2025-01-20T00:00:00"/>
    <x v="0"/>
    <x v="2"/>
    <x v="3"/>
    <s v="Corporate"/>
    <s v="Store"/>
    <x v="3"/>
    <x v="2"/>
    <n v="300000"/>
    <n v="3"/>
    <x v="2"/>
    <n v="240000"/>
    <n v="900000"/>
    <n v="720000"/>
    <n v="180000"/>
  </r>
  <r>
    <s v="ID_1450"/>
    <d v="2025-02-11T00:00:00"/>
    <x v="2"/>
    <x v="3"/>
    <x v="0"/>
    <s v="Retail"/>
    <s v="Online"/>
    <x v="5"/>
    <x v="0"/>
    <n v="320000"/>
    <n v="5"/>
    <x v="4"/>
    <n v="256000"/>
    <n v="1600000"/>
    <n v="1280000"/>
    <n v="320000"/>
  </r>
  <r>
    <s v="ID_1967"/>
    <d v="2025-02-13T00:00:00"/>
    <x v="2"/>
    <x v="1"/>
    <x v="3"/>
    <s v="Retail"/>
    <s v="Online"/>
    <x v="0"/>
    <x v="0"/>
    <n v="85000"/>
    <n v="7"/>
    <x v="0"/>
    <n v="68000"/>
    <n v="595000"/>
    <n v="476000"/>
    <n v="119000"/>
  </r>
  <r>
    <s v="ID_69"/>
    <d v="2025-02-14T00:00:00"/>
    <x v="2"/>
    <x v="0"/>
    <x v="2"/>
    <s v="Retail"/>
    <s v="Store"/>
    <x v="9"/>
    <x v="1"/>
    <n v="220000"/>
    <n v="2"/>
    <x v="4"/>
    <n v="176000"/>
    <n v="440000"/>
    <n v="352000"/>
    <n v="88000"/>
  </r>
  <r>
    <s v="ID_1575"/>
    <d v="2025-03-23T00:00:00"/>
    <x v="3"/>
    <x v="3"/>
    <x v="3"/>
    <s v="Retail"/>
    <s v="Store"/>
    <x v="3"/>
    <x v="2"/>
    <n v="300000"/>
    <n v="2"/>
    <x v="2"/>
    <n v="240000"/>
    <n v="600000"/>
    <n v="480000"/>
    <n v="120000"/>
  </r>
  <r>
    <s v="ID_503"/>
    <d v="2025-02-14T00:00:00"/>
    <x v="2"/>
    <x v="2"/>
    <x v="1"/>
    <s v="Corporate"/>
    <s v="Online"/>
    <x v="0"/>
    <x v="0"/>
    <n v="85000"/>
    <n v="3"/>
    <x v="1"/>
    <n v="68000"/>
    <n v="255000"/>
    <n v="204000"/>
    <n v="51000"/>
  </r>
  <r>
    <s v="ID_1080"/>
    <d v="2025-01-19T00:00:00"/>
    <x v="0"/>
    <x v="3"/>
    <x v="3"/>
    <s v="Retail"/>
    <s v="Store"/>
    <x v="9"/>
    <x v="1"/>
    <n v="220000"/>
    <n v="7"/>
    <x v="4"/>
    <n v="176000"/>
    <n v="1540000"/>
    <n v="1232000"/>
    <n v="308000"/>
  </r>
  <r>
    <s v="ID_170"/>
    <d v="2025-03-27T00:00:00"/>
    <x v="3"/>
    <x v="1"/>
    <x v="2"/>
    <s v="Corporate"/>
    <s v="Online"/>
    <x v="6"/>
    <x v="2"/>
    <n v="150000"/>
    <n v="3"/>
    <x v="2"/>
    <n v="120000"/>
    <n v="450000"/>
    <n v="360000"/>
    <n v="90000"/>
  </r>
  <r>
    <s v="ID_501"/>
    <d v="2025-01-25T00:00:00"/>
    <x v="0"/>
    <x v="1"/>
    <x v="1"/>
    <s v="Retail"/>
    <s v="Store"/>
    <x v="7"/>
    <x v="2"/>
    <n v="420000"/>
    <n v="10"/>
    <x v="4"/>
    <n v="336000"/>
    <n v="4200000"/>
    <n v="3360000"/>
    <n v="840000"/>
  </r>
  <r>
    <s v="ID_219"/>
    <d v="2025-02-07T00:00:00"/>
    <x v="2"/>
    <x v="3"/>
    <x v="1"/>
    <s v="Retail"/>
    <s v="Store"/>
    <x v="2"/>
    <x v="1"/>
    <n v="60000"/>
    <n v="3"/>
    <x v="3"/>
    <n v="48000"/>
    <n v="180000"/>
    <n v="144000"/>
    <n v="36000"/>
  </r>
  <r>
    <s v="ID_682"/>
    <d v="2025-01-21T00:00:00"/>
    <x v="0"/>
    <x v="1"/>
    <x v="1"/>
    <s v="Corporate"/>
    <s v="Online"/>
    <x v="3"/>
    <x v="2"/>
    <n v="300000"/>
    <n v="9"/>
    <x v="1"/>
    <n v="240000"/>
    <n v="2700000"/>
    <n v="2160000"/>
    <n v="540000"/>
  </r>
  <r>
    <s v="ID_437"/>
    <d v="2025-02-10T00:00:00"/>
    <x v="2"/>
    <x v="2"/>
    <x v="1"/>
    <s v="Corporate"/>
    <s v="Online"/>
    <x v="2"/>
    <x v="1"/>
    <n v="60000"/>
    <n v="7"/>
    <x v="0"/>
    <n v="48000"/>
    <n v="420000"/>
    <n v="336000"/>
    <n v="84000"/>
  </r>
  <r>
    <s v="ID_1202"/>
    <d v="2025-03-19T00:00:00"/>
    <x v="3"/>
    <x v="0"/>
    <x v="0"/>
    <s v="Retail"/>
    <s v="Online"/>
    <x v="5"/>
    <x v="0"/>
    <n v="320000"/>
    <n v="3"/>
    <x v="2"/>
    <n v="256000"/>
    <n v="960000"/>
    <n v="768000"/>
    <n v="192000"/>
  </r>
  <r>
    <s v="ID_944"/>
    <d v="2025-02-11T00:00:00"/>
    <x v="2"/>
    <x v="3"/>
    <x v="1"/>
    <s v="Corporate"/>
    <s v="Online"/>
    <x v="9"/>
    <x v="1"/>
    <n v="220000"/>
    <n v="5"/>
    <x v="0"/>
    <n v="176000"/>
    <n v="1100000"/>
    <n v="880000"/>
    <n v="220000"/>
  </r>
  <r>
    <s v="ID_1968"/>
    <d v="2025-02-15T00:00:00"/>
    <x v="2"/>
    <x v="1"/>
    <x v="1"/>
    <s v="Corporate"/>
    <s v="Online"/>
    <x v="9"/>
    <x v="1"/>
    <n v="220000"/>
    <n v="2"/>
    <x v="0"/>
    <n v="176000"/>
    <n v="440000"/>
    <n v="352000"/>
    <n v="88000"/>
  </r>
  <r>
    <s v="ID_372"/>
    <d v="2025-01-16T00:00:00"/>
    <x v="0"/>
    <x v="0"/>
    <x v="0"/>
    <s v="Retail"/>
    <s v="Store"/>
    <x v="6"/>
    <x v="2"/>
    <n v="150000"/>
    <n v="10"/>
    <x v="1"/>
    <n v="120000"/>
    <n v="1500000"/>
    <n v="1200000"/>
    <n v="300000"/>
  </r>
  <r>
    <s v="ID_1961"/>
    <d v="2025-04-14T00:00:00"/>
    <x v="1"/>
    <x v="3"/>
    <x v="2"/>
    <s v="Retail"/>
    <s v="Store"/>
    <x v="1"/>
    <x v="1"/>
    <n v="30000"/>
    <n v="8"/>
    <x v="5"/>
    <n v="24000"/>
    <n v="240000"/>
    <n v="192000"/>
    <n v="48000"/>
  </r>
  <r>
    <s v="ID_1887"/>
    <d v="2025-04-14T00:00:00"/>
    <x v="1"/>
    <x v="1"/>
    <x v="1"/>
    <s v="Retail"/>
    <s v="Store"/>
    <x v="1"/>
    <x v="1"/>
    <n v="30000"/>
    <n v="9"/>
    <x v="3"/>
    <n v="24000"/>
    <n v="270000"/>
    <n v="216000"/>
    <n v="54000"/>
  </r>
  <r>
    <s v="ID_48"/>
    <d v="2025-04-06T00:00:00"/>
    <x v="1"/>
    <x v="1"/>
    <x v="0"/>
    <s v="Retail"/>
    <s v="Store"/>
    <x v="6"/>
    <x v="2"/>
    <n v="150000"/>
    <n v="3"/>
    <x v="1"/>
    <n v="120000"/>
    <n v="450000"/>
    <n v="360000"/>
    <n v="90000"/>
  </r>
  <r>
    <s v="ID_1673"/>
    <d v="2025-02-11T00:00:00"/>
    <x v="2"/>
    <x v="1"/>
    <x v="0"/>
    <s v="Corporate"/>
    <s v="Online"/>
    <x v="2"/>
    <x v="1"/>
    <n v="60000"/>
    <n v="6"/>
    <x v="2"/>
    <n v="48000"/>
    <n v="360000"/>
    <n v="288000"/>
    <n v="72000"/>
  </r>
  <r>
    <s v="ID_1254"/>
    <d v="2025-02-14T00:00:00"/>
    <x v="2"/>
    <x v="1"/>
    <x v="0"/>
    <s v="Corporate"/>
    <s v="Store"/>
    <x v="8"/>
    <x v="2"/>
    <n v="250000"/>
    <n v="1"/>
    <x v="2"/>
    <n v="200000"/>
    <n v="250000"/>
    <n v="200000"/>
    <n v="50000"/>
  </r>
  <r>
    <s v="ID_2093"/>
    <d v="2025-04-25T00:00:00"/>
    <x v="1"/>
    <x v="0"/>
    <x v="2"/>
    <s v="Retail"/>
    <s v="Store"/>
    <x v="0"/>
    <x v="0"/>
    <n v="85000"/>
    <n v="8"/>
    <x v="2"/>
    <n v="68000"/>
    <n v="680000"/>
    <n v="544000"/>
    <n v="136000"/>
  </r>
  <r>
    <s v="ID_2056"/>
    <d v="2025-02-09T00:00:00"/>
    <x v="2"/>
    <x v="3"/>
    <x v="0"/>
    <s v="Retail"/>
    <s v="Store"/>
    <x v="4"/>
    <x v="1"/>
    <n v="180000"/>
    <n v="8"/>
    <x v="2"/>
    <n v="144000"/>
    <n v="1440000"/>
    <n v="1152000"/>
    <n v="288000"/>
  </r>
  <r>
    <s v="ID_1194"/>
    <d v="2025-03-13T00:00:00"/>
    <x v="3"/>
    <x v="1"/>
    <x v="3"/>
    <s v="Corporate"/>
    <s v="Store"/>
    <x v="9"/>
    <x v="1"/>
    <n v="220000"/>
    <n v="9"/>
    <x v="4"/>
    <n v="176000"/>
    <n v="1980000"/>
    <n v="1584000"/>
    <n v="396000"/>
  </r>
  <r>
    <s v="ID_1922"/>
    <d v="2025-01-04T00:00:00"/>
    <x v="0"/>
    <x v="0"/>
    <x v="0"/>
    <s v="Retail"/>
    <s v="Store"/>
    <x v="8"/>
    <x v="2"/>
    <n v="250000"/>
    <n v="3"/>
    <x v="2"/>
    <n v="200000"/>
    <n v="750000"/>
    <n v="600000"/>
    <n v="150000"/>
  </r>
  <r>
    <s v="ID_193"/>
    <d v="2025-02-27T00:00:00"/>
    <x v="2"/>
    <x v="3"/>
    <x v="3"/>
    <s v="Retail"/>
    <s v="Online"/>
    <x v="7"/>
    <x v="2"/>
    <n v="420000"/>
    <n v="6"/>
    <x v="5"/>
    <n v="336000"/>
    <n v="2520000"/>
    <n v="2016000"/>
    <n v="504000"/>
  </r>
  <r>
    <s v="ID_1440"/>
    <d v="2025-02-05T00:00:00"/>
    <x v="2"/>
    <x v="1"/>
    <x v="1"/>
    <s v="Corporate"/>
    <s v="Store"/>
    <x v="4"/>
    <x v="1"/>
    <n v="180000"/>
    <n v="3"/>
    <x v="0"/>
    <n v="144000"/>
    <n v="540000"/>
    <n v="432000"/>
    <n v="108000"/>
  </r>
  <r>
    <s v="ID_1929"/>
    <d v="2025-02-28T00:00:00"/>
    <x v="2"/>
    <x v="2"/>
    <x v="2"/>
    <s v="Corporate"/>
    <s v="Store"/>
    <x v="4"/>
    <x v="1"/>
    <n v="180000"/>
    <n v="9"/>
    <x v="0"/>
    <n v="144000"/>
    <n v="1620000"/>
    <n v="1296000"/>
    <n v="324000"/>
  </r>
  <r>
    <s v="ID_994"/>
    <d v="2025-01-19T00:00:00"/>
    <x v="0"/>
    <x v="1"/>
    <x v="2"/>
    <s v="Retail"/>
    <s v="Online"/>
    <x v="7"/>
    <x v="2"/>
    <n v="420000"/>
    <n v="5"/>
    <x v="0"/>
    <n v="336000"/>
    <n v="2100000"/>
    <n v="1680000"/>
    <n v="420000"/>
  </r>
  <r>
    <s v="ID_354"/>
    <d v="2025-02-11T00:00:00"/>
    <x v="2"/>
    <x v="3"/>
    <x v="2"/>
    <s v="Retail"/>
    <s v="Store"/>
    <x v="4"/>
    <x v="1"/>
    <n v="180000"/>
    <n v="6"/>
    <x v="5"/>
    <n v="144000"/>
    <n v="1080000"/>
    <n v="864000"/>
    <n v="216000"/>
  </r>
  <r>
    <s v="ID_741"/>
    <d v="2025-02-19T00:00:00"/>
    <x v="2"/>
    <x v="1"/>
    <x v="2"/>
    <s v="Corporate"/>
    <s v="Online"/>
    <x v="3"/>
    <x v="2"/>
    <n v="300000"/>
    <n v="3"/>
    <x v="2"/>
    <n v="240000"/>
    <n v="900000"/>
    <n v="720000"/>
    <n v="180000"/>
  </r>
  <r>
    <s v="ID_1845"/>
    <d v="2025-03-11T00:00:00"/>
    <x v="3"/>
    <x v="0"/>
    <x v="2"/>
    <s v="Retail"/>
    <s v="Online"/>
    <x v="9"/>
    <x v="1"/>
    <n v="220000"/>
    <n v="7"/>
    <x v="0"/>
    <n v="176000"/>
    <n v="1540000"/>
    <n v="1232000"/>
    <n v="308000"/>
  </r>
  <r>
    <s v="ID_890"/>
    <d v="2025-04-30T00:00:00"/>
    <x v="1"/>
    <x v="2"/>
    <x v="1"/>
    <s v="Retail"/>
    <s v="Online"/>
    <x v="2"/>
    <x v="1"/>
    <n v="60000"/>
    <n v="2"/>
    <x v="0"/>
    <n v="48000"/>
    <n v="120000"/>
    <n v="96000"/>
    <n v="24000"/>
  </r>
  <r>
    <s v="ID_2070"/>
    <d v="2025-02-11T00:00:00"/>
    <x v="2"/>
    <x v="2"/>
    <x v="1"/>
    <s v="Corporate"/>
    <s v="Online"/>
    <x v="1"/>
    <x v="1"/>
    <n v="30000"/>
    <n v="4"/>
    <x v="3"/>
    <n v="24000"/>
    <n v="120000"/>
    <n v="96000"/>
    <n v="24000"/>
  </r>
  <r>
    <s v="ID_80"/>
    <d v="2025-01-27T00:00:00"/>
    <x v="0"/>
    <x v="0"/>
    <x v="1"/>
    <s v="Corporate"/>
    <s v="Store"/>
    <x v="5"/>
    <x v="0"/>
    <n v="320000"/>
    <n v="8"/>
    <x v="3"/>
    <n v="256000"/>
    <n v="2560000"/>
    <n v="2048000"/>
    <n v="512000"/>
  </r>
  <r>
    <s v="ID_769"/>
    <d v="2025-04-26T00:00:00"/>
    <x v="1"/>
    <x v="0"/>
    <x v="3"/>
    <s v="Corporate"/>
    <s v="Store"/>
    <x v="4"/>
    <x v="1"/>
    <n v="180000"/>
    <n v="5"/>
    <x v="2"/>
    <n v="144000"/>
    <n v="900000"/>
    <n v="720000"/>
    <n v="180000"/>
  </r>
  <r>
    <s v="ID_1818"/>
    <d v="2025-03-01T00:00:00"/>
    <x v="3"/>
    <x v="1"/>
    <x v="0"/>
    <s v="Retail"/>
    <s v="Store"/>
    <x v="5"/>
    <x v="0"/>
    <n v="320000"/>
    <n v="6"/>
    <x v="2"/>
    <n v="256000"/>
    <n v="1920000"/>
    <n v="1536000"/>
    <n v="384000"/>
  </r>
  <r>
    <s v="ID_573"/>
    <d v="2025-01-20T00:00:00"/>
    <x v="0"/>
    <x v="2"/>
    <x v="1"/>
    <s v="Retail"/>
    <s v="Online"/>
    <x v="7"/>
    <x v="2"/>
    <n v="420000"/>
    <n v="3"/>
    <x v="2"/>
    <n v="336000"/>
    <n v="1260000"/>
    <n v="1008000"/>
    <n v="252000"/>
  </r>
  <r>
    <s v="ID_991"/>
    <d v="2025-01-09T00:00:00"/>
    <x v="0"/>
    <x v="3"/>
    <x v="3"/>
    <s v="Corporate"/>
    <s v="Online"/>
    <x v="6"/>
    <x v="2"/>
    <n v="150000"/>
    <n v="2"/>
    <x v="5"/>
    <n v="120000"/>
    <n v="300000"/>
    <n v="240000"/>
    <n v="60000"/>
  </r>
  <r>
    <s v="ID_1804"/>
    <d v="2025-04-19T00:00:00"/>
    <x v="1"/>
    <x v="0"/>
    <x v="3"/>
    <s v="Retail"/>
    <s v="Online"/>
    <x v="4"/>
    <x v="1"/>
    <n v="180000"/>
    <n v="8"/>
    <x v="3"/>
    <n v="144000"/>
    <n v="1440000"/>
    <n v="1152000"/>
    <n v="288000"/>
  </r>
  <r>
    <s v="ID_1152"/>
    <d v="2025-03-14T00:00:00"/>
    <x v="3"/>
    <x v="3"/>
    <x v="1"/>
    <s v="Retail"/>
    <s v="Online"/>
    <x v="6"/>
    <x v="2"/>
    <n v="150000"/>
    <n v="4"/>
    <x v="3"/>
    <n v="120000"/>
    <n v="600000"/>
    <n v="480000"/>
    <n v="120000"/>
  </r>
  <r>
    <s v="ID_703"/>
    <d v="2025-02-26T00:00:00"/>
    <x v="2"/>
    <x v="3"/>
    <x v="2"/>
    <s v="Corporate"/>
    <s v="Store"/>
    <x v="2"/>
    <x v="1"/>
    <n v="60000"/>
    <n v="8"/>
    <x v="2"/>
    <n v="48000"/>
    <n v="480000"/>
    <n v="384000"/>
    <n v="96000"/>
  </r>
  <r>
    <s v="ID_540"/>
    <d v="2025-04-24T00:00:00"/>
    <x v="1"/>
    <x v="3"/>
    <x v="0"/>
    <s v="Corporate"/>
    <s v="Store"/>
    <x v="7"/>
    <x v="2"/>
    <n v="420000"/>
    <n v="5"/>
    <x v="4"/>
    <n v="336000"/>
    <n v="2100000"/>
    <n v="1680000"/>
    <n v="420000"/>
  </r>
  <r>
    <s v="ID_382"/>
    <d v="2025-03-28T00:00:00"/>
    <x v="3"/>
    <x v="3"/>
    <x v="0"/>
    <s v="Retail"/>
    <s v="Store"/>
    <x v="7"/>
    <x v="2"/>
    <n v="420000"/>
    <n v="6"/>
    <x v="5"/>
    <n v="336000"/>
    <n v="2520000"/>
    <n v="2016000"/>
    <n v="504000"/>
  </r>
  <r>
    <s v="ID_967"/>
    <d v="2025-01-22T00:00:00"/>
    <x v="0"/>
    <x v="2"/>
    <x v="0"/>
    <s v="Retail"/>
    <s v="Store"/>
    <x v="3"/>
    <x v="2"/>
    <n v="300000"/>
    <n v="4"/>
    <x v="1"/>
    <n v="240000"/>
    <n v="1200000"/>
    <n v="960000"/>
    <n v="240000"/>
  </r>
  <r>
    <s v="ID_1645"/>
    <d v="2025-02-03T00:00:00"/>
    <x v="2"/>
    <x v="1"/>
    <x v="3"/>
    <s v="Retail"/>
    <s v="Online"/>
    <x v="4"/>
    <x v="1"/>
    <n v="180000"/>
    <n v="1"/>
    <x v="5"/>
    <n v="144000"/>
    <n v="180000"/>
    <n v="144000"/>
    <n v="36000"/>
  </r>
  <r>
    <s v="ID_1744"/>
    <d v="2025-03-26T00:00:00"/>
    <x v="3"/>
    <x v="3"/>
    <x v="3"/>
    <s v="Corporate"/>
    <s v="Online"/>
    <x v="7"/>
    <x v="2"/>
    <n v="420000"/>
    <n v="5"/>
    <x v="4"/>
    <n v="336000"/>
    <n v="2100000"/>
    <n v="1680000"/>
    <n v="420000"/>
  </r>
  <r>
    <s v="ID_286"/>
    <d v="2025-03-26T00:00:00"/>
    <x v="3"/>
    <x v="0"/>
    <x v="1"/>
    <s v="Corporate"/>
    <s v="Store"/>
    <x v="8"/>
    <x v="2"/>
    <n v="250000"/>
    <n v="7"/>
    <x v="5"/>
    <n v="200000"/>
    <n v="1750000"/>
    <n v="1400000"/>
    <n v="350000"/>
  </r>
  <r>
    <s v="ID_894"/>
    <d v="2025-04-16T00:00:00"/>
    <x v="1"/>
    <x v="2"/>
    <x v="3"/>
    <s v="Corporate"/>
    <s v="Online"/>
    <x v="1"/>
    <x v="1"/>
    <n v="30000"/>
    <n v="1"/>
    <x v="5"/>
    <n v="24000"/>
    <n v="30000"/>
    <n v="24000"/>
    <n v="6000"/>
  </r>
  <r>
    <s v="ID_935"/>
    <d v="2025-03-14T00:00:00"/>
    <x v="3"/>
    <x v="2"/>
    <x v="1"/>
    <s v="Corporate"/>
    <s v="Online"/>
    <x v="4"/>
    <x v="1"/>
    <n v="180000"/>
    <n v="9"/>
    <x v="3"/>
    <n v="144000"/>
    <n v="1620000"/>
    <n v="1296000"/>
    <n v="324000"/>
  </r>
  <r>
    <s v="ID_1839"/>
    <d v="2025-04-12T00:00:00"/>
    <x v="1"/>
    <x v="3"/>
    <x v="1"/>
    <s v="Corporate"/>
    <s v="Online"/>
    <x v="3"/>
    <x v="2"/>
    <n v="300000"/>
    <n v="7"/>
    <x v="5"/>
    <n v="240000"/>
    <n v="2100000"/>
    <n v="1680000"/>
    <n v="420000"/>
  </r>
  <r>
    <s v="ID_531"/>
    <d v="2025-04-26T00:00:00"/>
    <x v="1"/>
    <x v="1"/>
    <x v="1"/>
    <s v="Retail"/>
    <s v="Online"/>
    <x v="2"/>
    <x v="1"/>
    <n v="60000"/>
    <n v="2"/>
    <x v="5"/>
    <n v="48000"/>
    <n v="120000"/>
    <n v="96000"/>
    <n v="24000"/>
  </r>
  <r>
    <s v="ID_1824"/>
    <d v="2025-03-20T00:00:00"/>
    <x v="3"/>
    <x v="0"/>
    <x v="3"/>
    <s v="Corporate"/>
    <s v="Online"/>
    <x v="8"/>
    <x v="2"/>
    <n v="250000"/>
    <n v="5"/>
    <x v="2"/>
    <n v="200000"/>
    <n v="1250000"/>
    <n v="1000000"/>
    <n v="250000"/>
  </r>
  <r>
    <s v="ID_537"/>
    <d v="2025-03-14T00:00:00"/>
    <x v="3"/>
    <x v="3"/>
    <x v="3"/>
    <s v="Corporate"/>
    <s v="Store"/>
    <x v="0"/>
    <x v="0"/>
    <n v="85000"/>
    <n v="9"/>
    <x v="3"/>
    <n v="68000"/>
    <n v="765000"/>
    <n v="612000"/>
    <n v="153000"/>
  </r>
  <r>
    <s v="ID_1372"/>
    <d v="2025-04-07T00:00:00"/>
    <x v="1"/>
    <x v="3"/>
    <x v="2"/>
    <s v="Retail"/>
    <s v="Online"/>
    <x v="7"/>
    <x v="2"/>
    <n v="420000"/>
    <n v="5"/>
    <x v="2"/>
    <n v="336000"/>
    <n v="2100000"/>
    <n v="1680000"/>
    <n v="420000"/>
  </r>
  <r>
    <s v="ID_86"/>
    <d v="2025-04-21T00:00:00"/>
    <x v="1"/>
    <x v="1"/>
    <x v="3"/>
    <s v="Retail"/>
    <s v="Online"/>
    <x v="7"/>
    <x v="2"/>
    <n v="420000"/>
    <n v="7"/>
    <x v="2"/>
    <n v="336000"/>
    <n v="2940000"/>
    <n v="2352000"/>
    <n v="588000"/>
  </r>
  <r>
    <s v="ID_1897"/>
    <d v="2025-02-20T00:00:00"/>
    <x v="2"/>
    <x v="3"/>
    <x v="0"/>
    <s v="Retail"/>
    <s v="Store"/>
    <x v="5"/>
    <x v="0"/>
    <n v="320000"/>
    <n v="3"/>
    <x v="2"/>
    <n v="256000"/>
    <n v="960000"/>
    <n v="768000"/>
    <n v="192000"/>
  </r>
  <r>
    <s v="ID_771"/>
    <d v="2025-02-01T00:00:00"/>
    <x v="2"/>
    <x v="2"/>
    <x v="0"/>
    <s v="Corporate"/>
    <s v="Store"/>
    <x v="8"/>
    <x v="2"/>
    <n v="250000"/>
    <n v="10"/>
    <x v="2"/>
    <n v="200000"/>
    <n v="2500000"/>
    <n v="2000000"/>
    <n v="500000"/>
  </r>
  <r>
    <s v="ID_890"/>
    <d v="2025-04-25T00:00:00"/>
    <x v="1"/>
    <x v="1"/>
    <x v="2"/>
    <s v="Retail"/>
    <s v="Online"/>
    <x v="6"/>
    <x v="2"/>
    <n v="150000"/>
    <n v="9"/>
    <x v="5"/>
    <n v="120000"/>
    <n v="1350000"/>
    <n v="1080000"/>
    <n v="270000"/>
  </r>
  <r>
    <s v="ID_966"/>
    <d v="2025-02-04T00:00:00"/>
    <x v="2"/>
    <x v="0"/>
    <x v="0"/>
    <s v="Corporate"/>
    <s v="Online"/>
    <x v="3"/>
    <x v="2"/>
    <n v="300000"/>
    <n v="10"/>
    <x v="0"/>
    <n v="240000"/>
    <n v="3000000"/>
    <n v="2400000"/>
    <n v="600000"/>
  </r>
  <r>
    <s v="ID_1574"/>
    <d v="2025-02-04T00:00:00"/>
    <x v="2"/>
    <x v="1"/>
    <x v="0"/>
    <s v="Corporate"/>
    <s v="Store"/>
    <x v="3"/>
    <x v="2"/>
    <n v="300000"/>
    <n v="2"/>
    <x v="3"/>
    <n v="240000"/>
    <n v="600000"/>
    <n v="480000"/>
    <n v="120000"/>
  </r>
  <r>
    <s v="ID_2024"/>
    <d v="2025-01-16T00:00:00"/>
    <x v="0"/>
    <x v="1"/>
    <x v="3"/>
    <s v="Retail"/>
    <s v="Store"/>
    <x v="4"/>
    <x v="1"/>
    <n v="180000"/>
    <n v="2"/>
    <x v="3"/>
    <n v="144000"/>
    <n v="360000"/>
    <n v="288000"/>
    <n v="72000"/>
  </r>
  <r>
    <s v="ID_1863"/>
    <d v="2025-03-21T00:00:00"/>
    <x v="3"/>
    <x v="0"/>
    <x v="3"/>
    <s v="Corporate"/>
    <s v="Store"/>
    <x v="5"/>
    <x v="0"/>
    <n v="320000"/>
    <n v="10"/>
    <x v="5"/>
    <n v="256000"/>
    <n v="3200000"/>
    <n v="2560000"/>
    <n v="640000"/>
  </r>
  <r>
    <s v="ID_1809"/>
    <d v="2025-04-22T00:00:00"/>
    <x v="1"/>
    <x v="3"/>
    <x v="0"/>
    <s v="Corporate"/>
    <s v="Store"/>
    <x v="5"/>
    <x v="0"/>
    <n v="320000"/>
    <n v="1"/>
    <x v="4"/>
    <n v="256000"/>
    <n v="320000"/>
    <n v="256000"/>
    <n v="64000"/>
  </r>
  <r>
    <s v="ID_964"/>
    <d v="2025-03-30T00:00:00"/>
    <x v="3"/>
    <x v="3"/>
    <x v="3"/>
    <s v="Retail"/>
    <s v="Store"/>
    <x v="6"/>
    <x v="2"/>
    <n v="150000"/>
    <n v="6"/>
    <x v="3"/>
    <n v="120000"/>
    <n v="900000"/>
    <n v="720000"/>
    <n v="180000"/>
  </r>
  <r>
    <s v="ID_61"/>
    <d v="2025-04-10T00:00:00"/>
    <x v="1"/>
    <x v="3"/>
    <x v="1"/>
    <s v="Corporate"/>
    <s v="Store"/>
    <x v="0"/>
    <x v="0"/>
    <n v="85000"/>
    <n v="9"/>
    <x v="3"/>
    <n v="68000"/>
    <n v="765000"/>
    <n v="612000"/>
    <n v="153000"/>
  </r>
  <r>
    <s v="ID_1082"/>
    <d v="2025-02-18T00:00:00"/>
    <x v="2"/>
    <x v="0"/>
    <x v="0"/>
    <s v="Retail"/>
    <s v="Online"/>
    <x v="7"/>
    <x v="2"/>
    <n v="420000"/>
    <n v="7"/>
    <x v="0"/>
    <n v="336000"/>
    <n v="2940000"/>
    <n v="2352000"/>
    <n v="588000"/>
  </r>
  <r>
    <s v="ID_881"/>
    <d v="2025-01-26T00:00:00"/>
    <x v="0"/>
    <x v="1"/>
    <x v="0"/>
    <s v="Retail"/>
    <s v="Online"/>
    <x v="1"/>
    <x v="1"/>
    <n v="30000"/>
    <n v="3"/>
    <x v="3"/>
    <n v="24000"/>
    <n v="90000"/>
    <n v="72000"/>
    <n v="18000"/>
  </r>
  <r>
    <s v="ID_1091"/>
    <d v="2025-04-30T00:00:00"/>
    <x v="1"/>
    <x v="1"/>
    <x v="1"/>
    <s v="Corporate"/>
    <s v="Store"/>
    <x v="1"/>
    <x v="1"/>
    <n v="30000"/>
    <n v="9"/>
    <x v="0"/>
    <n v="24000"/>
    <n v="270000"/>
    <n v="216000"/>
    <n v="54000"/>
  </r>
  <r>
    <s v="ID_1828"/>
    <d v="2025-01-19T00:00:00"/>
    <x v="0"/>
    <x v="2"/>
    <x v="0"/>
    <s v="Corporate"/>
    <s v="Store"/>
    <x v="2"/>
    <x v="1"/>
    <n v="60000"/>
    <n v="1"/>
    <x v="4"/>
    <n v="48000"/>
    <n v="60000"/>
    <n v="48000"/>
    <n v="12000"/>
  </r>
  <r>
    <s v="ID_415"/>
    <d v="2025-02-02T00:00:00"/>
    <x v="2"/>
    <x v="3"/>
    <x v="0"/>
    <s v="Corporate"/>
    <s v="Online"/>
    <x v="8"/>
    <x v="2"/>
    <n v="250000"/>
    <n v="1"/>
    <x v="5"/>
    <n v="200000"/>
    <n v="250000"/>
    <n v="200000"/>
    <n v="50000"/>
  </r>
  <r>
    <s v="ID_502"/>
    <d v="2025-02-14T00:00:00"/>
    <x v="2"/>
    <x v="3"/>
    <x v="1"/>
    <s v="Corporate"/>
    <s v="Online"/>
    <x v="6"/>
    <x v="2"/>
    <n v="150000"/>
    <n v="9"/>
    <x v="0"/>
    <n v="120000"/>
    <n v="1350000"/>
    <n v="1080000"/>
    <n v="270000"/>
  </r>
  <r>
    <s v="ID_1652"/>
    <d v="2025-04-09T00:00:00"/>
    <x v="1"/>
    <x v="0"/>
    <x v="2"/>
    <s v="Corporate"/>
    <s v="Online"/>
    <x v="6"/>
    <x v="2"/>
    <n v="150000"/>
    <n v="8"/>
    <x v="1"/>
    <n v="120000"/>
    <n v="1200000"/>
    <n v="960000"/>
    <n v="240000"/>
  </r>
  <r>
    <s v="ID_963"/>
    <d v="2025-02-19T00:00:00"/>
    <x v="2"/>
    <x v="2"/>
    <x v="0"/>
    <s v="Retail"/>
    <s v="Store"/>
    <x v="2"/>
    <x v="1"/>
    <n v="60000"/>
    <n v="4"/>
    <x v="1"/>
    <n v="48000"/>
    <n v="240000"/>
    <n v="192000"/>
    <n v="48000"/>
  </r>
  <r>
    <s v="ID_2045"/>
    <d v="2025-03-03T00:00:00"/>
    <x v="3"/>
    <x v="0"/>
    <x v="3"/>
    <s v="Retail"/>
    <s v="Store"/>
    <x v="1"/>
    <x v="1"/>
    <n v="30000"/>
    <n v="3"/>
    <x v="3"/>
    <n v="24000"/>
    <n v="90000"/>
    <n v="72000"/>
    <n v="18000"/>
  </r>
  <r>
    <s v="ID_1717"/>
    <d v="2025-04-06T00:00:00"/>
    <x v="1"/>
    <x v="0"/>
    <x v="0"/>
    <s v="Retail"/>
    <s v="Store"/>
    <x v="5"/>
    <x v="0"/>
    <n v="320000"/>
    <n v="4"/>
    <x v="3"/>
    <n v="256000"/>
    <n v="1280000"/>
    <n v="1024000"/>
    <n v="256000"/>
  </r>
  <r>
    <s v="ID_1355"/>
    <d v="2025-03-03T00:00:00"/>
    <x v="3"/>
    <x v="3"/>
    <x v="2"/>
    <s v="Corporate"/>
    <s v="Online"/>
    <x v="4"/>
    <x v="1"/>
    <n v="180000"/>
    <n v="8"/>
    <x v="2"/>
    <n v="144000"/>
    <n v="1440000"/>
    <n v="1152000"/>
    <n v="288000"/>
  </r>
  <r>
    <s v="ID_218"/>
    <d v="2025-04-30T00:00:00"/>
    <x v="1"/>
    <x v="1"/>
    <x v="3"/>
    <s v="Retail"/>
    <s v="Store"/>
    <x v="0"/>
    <x v="0"/>
    <n v="85000"/>
    <n v="4"/>
    <x v="1"/>
    <n v="68000"/>
    <n v="340000"/>
    <n v="272000"/>
    <n v="68000"/>
  </r>
  <r>
    <s v="ID_167"/>
    <d v="2025-02-22T00:00:00"/>
    <x v="2"/>
    <x v="3"/>
    <x v="1"/>
    <s v="Corporate"/>
    <s v="Store"/>
    <x v="9"/>
    <x v="1"/>
    <n v="220000"/>
    <n v="10"/>
    <x v="0"/>
    <n v="176000"/>
    <n v="2200000"/>
    <n v="1760000"/>
    <n v="440000"/>
  </r>
  <r>
    <s v="ID_37"/>
    <d v="2025-01-26T00:00:00"/>
    <x v="0"/>
    <x v="2"/>
    <x v="0"/>
    <s v="Corporate"/>
    <s v="Store"/>
    <x v="0"/>
    <x v="0"/>
    <n v="85000"/>
    <n v="5"/>
    <x v="3"/>
    <n v="68000"/>
    <n v="425000"/>
    <n v="340000"/>
    <n v="85000"/>
  </r>
  <r>
    <s v="ID_836"/>
    <d v="2025-01-17T00:00:00"/>
    <x v="0"/>
    <x v="0"/>
    <x v="1"/>
    <s v="Retail"/>
    <s v="Store"/>
    <x v="3"/>
    <x v="2"/>
    <n v="300000"/>
    <n v="2"/>
    <x v="4"/>
    <n v="240000"/>
    <n v="600000"/>
    <n v="480000"/>
    <n v="120000"/>
  </r>
  <r>
    <s v="ID_919"/>
    <d v="2025-03-06T00:00:00"/>
    <x v="3"/>
    <x v="1"/>
    <x v="3"/>
    <s v="Corporate"/>
    <s v="Online"/>
    <x v="4"/>
    <x v="1"/>
    <n v="180000"/>
    <n v="1"/>
    <x v="3"/>
    <n v="144000"/>
    <n v="180000"/>
    <n v="144000"/>
    <n v="36000"/>
  </r>
  <r>
    <s v="ID_1931"/>
    <d v="2025-01-24T00:00:00"/>
    <x v="0"/>
    <x v="2"/>
    <x v="3"/>
    <s v="Retail"/>
    <s v="Online"/>
    <x v="6"/>
    <x v="2"/>
    <n v="150000"/>
    <n v="3"/>
    <x v="3"/>
    <n v="120000"/>
    <n v="450000"/>
    <n v="360000"/>
    <n v="90000"/>
  </r>
  <r>
    <s v="ID_86"/>
    <d v="2025-04-23T00:00:00"/>
    <x v="1"/>
    <x v="2"/>
    <x v="2"/>
    <s v="Corporate"/>
    <s v="Store"/>
    <x v="4"/>
    <x v="1"/>
    <n v="180000"/>
    <n v="3"/>
    <x v="2"/>
    <n v="144000"/>
    <n v="540000"/>
    <n v="432000"/>
    <n v="108000"/>
  </r>
  <r>
    <s v="ID_245"/>
    <d v="2025-02-09T00:00:00"/>
    <x v="2"/>
    <x v="3"/>
    <x v="2"/>
    <s v="Retail"/>
    <s v="Online"/>
    <x v="6"/>
    <x v="2"/>
    <n v="150000"/>
    <n v="5"/>
    <x v="1"/>
    <n v="120000"/>
    <n v="750000"/>
    <n v="600000"/>
    <n v="150000"/>
  </r>
  <r>
    <s v="ID_52"/>
    <d v="2025-02-21T00:00:00"/>
    <x v="2"/>
    <x v="1"/>
    <x v="3"/>
    <s v="Corporate"/>
    <s v="Online"/>
    <x v="2"/>
    <x v="1"/>
    <n v="60000"/>
    <n v="8"/>
    <x v="1"/>
    <n v="48000"/>
    <n v="480000"/>
    <n v="384000"/>
    <n v="96000"/>
  </r>
  <r>
    <s v="ID_1431"/>
    <d v="2025-03-12T00:00:00"/>
    <x v="3"/>
    <x v="1"/>
    <x v="0"/>
    <s v="Retail"/>
    <s v="Store"/>
    <x v="8"/>
    <x v="2"/>
    <n v="250000"/>
    <n v="5"/>
    <x v="1"/>
    <n v="200000"/>
    <n v="1250000"/>
    <n v="1000000"/>
    <n v="250000"/>
  </r>
  <r>
    <s v="ID_1803"/>
    <d v="2025-04-25T00:00:00"/>
    <x v="1"/>
    <x v="1"/>
    <x v="2"/>
    <s v="Retail"/>
    <s v="Online"/>
    <x v="4"/>
    <x v="1"/>
    <n v="180000"/>
    <n v="3"/>
    <x v="0"/>
    <n v="144000"/>
    <n v="540000"/>
    <n v="432000"/>
    <n v="108000"/>
  </r>
  <r>
    <s v="ID_187"/>
    <d v="2025-03-15T00:00:00"/>
    <x v="3"/>
    <x v="3"/>
    <x v="0"/>
    <s v="Corporate"/>
    <s v="Online"/>
    <x v="5"/>
    <x v="0"/>
    <n v="320000"/>
    <n v="9"/>
    <x v="0"/>
    <n v="256000"/>
    <n v="2880000"/>
    <n v="2304000"/>
    <n v="576000"/>
  </r>
  <r>
    <s v="ID_1869"/>
    <d v="2025-02-19T00:00:00"/>
    <x v="2"/>
    <x v="0"/>
    <x v="0"/>
    <s v="Corporate"/>
    <s v="Store"/>
    <x v="0"/>
    <x v="0"/>
    <n v="85000"/>
    <n v="5"/>
    <x v="2"/>
    <n v="68000"/>
    <n v="425000"/>
    <n v="340000"/>
    <n v="85000"/>
  </r>
  <r>
    <s v="ID_972"/>
    <d v="2025-01-04T00:00:00"/>
    <x v="0"/>
    <x v="2"/>
    <x v="1"/>
    <s v="Retail"/>
    <s v="Online"/>
    <x v="9"/>
    <x v="1"/>
    <n v="220000"/>
    <n v="1"/>
    <x v="4"/>
    <n v="176000"/>
    <n v="220000"/>
    <n v="176000"/>
    <n v="44000"/>
  </r>
  <r>
    <s v="ID_1989"/>
    <d v="2025-02-25T00:00:00"/>
    <x v="2"/>
    <x v="1"/>
    <x v="1"/>
    <s v="Retail"/>
    <s v="Store"/>
    <x v="4"/>
    <x v="1"/>
    <n v="180000"/>
    <n v="2"/>
    <x v="2"/>
    <n v="144000"/>
    <n v="360000"/>
    <n v="288000"/>
    <n v="72000"/>
  </r>
  <r>
    <s v="ID_782"/>
    <d v="2025-03-13T00:00:00"/>
    <x v="3"/>
    <x v="1"/>
    <x v="1"/>
    <s v="Corporate"/>
    <s v="Store"/>
    <x v="6"/>
    <x v="2"/>
    <n v="150000"/>
    <n v="1"/>
    <x v="3"/>
    <n v="120000"/>
    <n v="150000"/>
    <n v="120000"/>
    <n v="30000"/>
  </r>
  <r>
    <s v="ID_635"/>
    <d v="2025-03-28T00:00:00"/>
    <x v="3"/>
    <x v="0"/>
    <x v="2"/>
    <s v="Retail"/>
    <s v="Store"/>
    <x v="4"/>
    <x v="1"/>
    <n v="180000"/>
    <n v="2"/>
    <x v="1"/>
    <n v="144000"/>
    <n v="360000"/>
    <n v="288000"/>
    <n v="72000"/>
  </r>
  <r>
    <s v="ID_1796"/>
    <d v="2025-05-01T00:00:00"/>
    <x v="4"/>
    <x v="3"/>
    <x v="3"/>
    <s v="Corporate"/>
    <s v="Online"/>
    <x v="5"/>
    <x v="0"/>
    <n v="320000"/>
    <n v="4"/>
    <x v="5"/>
    <n v="256000"/>
    <n v="1280000"/>
    <n v="1024000"/>
    <n v="256000"/>
  </r>
  <r>
    <s v="ID_830"/>
    <d v="2025-01-16T00:00:00"/>
    <x v="0"/>
    <x v="3"/>
    <x v="3"/>
    <s v="Retail"/>
    <s v="Store"/>
    <x v="6"/>
    <x v="2"/>
    <n v="150000"/>
    <n v="10"/>
    <x v="0"/>
    <n v="120000"/>
    <n v="1500000"/>
    <n v="1200000"/>
    <n v="300000"/>
  </r>
  <r>
    <s v="ID_714"/>
    <d v="2025-02-15T00:00:00"/>
    <x v="2"/>
    <x v="2"/>
    <x v="2"/>
    <s v="Corporate"/>
    <s v="Store"/>
    <x v="1"/>
    <x v="1"/>
    <n v="30000"/>
    <n v="3"/>
    <x v="3"/>
    <n v="24000"/>
    <n v="90000"/>
    <n v="72000"/>
    <n v="18000"/>
  </r>
  <r>
    <s v="ID_1409"/>
    <d v="2025-03-24T00:00:00"/>
    <x v="3"/>
    <x v="2"/>
    <x v="2"/>
    <s v="Retail"/>
    <s v="Store"/>
    <x v="0"/>
    <x v="0"/>
    <n v="85000"/>
    <n v="4"/>
    <x v="3"/>
    <n v="68000"/>
    <n v="340000"/>
    <n v="272000"/>
    <n v="68000"/>
  </r>
  <r>
    <s v="ID_202"/>
    <d v="2025-04-26T00:00:00"/>
    <x v="1"/>
    <x v="0"/>
    <x v="3"/>
    <s v="Retail"/>
    <s v="Store"/>
    <x v="4"/>
    <x v="1"/>
    <n v="180000"/>
    <n v="10"/>
    <x v="3"/>
    <n v="144000"/>
    <n v="1800000"/>
    <n v="1440000"/>
    <n v="360000"/>
  </r>
  <r>
    <s v="ID_746"/>
    <d v="2025-03-25T00:00:00"/>
    <x v="3"/>
    <x v="0"/>
    <x v="1"/>
    <s v="Corporate"/>
    <s v="Store"/>
    <x v="5"/>
    <x v="0"/>
    <n v="320000"/>
    <n v="9"/>
    <x v="4"/>
    <n v="256000"/>
    <n v="2880000"/>
    <n v="2304000"/>
    <n v="576000"/>
  </r>
  <r>
    <s v="ID_872"/>
    <d v="2025-04-15T00:00:00"/>
    <x v="1"/>
    <x v="2"/>
    <x v="1"/>
    <s v="Corporate"/>
    <s v="Online"/>
    <x v="6"/>
    <x v="2"/>
    <n v="150000"/>
    <n v="3"/>
    <x v="5"/>
    <n v="120000"/>
    <n v="450000"/>
    <n v="360000"/>
    <n v="90000"/>
  </r>
  <r>
    <s v="ID_1302"/>
    <d v="2025-04-22T00:00:00"/>
    <x v="1"/>
    <x v="3"/>
    <x v="1"/>
    <s v="Retail"/>
    <s v="Online"/>
    <x v="9"/>
    <x v="1"/>
    <n v="220000"/>
    <n v="5"/>
    <x v="5"/>
    <n v="176000"/>
    <n v="1100000"/>
    <n v="880000"/>
    <n v="220000"/>
  </r>
  <r>
    <s v="ID_12"/>
    <d v="2025-01-25T00:00:00"/>
    <x v="0"/>
    <x v="3"/>
    <x v="3"/>
    <s v="Corporate"/>
    <s v="Store"/>
    <x v="3"/>
    <x v="2"/>
    <n v="300000"/>
    <n v="2"/>
    <x v="0"/>
    <n v="240000"/>
    <n v="600000"/>
    <n v="480000"/>
    <n v="120000"/>
  </r>
  <r>
    <s v="ID_1302"/>
    <d v="2025-01-15T00:00:00"/>
    <x v="0"/>
    <x v="1"/>
    <x v="0"/>
    <s v="Corporate"/>
    <s v="Online"/>
    <x v="3"/>
    <x v="2"/>
    <n v="300000"/>
    <n v="6"/>
    <x v="5"/>
    <n v="240000"/>
    <n v="1800000"/>
    <n v="1440000"/>
    <n v="360000"/>
  </r>
  <r>
    <s v="ID_2080"/>
    <d v="2025-03-13T00:00:00"/>
    <x v="3"/>
    <x v="3"/>
    <x v="3"/>
    <s v="Corporate"/>
    <s v="Online"/>
    <x v="4"/>
    <x v="1"/>
    <n v="180000"/>
    <n v="7"/>
    <x v="5"/>
    <n v="144000"/>
    <n v="1260000"/>
    <n v="1008000"/>
    <n v="252000"/>
  </r>
  <r>
    <s v="ID_1126"/>
    <d v="2025-03-06T00:00:00"/>
    <x v="3"/>
    <x v="0"/>
    <x v="2"/>
    <s v="Corporate"/>
    <s v="Store"/>
    <x v="5"/>
    <x v="0"/>
    <n v="320000"/>
    <n v="6"/>
    <x v="0"/>
    <n v="256000"/>
    <n v="1920000"/>
    <n v="1536000"/>
    <n v="384000"/>
  </r>
  <r>
    <s v="ID_725"/>
    <d v="2025-03-13T00:00:00"/>
    <x v="3"/>
    <x v="3"/>
    <x v="1"/>
    <s v="Retail"/>
    <s v="Store"/>
    <x v="8"/>
    <x v="2"/>
    <n v="250000"/>
    <n v="5"/>
    <x v="3"/>
    <n v="200000"/>
    <n v="1250000"/>
    <n v="1000000"/>
    <n v="250000"/>
  </r>
  <r>
    <s v="ID_1934"/>
    <d v="2025-01-27T00:00:00"/>
    <x v="0"/>
    <x v="0"/>
    <x v="1"/>
    <s v="Retail"/>
    <s v="Online"/>
    <x v="3"/>
    <x v="2"/>
    <n v="300000"/>
    <n v="3"/>
    <x v="5"/>
    <n v="240000"/>
    <n v="900000"/>
    <n v="720000"/>
    <n v="180000"/>
  </r>
  <r>
    <s v="ID_694"/>
    <d v="2025-01-19T00:00:00"/>
    <x v="0"/>
    <x v="0"/>
    <x v="3"/>
    <s v="Retail"/>
    <s v="Store"/>
    <x v="4"/>
    <x v="1"/>
    <n v="180000"/>
    <n v="8"/>
    <x v="5"/>
    <n v="144000"/>
    <n v="1440000"/>
    <n v="1152000"/>
    <n v="288000"/>
  </r>
  <r>
    <s v="ID_1381"/>
    <d v="2025-03-02T00:00:00"/>
    <x v="3"/>
    <x v="1"/>
    <x v="3"/>
    <s v="Retail"/>
    <s v="Store"/>
    <x v="5"/>
    <x v="0"/>
    <n v="320000"/>
    <n v="5"/>
    <x v="1"/>
    <n v="256000"/>
    <n v="1600000"/>
    <n v="1280000"/>
    <n v="320000"/>
  </r>
  <r>
    <s v="ID_853"/>
    <d v="2025-03-08T00:00:00"/>
    <x v="3"/>
    <x v="0"/>
    <x v="3"/>
    <s v="Retail"/>
    <s v="Online"/>
    <x v="8"/>
    <x v="2"/>
    <n v="250000"/>
    <n v="7"/>
    <x v="1"/>
    <n v="200000"/>
    <n v="1750000"/>
    <n v="1400000"/>
    <n v="350000"/>
  </r>
  <r>
    <s v="ID_1837"/>
    <d v="2025-03-23T00:00:00"/>
    <x v="3"/>
    <x v="0"/>
    <x v="1"/>
    <s v="Retail"/>
    <s v="Store"/>
    <x v="3"/>
    <x v="2"/>
    <n v="300000"/>
    <n v="8"/>
    <x v="0"/>
    <n v="240000"/>
    <n v="2400000"/>
    <n v="1920000"/>
    <n v="480000"/>
  </r>
  <r>
    <s v="ID_2074"/>
    <d v="2025-01-17T00:00:00"/>
    <x v="0"/>
    <x v="0"/>
    <x v="1"/>
    <s v="Corporate"/>
    <s v="Online"/>
    <x v="7"/>
    <x v="2"/>
    <n v="420000"/>
    <n v="4"/>
    <x v="5"/>
    <n v="336000"/>
    <n v="1680000"/>
    <n v="1344000"/>
    <n v="336000"/>
  </r>
  <r>
    <s v="ID_1758"/>
    <d v="2025-02-25T00:00:00"/>
    <x v="2"/>
    <x v="0"/>
    <x v="0"/>
    <s v="Corporate"/>
    <s v="Store"/>
    <x v="8"/>
    <x v="2"/>
    <n v="250000"/>
    <n v="6"/>
    <x v="2"/>
    <n v="200000"/>
    <n v="1500000"/>
    <n v="1200000"/>
    <n v="300000"/>
  </r>
  <r>
    <s v="ID_1088"/>
    <d v="2025-02-08T00:00:00"/>
    <x v="2"/>
    <x v="1"/>
    <x v="3"/>
    <s v="Retail"/>
    <s v="Online"/>
    <x v="6"/>
    <x v="2"/>
    <n v="150000"/>
    <n v="3"/>
    <x v="2"/>
    <n v="120000"/>
    <n v="450000"/>
    <n v="360000"/>
    <n v="90000"/>
  </r>
  <r>
    <s v="ID_1088"/>
    <d v="2025-02-25T00:00:00"/>
    <x v="2"/>
    <x v="3"/>
    <x v="0"/>
    <s v="Corporate"/>
    <s v="Store"/>
    <x v="3"/>
    <x v="2"/>
    <n v="300000"/>
    <n v="6"/>
    <x v="4"/>
    <n v="240000"/>
    <n v="1800000"/>
    <n v="1440000"/>
    <n v="360000"/>
  </r>
  <r>
    <s v="ID_1646"/>
    <d v="2025-01-24T00:00:00"/>
    <x v="0"/>
    <x v="2"/>
    <x v="0"/>
    <s v="Retail"/>
    <s v="Store"/>
    <x v="4"/>
    <x v="1"/>
    <n v="180000"/>
    <n v="2"/>
    <x v="2"/>
    <n v="144000"/>
    <n v="360000"/>
    <n v="288000"/>
    <n v="72000"/>
  </r>
  <r>
    <s v="ID_1866"/>
    <d v="2025-02-21T00:00:00"/>
    <x v="2"/>
    <x v="1"/>
    <x v="1"/>
    <s v="Corporate"/>
    <s v="Store"/>
    <x v="6"/>
    <x v="2"/>
    <n v="150000"/>
    <n v="6"/>
    <x v="1"/>
    <n v="120000"/>
    <n v="900000"/>
    <n v="720000"/>
    <n v="180000"/>
  </r>
  <r>
    <s v="ID_164"/>
    <d v="2025-03-31T00:00:00"/>
    <x v="3"/>
    <x v="2"/>
    <x v="2"/>
    <s v="Retail"/>
    <s v="Store"/>
    <x v="2"/>
    <x v="1"/>
    <n v="60000"/>
    <n v="8"/>
    <x v="4"/>
    <n v="48000"/>
    <n v="480000"/>
    <n v="384000"/>
    <n v="96000"/>
  </r>
  <r>
    <s v="ID_1357"/>
    <d v="2025-03-19T00:00:00"/>
    <x v="3"/>
    <x v="0"/>
    <x v="1"/>
    <s v="Retail"/>
    <s v="Store"/>
    <x v="9"/>
    <x v="1"/>
    <n v="220000"/>
    <n v="9"/>
    <x v="2"/>
    <n v="176000"/>
    <n v="1980000"/>
    <n v="1584000"/>
    <n v="396000"/>
  </r>
  <r>
    <s v="ID_1275"/>
    <d v="2025-03-14T00:00:00"/>
    <x v="3"/>
    <x v="3"/>
    <x v="3"/>
    <s v="Corporate"/>
    <s v="Online"/>
    <x v="3"/>
    <x v="2"/>
    <n v="300000"/>
    <n v="9"/>
    <x v="3"/>
    <n v="240000"/>
    <n v="2700000"/>
    <n v="2160000"/>
    <n v="540000"/>
  </r>
  <r>
    <s v="ID_431"/>
    <d v="2025-01-11T00:00:00"/>
    <x v="0"/>
    <x v="0"/>
    <x v="3"/>
    <s v="Retail"/>
    <s v="Online"/>
    <x v="7"/>
    <x v="2"/>
    <n v="420000"/>
    <n v="1"/>
    <x v="4"/>
    <n v="336000"/>
    <n v="420000"/>
    <n v="336000"/>
    <n v="84000"/>
  </r>
  <r>
    <s v="ID_2094"/>
    <d v="2025-03-28T00:00:00"/>
    <x v="3"/>
    <x v="2"/>
    <x v="3"/>
    <s v="Retail"/>
    <s v="Store"/>
    <x v="9"/>
    <x v="1"/>
    <n v="220000"/>
    <n v="6"/>
    <x v="3"/>
    <n v="176000"/>
    <n v="1320000"/>
    <n v="1056000"/>
    <n v="264000"/>
  </r>
  <r>
    <s v="ID_469"/>
    <d v="2025-03-13T00:00:00"/>
    <x v="3"/>
    <x v="0"/>
    <x v="1"/>
    <s v="Retail"/>
    <s v="Store"/>
    <x v="1"/>
    <x v="1"/>
    <n v="30000"/>
    <n v="5"/>
    <x v="2"/>
    <n v="24000"/>
    <n v="150000"/>
    <n v="120000"/>
    <n v="30000"/>
  </r>
  <r>
    <s v="ID_1940"/>
    <d v="2025-03-29T00:00:00"/>
    <x v="3"/>
    <x v="3"/>
    <x v="2"/>
    <s v="Corporate"/>
    <s v="Online"/>
    <x v="1"/>
    <x v="1"/>
    <n v="30000"/>
    <n v="9"/>
    <x v="2"/>
    <n v="24000"/>
    <n v="270000"/>
    <n v="216000"/>
    <n v="54000"/>
  </r>
  <r>
    <s v="ID_1359"/>
    <d v="2025-02-21T00:00:00"/>
    <x v="2"/>
    <x v="2"/>
    <x v="0"/>
    <s v="Retail"/>
    <s v="Online"/>
    <x v="8"/>
    <x v="2"/>
    <n v="250000"/>
    <n v="1"/>
    <x v="3"/>
    <n v="200000"/>
    <n v="250000"/>
    <n v="200000"/>
    <n v="50000"/>
  </r>
  <r>
    <s v="ID_1352"/>
    <d v="2025-03-30T00:00:00"/>
    <x v="3"/>
    <x v="2"/>
    <x v="3"/>
    <s v="Retail"/>
    <s v="Online"/>
    <x v="9"/>
    <x v="1"/>
    <n v="220000"/>
    <n v="8"/>
    <x v="1"/>
    <n v="176000"/>
    <n v="1760000"/>
    <n v="1408000"/>
    <n v="352000"/>
  </r>
  <r>
    <s v="ID_1969"/>
    <d v="2025-02-15T00:00:00"/>
    <x v="2"/>
    <x v="1"/>
    <x v="1"/>
    <s v="Retail"/>
    <s v="Online"/>
    <x v="7"/>
    <x v="2"/>
    <n v="420000"/>
    <n v="8"/>
    <x v="5"/>
    <n v="336000"/>
    <n v="3360000"/>
    <n v="2688000"/>
    <n v="672000"/>
  </r>
  <r>
    <s v="ID_1583"/>
    <d v="2025-03-10T00:00:00"/>
    <x v="3"/>
    <x v="3"/>
    <x v="2"/>
    <s v="Retail"/>
    <s v="Online"/>
    <x v="3"/>
    <x v="2"/>
    <n v="300000"/>
    <n v="10"/>
    <x v="3"/>
    <n v="240000"/>
    <n v="3000000"/>
    <n v="2400000"/>
    <n v="600000"/>
  </r>
  <r>
    <s v="ID_1444"/>
    <d v="2025-04-14T00:00:00"/>
    <x v="1"/>
    <x v="3"/>
    <x v="3"/>
    <s v="Retail"/>
    <s v="Online"/>
    <x v="6"/>
    <x v="2"/>
    <n v="150000"/>
    <n v="1"/>
    <x v="3"/>
    <n v="120000"/>
    <n v="150000"/>
    <n v="120000"/>
    <n v="30000"/>
  </r>
  <r>
    <s v="ID_1764"/>
    <d v="2025-01-27T00:00:00"/>
    <x v="0"/>
    <x v="3"/>
    <x v="3"/>
    <s v="Retail"/>
    <s v="Store"/>
    <x v="9"/>
    <x v="1"/>
    <n v="220000"/>
    <n v="6"/>
    <x v="2"/>
    <n v="176000"/>
    <n v="1320000"/>
    <n v="1056000"/>
    <n v="264000"/>
  </r>
  <r>
    <s v="ID_285"/>
    <d v="2025-01-06T00:00:00"/>
    <x v="0"/>
    <x v="3"/>
    <x v="1"/>
    <s v="Corporate"/>
    <s v="Online"/>
    <x v="4"/>
    <x v="1"/>
    <n v="180000"/>
    <n v="3"/>
    <x v="5"/>
    <n v="144000"/>
    <n v="540000"/>
    <n v="432000"/>
    <n v="108000"/>
  </r>
  <r>
    <s v="ID_2055"/>
    <d v="2025-01-20T00:00:00"/>
    <x v="0"/>
    <x v="3"/>
    <x v="0"/>
    <s v="Retail"/>
    <s v="Store"/>
    <x v="2"/>
    <x v="1"/>
    <n v="60000"/>
    <n v="10"/>
    <x v="3"/>
    <n v="48000"/>
    <n v="600000"/>
    <n v="480000"/>
    <n v="120000"/>
  </r>
  <r>
    <s v="ID_485"/>
    <d v="2025-04-16T00:00:00"/>
    <x v="1"/>
    <x v="2"/>
    <x v="0"/>
    <s v="Corporate"/>
    <s v="Online"/>
    <x v="9"/>
    <x v="1"/>
    <n v="220000"/>
    <n v="1"/>
    <x v="4"/>
    <n v="176000"/>
    <n v="220000"/>
    <n v="176000"/>
    <n v="44000"/>
  </r>
  <r>
    <s v="ID_1320"/>
    <d v="2025-04-19T00:00:00"/>
    <x v="1"/>
    <x v="3"/>
    <x v="2"/>
    <s v="Retail"/>
    <s v="Store"/>
    <x v="8"/>
    <x v="2"/>
    <n v="250000"/>
    <n v="5"/>
    <x v="2"/>
    <n v="200000"/>
    <n v="1250000"/>
    <n v="1000000"/>
    <n v="250000"/>
  </r>
  <r>
    <s v="ID_1203"/>
    <d v="2025-04-03T00:00:00"/>
    <x v="1"/>
    <x v="2"/>
    <x v="1"/>
    <s v="Corporate"/>
    <s v="Store"/>
    <x v="8"/>
    <x v="2"/>
    <n v="250000"/>
    <n v="8"/>
    <x v="3"/>
    <n v="200000"/>
    <n v="2000000"/>
    <n v="1600000"/>
    <n v="400000"/>
  </r>
  <r>
    <s v="ID_1173"/>
    <d v="2025-01-13T00:00:00"/>
    <x v="0"/>
    <x v="0"/>
    <x v="3"/>
    <s v="Corporate"/>
    <s v="Online"/>
    <x v="6"/>
    <x v="2"/>
    <n v="150000"/>
    <n v="4"/>
    <x v="1"/>
    <n v="120000"/>
    <n v="600000"/>
    <n v="480000"/>
    <n v="120000"/>
  </r>
  <r>
    <s v="ID_1512"/>
    <d v="2025-03-11T00:00:00"/>
    <x v="3"/>
    <x v="2"/>
    <x v="1"/>
    <s v="Retail"/>
    <s v="Online"/>
    <x v="9"/>
    <x v="1"/>
    <n v="220000"/>
    <n v="3"/>
    <x v="4"/>
    <n v="176000"/>
    <n v="660000"/>
    <n v="528000"/>
    <n v="132000"/>
  </r>
  <r>
    <s v="ID_1174"/>
    <d v="2025-01-20T00:00:00"/>
    <x v="0"/>
    <x v="2"/>
    <x v="2"/>
    <s v="Retail"/>
    <s v="Online"/>
    <x v="4"/>
    <x v="1"/>
    <n v="180000"/>
    <n v="7"/>
    <x v="4"/>
    <n v="144000"/>
    <n v="1260000"/>
    <n v="1008000"/>
    <n v="252000"/>
  </r>
  <r>
    <s v="ID_1752"/>
    <d v="2025-01-08T00:00:00"/>
    <x v="0"/>
    <x v="2"/>
    <x v="1"/>
    <s v="Corporate"/>
    <s v="Store"/>
    <x v="6"/>
    <x v="2"/>
    <n v="150000"/>
    <n v="4"/>
    <x v="3"/>
    <n v="120000"/>
    <n v="600000"/>
    <n v="480000"/>
    <n v="120000"/>
  </r>
  <r>
    <s v="ID_1704"/>
    <d v="2025-02-24T00:00:00"/>
    <x v="2"/>
    <x v="1"/>
    <x v="2"/>
    <s v="Corporate"/>
    <s v="Online"/>
    <x v="6"/>
    <x v="2"/>
    <n v="150000"/>
    <n v="10"/>
    <x v="1"/>
    <n v="120000"/>
    <n v="1500000"/>
    <n v="1200000"/>
    <n v="300000"/>
  </r>
  <r>
    <s v="ID_930"/>
    <d v="2025-02-26T00:00:00"/>
    <x v="2"/>
    <x v="0"/>
    <x v="1"/>
    <s v="Retail"/>
    <s v="Online"/>
    <x v="6"/>
    <x v="2"/>
    <n v="150000"/>
    <n v="1"/>
    <x v="5"/>
    <n v="120000"/>
    <n v="150000"/>
    <n v="120000"/>
    <n v="30000"/>
  </r>
  <r>
    <s v="ID_1582"/>
    <d v="2025-02-24T00:00:00"/>
    <x v="2"/>
    <x v="3"/>
    <x v="2"/>
    <s v="Corporate"/>
    <s v="Store"/>
    <x v="6"/>
    <x v="2"/>
    <n v="150000"/>
    <n v="4"/>
    <x v="1"/>
    <n v="120000"/>
    <n v="600000"/>
    <n v="480000"/>
    <n v="120000"/>
  </r>
  <r>
    <s v="ID_321"/>
    <d v="2025-03-26T00:00:00"/>
    <x v="3"/>
    <x v="0"/>
    <x v="2"/>
    <s v="Corporate"/>
    <s v="Online"/>
    <x v="2"/>
    <x v="1"/>
    <n v="60000"/>
    <n v="5"/>
    <x v="4"/>
    <n v="48000"/>
    <n v="300000"/>
    <n v="240000"/>
    <n v="60000"/>
  </r>
  <r>
    <s v="ID_1040"/>
    <d v="2025-02-22T00:00:00"/>
    <x v="2"/>
    <x v="2"/>
    <x v="3"/>
    <s v="Retail"/>
    <s v="Store"/>
    <x v="9"/>
    <x v="1"/>
    <n v="220000"/>
    <n v="7"/>
    <x v="0"/>
    <n v="176000"/>
    <n v="1540000"/>
    <n v="1232000"/>
    <n v="308000"/>
  </r>
  <r>
    <s v="ID_129"/>
    <d v="2025-01-04T00:00:00"/>
    <x v="0"/>
    <x v="3"/>
    <x v="1"/>
    <s v="Retail"/>
    <s v="Store"/>
    <x v="6"/>
    <x v="2"/>
    <n v="150000"/>
    <n v="4"/>
    <x v="5"/>
    <n v="120000"/>
    <n v="600000"/>
    <n v="480000"/>
    <n v="120000"/>
  </r>
  <r>
    <s v="ID_558"/>
    <d v="2025-04-19T00:00:00"/>
    <x v="1"/>
    <x v="1"/>
    <x v="2"/>
    <s v="Corporate"/>
    <s v="Online"/>
    <x v="5"/>
    <x v="0"/>
    <n v="320000"/>
    <n v="6"/>
    <x v="0"/>
    <n v="256000"/>
    <n v="1920000"/>
    <n v="1536000"/>
    <n v="384000"/>
  </r>
  <r>
    <s v="ID_1507"/>
    <d v="2025-03-16T00:00:00"/>
    <x v="3"/>
    <x v="2"/>
    <x v="0"/>
    <s v="Retail"/>
    <s v="Store"/>
    <x v="5"/>
    <x v="0"/>
    <n v="320000"/>
    <n v="6"/>
    <x v="4"/>
    <n v="256000"/>
    <n v="1920000"/>
    <n v="1536000"/>
    <n v="384000"/>
  </r>
  <r>
    <s v="ID_93"/>
    <d v="2025-02-27T00:00:00"/>
    <x v="2"/>
    <x v="0"/>
    <x v="0"/>
    <s v="Corporate"/>
    <s v="Store"/>
    <x v="2"/>
    <x v="1"/>
    <n v="60000"/>
    <n v="4"/>
    <x v="4"/>
    <n v="48000"/>
    <n v="240000"/>
    <n v="192000"/>
    <n v="48000"/>
  </r>
  <r>
    <s v="ID_1483"/>
    <d v="2025-04-02T00:00:00"/>
    <x v="1"/>
    <x v="3"/>
    <x v="1"/>
    <s v="Retail"/>
    <s v="Online"/>
    <x v="0"/>
    <x v="0"/>
    <n v="85000"/>
    <n v="8"/>
    <x v="1"/>
    <n v="68000"/>
    <n v="680000"/>
    <n v="544000"/>
    <n v="136000"/>
  </r>
  <r>
    <s v="ID_755"/>
    <d v="2025-02-28T00:00:00"/>
    <x v="2"/>
    <x v="2"/>
    <x v="2"/>
    <s v="Corporate"/>
    <s v="Online"/>
    <x v="0"/>
    <x v="0"/>
    <n v="85000"/>
    <n v="2"/>
    <x v="5"/>
    <n v="68000"/>
    <n v="170000"/>
    <n v="136000"/>
    <n v="34000"/>
  </r>
  <r>
    <s v="ID_991"/>
    <d v="2025-02-09T00:00:00"/>
    <x v="2"/>
    <x v="3"/>
    <x v="2"/>
    <s v="Corporate"/>
    <s v="Store"/>
    <x v="0"/>
    <x v="0"/>
    <n v="85000"/>
    <n v="9"/>
    <x v="0"/>
    <n v="68000"/>
    <n v="765000"/>
    <n v="612000"/>
    <n v="153000"/>
  </r>
  <r>
    <s v="ID_1938"/>
    <d v="2025-03-18T00:00:00"/>
    <x v="3"/>
    <x v="2"/>
    <x v="2"/>
    <s v="Retail"/>
    <s v="Store"/>
    <x v="7"/>
    <x v="2"/>
    <n v="420000"/>
    <n v="3"/>
    <x v="3"/>
    <n v="336000"/>
    <n v="1260000"/>
    <n v="1008000"/>
    <n v="252000"/>
  </r>
  <r>
    <s v="ID_1489"/>
    <d v="2025-03-02T00:00:00"/>
    <x v="3"/>
    <x v="3"/>
    <x v="1"/>
    <s v="Retail"/>
    <s v="Online"/>
    <x v="3"/>
    <x v="2"/>
    <n v="300000"/>
    <n v="5"/>
    <x v="3"/>
    <n v="240000"/>
    <n v="1500000"/>
    <n v="1200000"/>
    <n v="300000"/>
  </r>
  <r>
    <s v="ID_868"/>
    <d v="2025-03-19T00:00:00"/>
    <x v="3"/>
    <x v="1"/>
    <x v="2"/>
    <s v="Corporate"/>
    <s v="Store"/>
    <x v="1"/>
    <x v="1"/>
    <n v="30000"/>
    <n v="1"/>
    <x v="0"/>
    <n v="24000"/>
    <n v="30000"/>
    <n v="24000"/>
    <n v="6000"/>
  </r>
  <r>
    <s v="ID_1387"/>
    <d v="2025-01-27T00:00:00"/>
    <x v="0"/>
    <x v="0"/>
    <x v="3"/>
    <s v="Corporate"/>
    <s v="Store"/>
    <x v="9"/>
    <x v="1"/>
    <n v="220000"/>
    <n v="8"/>
    <x v="4"/>
    <n v="176000"/>
    <n v="1760000"/>
    <n v="1408000"/>
    <n v="352000"/>
  </r>
  <r>
    <s v="ID_434"/>
    <d v="2025-03-08T00:00:00"/>
    <x v="3"/>
    <x v="3"/>
    <x v="0"/>
    <s v="Corporate"/>
    <s v="Online"/>
    <x v="5"/>
    <x v="0"/>
    <n v="320000"/>
    <n v="5"/>
    <x v="0"/>
    <n v="256000"/>
    <n v="1600000"/>
    <n v="1280000"/>
    <n v="320000"/>
  </r>
  <r>
    <s v="ID_2021"/>
    <d v="2025-03-07T00:00:00"/>
    <x v="3"/>
    <x v="1"/>
    <x v="1"/>
    <s v="Corporate"/>
    <s v="Online"/>
    <x v="3"/>
    <x v="2"/>
    <n v="300000"/>
    <n v="10"/>
    <x v="3"/>
    <n v="240000"/>
    <n v="3000000"/>
    <n v="2400000"/>
    <n v="600000"/>
  </r>
  <r>
    <s v="ID_1753"/>
    <d v="2025-03-30T00:00:00"/>
    <x v="3"/>
    <x v="3"/>
    <x v="0"/>
    <s v="Retail"/>
    <s v="Store"/>
    <x v="9"/>
    <x v="1"/>
    <n v="220000"/>
    <n v="1"/>
    <x v="0"/>
    <n v="176000"/>
    <n v="220000"/>
    <n v="176000"/>
    <n v="44000"/>
  </r>
  <r>
    <s v="ID_859"/>
    <d v="2025-01-05T00:00:00"/>
    <x v="0"/>
    <x v="2"/>
    <x v="2"/>
    <s v="Corporate"/>
    <s v="Online"/>
    <x v="1"/>
    <x v="1"/>
    <n v="30000"/>
    <n v="6"/>
    <x v="1"/>
    <n v="24000"/>
    <n v="180000"/>
    <n v="144000"/>
    <n v="36000"/>
  </r>
  <r>
    <s v="ID_1336"/>
    <d v="2025-02-17T00:00:00"/>
    <x v="2"/>
    <x v="3"/>
    <x v="1"/>
    <s v="Retail"/>
    <s v="Online"/>
    <x v="7"/>
    <x v="2"/>
    <n v="420000"/>
    <n v="1"/>
    <x v="5"/>
    <n v="336000"/>
    <n v="420000"/>
    <n v="336000"/>
    <n v="84000"/>
  </r>
  <r>
    <s v="ID_1399"/>
    <d v="2025-01-08T00:00:00"/>
    <x v="0"/>
    <x v="2"/>
    <x v="3"/>
    <s v="Corporate"/>
    <s v="Store"/>
    <x v="7"/>
    <x v="2"/>
    <n v="420000"/>
    <n v="6"/>
    <x v="4"/>
    <n v="336000"/>
    <n v="2520000"/>
    <n v="2016000"/>
    <n v="504000"/>
  </r>
  <r>
    <s v="ID_484"/>
    <d v="2025-03-11T00:00:00"/>
    <x v="3"/>
    <x v="2"/>
    <x v="3"/>
    <s v="Retail"/>
    <s v="Store"/>
    <x v="0"/>
    <x v="0"/>
    <n v="85000"/>
    <n v="7"/>
    <x v="3"/>
    <n v="68000"/>
    <n v="595000"/>
    <n v="476000"/>
    <n v="119000"/>
  </r>
  <r>
    <s v="ID_60"/>
    <d v="2025-01-03T00:00:00"/>
    <x v="0"/>
    <x v="2"/>
    <x v="1"/>
    <s v="Corporate"/>
    <s v="Store"/>
    <x v="6"/>
    <x v="2"/>
    <n v="150000"/>
    <n v="7"/>
    <x v="5"/>
    <n v="120000"/>
    <n v="1050000"/>
    <n v="840000"/>
    <n v="210000"/>
  </r>
  <r>
    <s v="ID_1473"/>
    <d v="2025-01-04T00:00:00"/>
    <x v="0"/>
    <x v="0"/>
    <x v="1"/>
    <s v="Retail"/>
    <s v="Store"/>
    <x v="6"/>
    <x v="2"/>
    <n v="150000"/>
    <n v="10"/>
    <x v="0"/>
    <n v="120000"/>
    <n v="1500000"/>
    <n v="1200000"/>
    <n v="300000"/>
  </r>
  <r>
    <s v="ID_1521"/>
    <d v="2025-03-07T00:00:00"/>
    <x v="3"/>
    <x v="1"/>
    <x v="0"/>
    <s v="Retail"/>
    <s v="Store"/>
    <x v="1"/>
    <x v="1"/>
    <n v="30000"/>
    <n v="9"/>
    <x v="0"/>
    <n v="24000"/>
    <n v="270000"/>
    <n v="216000"/>
    <n v="54000"/>
  </r>
  <r>
    <s v="ID_864"/>
    <d v="2025-04-01T00:00:00"/>
    <x v="1"/>
    <x v="2"/>
    <x v="2"/>
    <s v="Corporate"/>
    <s v="Online"/>
    <x v="5"/>
    <x v="0"/>
    <n v="320000"/>
    <n v="8"/>
    <x v="4"/>
    <n v="256000"/>
    <n v="2560000"/>
    <n v="2048000"/>
    <n v="512000"/>
  </r>
  <r>
    <s v="ID_8"/>
    <d v="2025-03-03T00:00:00"/>
    <x v="3"/>
    <x v="1"/>
    <x v="3"/>
    <s v="Retail"/>
    <s v="Store"/>
    <x v="1"/>
    <x v="1"/>
    <n v="30000"/>
    <n v="9"/>
    <x v="2"/>
    <n v="24000"/>
    <n v="270000"/>
    <n v="216000"/>
    <n v="54000"/>
  </r>
  <r>
    <s v="ID_1262"/>
    <d v="2025-04-03T00:00:00"/>
    <x v="1"/>
    <x v="1"/>
    <x v="2"/>
    <s v="Corporate"/>
    <s v="Online"/>
    <x v="8"/>
    <x v="2"/>
    <n v="250000"/>
    <n v="3"/>
    <x v="1"/>
    <n v="200000"/>
    <n v="750000"/>
    <n v="600000"/>
    <n v="150000"/>
  </r>
  <r>
    <s v="ID_1809"/>
    <d v="2025-01-07T00:00:00"/>
    <x v="0"/>
    <x v="1"/>
    <x v="1"/>
    <s v="Corporate"/>
    <s v="Online"/>
    <x v="2"/>
    <x v="1"/>
    <n v="60000"/>
    <n v="2"/>
    <x v="1"/>
    <n v="48000"/>
    <n v="120000"/>
    <n v="96000"/>
    <n v="24000"/>
  </r>
  <r>
    <s v="ID_778"/>
    <d v="2025-03-28T00:00:00"/>
    <x v="3"/>
    <x v="0"/>
    <x v="3"/>
    <s v="Retail"/>
    <s v="Store"/>
    <x v="5"/>
    <x v="0"/>
    <n v="320000"/>
    <n v="3"/>
    <x v="2"/>
    <n v="256000"/>
    <n v="960000"/>
    <n v="768000"/>
    <n v="192000"/>
  </r>
  <r>
    <s v="ID_1368"/>
    <d v="2025-03-11T00:00:00"/>
    <x v="3"/>
    <x v="1"/>
    <x v="2"/>
    <s v="Retail"/>
    <s v="Online"/>
    <x v="3"/>
    <x v="2"/>
    <n v="300000"/>
    <n v="9"/>
    <x v="1"/>
    <n v="240000"/>
    <n v="2700000"/>
    <n v="2160000"/>
    <n v="540000"/>
  </r>
  <r>
    <s v="ID_1794"/>
    <d v="2025-01-09T00:00:00"/>
    <x v="0"/>
    <x v="1"/>
    <x v="3"/>
    <s v="Retail"/>
    <s v="Online"/>
    <x v="7"/>
    <x v="2"/>
    <n v="420000"/>
    <n v="4"/>
    <x v="5"/>
    <n v="336000"/>
    <n v="1680000"/>
    <n v="1344000"/>
    <n v="336000"/>
  </r>
  <r>
    <s v="ID_1056"/>
    <d v="2025-03-01T00:00:00"/>
    <x v="3"/>
    <x v="0"/>
    <x v="0"/>
    <s v="Retail"/>
    <s v="Store"/>
    <x v="5"/>
    <x v="0"/>
    <n v="320000"/>
    <n v="6"/>
    <x v="3"/>
    <n v="256000"/>
    <n v="1920000"/>
    <n v="1536000"/>
    <n v="384000"/>
  </r>
  <r>
    <s v="ID_1176"/>
    <d v="2025-04-30T00:00:00"/>
    <x v="1"/>
    <x v="0"/>
    <x v="3"/>
    <s v="Retail"/>
    <s v="Store"/>
    <x v="9"/>
    <x v="1"/>
    <n v="220000"/>
    <n v="4"/>
    <x v="5"/>
    <n v="176000"/>
    <n v="880000"/>
    <n v="704000"/>
    <n v="176000"/>
  </r>
  <r>
    <s v="ID_574"/>
    <d v="2025-04-02T00:00:00"/>
    <x v="1"/>
    <x v="2"/>
    <x v="3"/>
    <s v="Retail"/>
    <s v="Store"/>
    <x v="0"/>
    <x v="0"/>
    <n v="85000"/>
    <n v="8"/>
    <x v="1"/>
    <n v="68000"/>
    <n v="680000"/>
    <n v="544000"/>
    <n v="136000"/>
  </r>
  <r>
    <s v="ID_1471"/>
    <d v="2025-04-14T00:00:00"/>
    <x v="1"/>
    <x v="0"/>
    <x v="0"/>
    <s v="Retail"/>
    <s v="Store"/>
    <x v="7"/>
    <x v="2"/>
    <n v="420000"/>
    <n v="7"/>
    <x v="2"/>
    <n v="336000"/>
    <n v="2940000"/>
    <n v="2352000"/>
    <n v="588000"/>
  </r>
  <r>
    <s v="ID_89"/>
    <d v="2025-01-29T00:00:00"/>
    <x v="0"/>
    <x v="1"/>
    <x v="3"/>
    <s v="Corporate"/>
    <s v="Store"/>
    <x v="9"/>
    <x v="1"/>
    <n v="220000"/>
    <n v="2"/>
    <x v="0"/>
    <n v="176000"/>
    <n v="440000"/>
    <n v="352000"/>
    <n v="88000"/>
  </r>
  <r>
    <s v="ID_147"/>
    <d v="2025-02-10T00:00:00"/>
    <x v="2"/>
    <x v="3"/>
    <x v="2"/>
    <s v="Retail"/>
    <s v="Online"/>
    <x v="6"/>
    <x v="2"/>
    <n v="150000"/>
    <n v="1"/>
    <x v="3"/>
    <n v="120000"/>
    <n v="150000"/>
    <n v="120000"/>
    <n v="30000"/>
  </r>
  <r>
    <s v="ID_55"/>
    <d v="2025-02-01T00:00:00"/>
    <x v="2"/>
    <x v="3"/>
    <x v="0"/>
    <s v="Corporate"/>
    <s v="Store"/>
    <x v="7"/>
    <x v="2"/>
    <n v="420000"/>
    <n v="4"/>
    <x v="4"/>
    <n v="336000"/>
    <n v="1680000"/>
    <n v="1344000"/>
    <n v="336000"/>
  </r>
  <r>
    <s v="ID_2021"/>
    <d v="2025-01-15T00:00:00"/>
    <x v="0"/>
    <x v="2"/>
    <x v="1"/>
    <s v="Corporate"/>
    <s v="Online"/>
    <x v="3"/>
    <x v="2"/>
    <n v="300000"/>
    <n v="1"/>
    <x v="2"/>
    <n v="240000"/>
    <n v="300000"/>
    <n v="240000"/>
    <n v="60000"/>
  </r>
  <r>
    <s v="ID_440"/>
    <d v="2025-02-05T00:00:00"/>
    <x v="2"/>
    <x v="0"/>
    <x v="1"/>
    <s v="Retail"/>
    <s v="Store"/>
    <x v="3"/>
    <x v="2"/>
    <n v="300000"/>
    <n v="9"/>
    <x v="1"/>
    <n v="240000"/>
    <n v="2700000"/>
    <n v="2160000"/>
    <n v="540000"/>
  </r>
  <r>
    <s v="ID_2078"/>
    <d v="2025-02-19T00:00:00"/>
    <x v="2"/>
    <x v="2"/>
    <x v="3"/>
    <s v="Retail"/>
    <s v="Online"/>
    <x v="8"/>
    <x v="2"/>
    <n v="250000"/>
    <n v="6"/>
    <x v="1"/>
    <n v="200000"/>
    <n v="1500000"/>
    <n v="1200000"/>
    <n v="300000"/>
  </r>
  <r>
    <s v="ID_423"/>
    <d v="2025-02-22T00:00:00"/>
    <x v="2"/>
    <x v="3"/>
    <x v="2"/>
    <s v="Retail"/>
    <s v="Store"/>
    <x v="1"/>
    <x v="1"/>
    <n v="30000"/>
    <n v="7"/>
    <x v="2"/>
    <n v="24000"/>
    <n v="210000"/>
    <n v="168000"/>
    <n v="42000"/>
  </r>
  <r>
    <s v="ID_1283"/>
    <d v="2025-01-01T00:00:00"/>
    <x v="0"/>
    <x v="2"/>
    <x v="0"/>
    <s v="Corporate"/>
    <s v="Online"/>
    <x v="0"/>
    <x v="0"/>
    <n v="85000"/>
    <n v="7"/>
    <x v="5"/>
    <n v="68000"/>
    <n v="595000"/>
    <n v="476000"/>
    <n v="119000"/>
  </r>
  <r>
    <s v="ID_1324"/>
    <d v="2025-03-24T00:00:00"/>
    <x v="3"/>
    <x v="0"/>
    <x v="3"/>
    <s v="Corporate"/>
    <s v="Online"/>
    <x v="0"/>
    <x v="0"/>
    <n v="85000"/>
    <n v="7"/>
    <x v="5"/>
    <n v="68000"/>
    <n v="595000"/>
    <n v="476000"/>
    <n v="119000"/>
  </r>
  <r>
    <s v="ID_1150"/>
    <d v="2025-01-26T00:00:00"/>
    <x v="0"/>
    <x v="2"/>
    <x v="2"/>
    <s v="Retail"/>
    <s v="Online"/>
    <x v="1"/>
    <x v="1"/>
    <n v="30000"/>
    <n v="4"/>
    <x v="0"/>
    <n v="24000"/>
    <n v="120000"/>
    <n v="96000"/>
    <n v="24000"/>
  </r>
  <r>
    <s v="ID_242"/>
    <d v="2025-03-27T00:00:00"/>
    <x v="3"/>
    <x v="0"/>
    <x v="2"/>
    <s v="Retail"/>
    <s v="Online"/>
    <x v="6"/>
    <x v="2"/>
    <n v="150000"/>
    <n v="9"/>
    <x v="1"/>
    <n v="120000"/>
    <n v="1350000"/>
    <n v="1080000"/>
    <n v="270000"/>
  </r>
  <r>
    <s v="ID_1594"/>
    <d v="2025-04-01T00:00:00"/>
    <x v="1"/>
    <x v="3"/>
    <x v="0"/>
    <s v="Corporate"/>
    <s v="Store"/>
    <x v="9"/>
    <x v="1"/>
    <n v="220000"/>
    <n v="9"/>
    <x v="5"/>
    <n v="176000"/>
    <n v="1980000"/>
    <n v="1584000"/>
    <n v="396000"/>
  </r>
  <r>
    <s v="ID_1950"/>
    <d v="2025-01-06T00:00:00"/>
    <x v="0"/>
    <x v="1"/>
    <x v="2"/>
    <s v="Corporate"/>
    <s v="Online"/>
    <x v="1"/>
    <x v="1"/>
    <n v="30000"/>
    <n v="8"/>
    <x v="4"/>
    <n v="24000"/>
    <n v="240000"/>
    <n v="192000"/>
    <n v="48000"/>
  </r>
  <r>
    <s v="ID_653"/>
    <d v="2025-01-04T00:00:00"/>
    <x v="0"/>
    <x v="1"/>
    <x v="2"/>
    <s v="Retail"/>
    <s v="Online"/>
    <x v="0"/>
    <x v="0"/>
    <n v="85000"/>
    <n v="2"/>
    <x v="1"/>
    <n v="68000"/>
    <n v="170000"/>
    <n v="136000"/>
    <n v="34000"/>
  </r>
  <r>
    <s v="ID_699"/>
    <d v="2025-03-31T00:00:00"/>
    <x v="3"/>
    <x v="2"/>
    <x v="1"/>
    <s v="Corporate"/>
    <s v="Online"/>
    <x v="4"/>
    <x v="1"/>
    <n v="180000"/>
    <n v="9"/>
    <x v="1"/>
    <n v="144000"/>
    <n v="1620000"/>
    <n v="1296000"/>
    <n v="324000"/>
  </r>
  <r>
    <s v="ID_978"/>
    <d v="2025-02-08T00:00:00"/>
    <x v="2"/>
    <x v="1"/>
    <x v="2"/>
    <s v="Retail"/>
    <s v="Online"/>
    <x v="6"/>
    <x v="2"/>
    <n v="150000"/>
    <n v="8"/>
    <x v="5"/>
    <n v="120000"/>
    <n v="1200000"/>
    <n v="960000"/>
    <n v="240000"/>
  </r>
  <r>
    <s v="ID_427"/>
    <d v="2025-01-28T00:00:00"/>
    <x v="0"/>
    <x v="3"/>
    <x v="0"/>
    <s v="Retail"/>
    <s v="Online"/>
    <x v="2"/>
    <x v="1"/>
    <n v="60000"/>
    <n v="8"/>
    <x v="4"/>
    <n v="48000"/>
    <n v="480000"/>
    <n v="384000"/>
    <n v="96000"/>
  </r>
  <r>
    <s v="ID_888"/>
    <d v="2025-01-04T00:00:00"/>
    <x v="0"/>
    <x v="0"/>
    <x v="0"/>
    <s v="Retail"/>
    <s v="Store"/>
    <x v="3"/>
    <x v="2"/>
    <n v="300000"/>
    <n v="5"/>
    <x v="2"/>
    <n v="240000"/>
    <n v="1500000"/>
    <n v="1200000"/>
    <n v="300000"/>
  </r>
  <r>
    <s v="ID_247"/>
    <d v="2025-02-14T00:00:00"/>
    <x v="2"/>
    <x v="3"/>
    <x v="1"/>
    <s v="Retail"/>
    <s v="Online"/>
    <x v="1"/>
    <x v="1"/>
    <n v="30000"/>
    <n v="8"/>
    <x v="3"/>
    <n v="24000"/>
    <n v="240000"/>
    <n v="192000"/>
    <n v="48000"/>
  </r>
  <r>
    <s v="ID_1259"/>
    <d v="2025-03-07T00:00:00"/>
    <x v="3"/>
    <x v="3"/>
    <x v="0"/>
    <s v="Corporate"/>
    <s v="Store"/>
    <x v="7"/>
    <x v="2"/>
    <n v="420000"/>
    <n v="3"/>
    <x v="1"/>
    <n v="336000"/>
    <n v="1260000"/>
    <n v="1008000"/>
    <n v="252000"/>
  </r>
  <r>
    <s v="ID_1399"/>
    <d v="2025-02-20T00:00:00"/>
    <x v="2"/>
    <x v="0"/>
    <x v="0"/>
    <s v="Corporate"/>
    <s v="Online"/>
    <x v="7"/>
    <x v="2"/>
    <n v="420000"/>
    <n v="7"/>
    <x v="5"/>
    <n v="336000"/>
    <n v="2940000"/>
    <n v="2352000"/>
    <n v="588000"/>
  </r>
  <r>
    <s v="ID_1109"/>
    <d v="2025-03-30T00:00:00"/>
    <x v="3"/>
    <x v="1"/>
    <x v="1"/>
    <s v="Corporate"/>
    <s v="Online"/>
    <x v="0"/>
    <x v="0"/>
    <n v="85000"/>
    <n v="9"/>
    <x v="5"/>
    <n v="68000"/>
    <n v="765000"/>
    <n v="612000"/>
    <n v="153000"/>
  </r>
  <r>
    <s v="ID_647"/>
    <d v="2025-03-26T00:00:00"/>
    <x v="3"/>
    <x v="1"/>
    <x v="1"/>
    <s v="Corporate"/>
    <s v="Online"/>
    <x v="3"/>
    <x v="2"/>
    <n v="300000"/>
    <n v="8"/>
    <x v="2"/>
    <n v="240000"/>
    <n v="2400000"/>
    <n v="1920000"/>
    <n v="480000"/>
  </r>
  <r>
    <s v="ID_1457"/>
    <d v="2025-04-13T00:00:00"/>
    <x v="1"/>
    <x v="3"/>
    <x v="3"/>
    <s v="Retail"/>
    <s v="Store"/>
    <x v="7"/>
    <x v="2"/>
    <n v="420000"/>
    <n v="6"/>
    <x v="0"/>
    <n v="336000"/>
    <n v="2520000"/>
    <n v="2016000"/>
    <n v="504000"/>
  </r>
  <r>
    <s v="ID_1094"/>
    <d v="2025-04-02T00:00:00"/>
    <x v="1"/>
    <x v="2"/>
    <x v="3"/>
    <s v="Corporate"/>
    <s v="Online"/>
    <x v="6"/>
    <x v="2"/>
    <n v="150000"/>
    <n v="9"/>
    <x v="3"/>
    <n v="120000"/>
    <n v="1350000"/>
    <n v="1080000"/>
    <n v="270000"/>
  </r>
  <r>
    <s v="ID_1732"/>
    <d v="2025-01-30T00:00:00"/>
    <x v="0"/>
    <x v="1"/>
    <x v="2"/>
    <s v="Retail"/>
    <s v="Store"/>
    <x v="1"/>
    <x v="1"/>
    <n v="30000"/>
    <n v="3"/>
    <x v="2"/>
    <n v="24000"/>
    <n v="90000"/>
    <n v="72000"/>
    <n v="18000"/>
  </r>
  <r>
    <s v="ID_1777"/>
    <d v="2025-03-27T00:00:00"/>
    <x v="3"/>
    <x v="1"/>
    <x v="2"/>
    <s v="Retail"/>
    <s v="Store"/>
    <x v="1"/>
    <x v="1"/>
    <n v="30000"/>
    <n v="4"/>
    <x v="4"/>
    <n v="24000"/>
    <n v="120000"/>
    <n v="96000"/>
    <n v="24000"/>
  </r>
  <r>
    <s v="ID_1414"/>
    <d v="2025-03-28T00:00:00"/>
    <x v="3"/>
    <x v="3"/>
    <x v="1"/>
    <s v="Corporate"/>
    <s v="Online"/>
    <x v="2"/>
    <x v="1"/>
    <n v="60000"/>
    <n v="4"/>
    <x v="4"/>
    <n v="48000"/>
    <n v="240000"/>
    <n v="192000"/>
    <n v="48000"/>
  </r>
  <r>
    <s v="ID_1136"/>
    <d v="2025-02-10T00:00:00"/>
    <x v="2"/>
    <x v="3"/>
    <x v="2"/>
    <s v="Retail"/>
    <s v="Store"/>
    <x v="8"/>
    <x v="2"/>
    <n v="250000"/>
    <n v="8"/>
    <x v="0"/>
    <n v="200000"/>
    <n v="2000000"/>
    <n v="1600000"/>
    <n v="400000"/>
  </r>
  <r>
    <s v="ID_234"/>
    <d v="2025-03-29T00:00:00"/>
    <x v="3"/>
    <x v="3"/>
    <x v="3"/>
    <s v="Corporate"/>
    <s v="Online"/>
    <x v="1"/>
    <x v="1"/>
    <n v="30000"/>
    <n v="6"/>
    <x v="2"/>
    <n v="24000"/>
    <n v="180000"/>
    <n v="144000"/>
    <n v="36000"/>
  </r>
  <r>
    <s v="ID_323"/>
    <d v="2025-02-13T00:00:00"/>
    <x v="2"/>
    <x v="2"/>
    <x v="1"/>
    <s v="Corporate"/>
    <s v="Store"/>
    <x v="8"/>
    <x v="2"/>
    <n v="250000"/>
    <n v="1"/>
    <x v="1"/>
    <n v="200000"/>
    <n v="250000"/>
    <n v="200000"/>
    <n v="50000"/>
  </r>
  <r>
    <s v="ID_1801"/>
    <d v="2025-03-05T00:00:00"/>
    <x v="3"/>
    <x v="0"/>
    <x v="0"/>
    <s v="Retail"/>
    <s v="Online"/>
    <x v="0"/>
    <x v="0"/>
    <n v="85000"/>
    <n v="1"/>
    <x v="3"/>
    <n v="68000"/>
    <n v="85000"/>
    <n v="68000"/>
    <n v="17000"/>
  </r>
  <r>
    <s v="ID_1581"/>
    <d v="2025-02-08T00:00:00"/>
    <x v="2"/>
    <x v="3"/>
    <x v="0"/>
    <s v="Corporate"/>
    <s v="Store"/>
    <x v="1"/>
    <x v="1"/>
    <n v="30000"/>
    <n v="9"/>
    <x v="0"/>
    <n v="24000"/>
    <n v="270000"/>
    <n v="216000"/>
    <n v="54000"/>
  </r>
  <r>
    <s v="ID_292"/>
    <d v="2025-04-10T00:00:00"/>
    <x v="1"/>
    <x v="2"/>
    <x v="3"/>
    <s v="Corporate"/>
    <s v="Store"/>
    <x v="1"/>
    <x v="1"/>
    <n v="30000"/>
    <n v="3"/>
    <x v="0"/>
    <n v="24000"/>
    <n v="90000"/>
    <n v="72000"/>
    <n v="18000"/>
  </r>
  <r>
    <s v="ID_922"/>
    <d v="2025-01-21T00:00:00"/>
    <x v="0"/>
    <x v="2"/>
    <x v="0"/>
    <s v="Corporate"/>
    <s v="Store"/>
    <x v="6"/>
    <x v="2"/>
    <n v="150000"/>
    <n v="8"/>
    <x v="2"/>
    <n v="120000"/>
    <n v="1200000"/>
    <n v="960000"/>
    <n v="240000"/>
  </r>
  <r>
    <s v="ID_1141"/>
    <d v="2025-02-19T00:00:00"/>
    <x v="2"/>
    <x v="3"/>
    <x v="2"/>
    <s v="Retail"/>
    <s v="Store"/>
    <x v="0"/>
    <x v="0"/>
    <n v="85000"/>
    <n v="4"/>
    <x v="1"/>
    <n v="68000"/>
    <n v="340000"/>
    <n v="272000"/>
    <n v="68000"/>
  </r>
  <r>
    <s v="ID_977"/>
    <d v="2025-03-17T00:00:00"/>
    <x v="3"/>
    <x v="0"/>
    <x v="2"/>
    <s v="Corporate"/>
    <s v="Store"/>
    <x v="5"/>
    <x v="0"/>
    <n v="320000"/>
    <n v="3"/>
    <x v="2"/>
    <n v="256000"/>
    <n v="960000"/>
    <n v="768000"/>
    <n v="192000"/>
  </r>
  <r>
    <s v="ID_1396"/>
    <d v="2025-03-29T00:00:00"/>
    <x v="3"/>
    <x v="1"/>
    <x v="3"/>
    <s v="Retail"/>
    <s v="Online"/>
    <x v="2"/>
    <x v="1"/>
    <n v="60000"/>
    <n v="7"/>
    <x v="1"/>
    <n v="48000"/>
    <n v="420000"/>
    <n v="336000"/>
    <n v="84000"/>
  </r>
  <r>
    <s v="ID_1220"/>
    <d v="2025-03-21T00:00:00"/>
    <x v="3"/>
    <x v="1"/>
    <x v="3"/>
    <s v="Corporate"/>
    <s v="Store"/>
    <x v="3"/>
    <x v="2"/>
    <n v="300000"/>
    <n v="6"/>
    <x v="1"/>
    <n v="240000"/>
    <n v="1800000"/>
    <n v="1440000"/>
    <n v="360000"/>
  </r>
  <r>
    <s v="ID_1222"/>
    <d v="2025-03-03T00:00:00"/>
    <x v="3"/>
    <x v="2"/>
    <x v="3"/>
    <s v="Retail"/>
    <s v="Online"/>
    <x v="6"/>
    <x v="2"/>
    <n v="150000"/>
    <n v="6"/>
    <x v="3"/>
    <n v="120000"/>
    <n v="900000"/>
    <n v="720000"/>
    <n v="180000"/>
  </r>
  <r>
    <s v="ID_300"/>
    <d v="2025-01-13T00:00:00"/>
    <x v="0"/>
    <x v="2"/>
    <x v="0"/>
    <s v="Corporate"/>
    <s v="Online"/>
    <x v="3"/>
    <x v="2"/>
    <n v="300000"/>
    <n v="10"/>
    <x v="2"/>
    <n v="240000"/>
    <n v="3000000"/>
    <n v="2400000"/>
    <n v="600000"/>
  </r>
  <r>
    <s v="ID_1186"/>
    <d v="2025-02-19T00:00:00"/>
    <x v="2"/>
    <x v="1"/>
    <x v="1"/>
    <s v="Retail"/>
    <s v="Online"/>
    <x v="7"/>
    <x v="2"/>
    <n v="420000"/>
    <n v="1"/>
    <x v="0"/>
    <n v="336000"/>
    <n v="420000"/>
    <n v="336000"/>
    <n v="84000"/>
  </r>
  <r>
    <s v="ID_322"/>
    <d v="2025-03-21T00:00:00"/>
    <x v="3"/>
    <x v="0"/>
    <x v="0"/>
    <s v="Retail"/>
    <s v="Store"/>
    <x v="2"/>
    <x v="1"/>
    <n v="60000"/>
    <n v="1"/>
    <x v="1"/>
    <n v="48000"/>
    <n v="60000"/>
    <n v="48000"/>
    <n v="12000"/>
  </r>
  <r>
    <s v="ID_1734"/>
    <d v="2025-02-23T00:00:00"/>
    <x v="2"/>
    <x v="3"/>
    <x v="1"/>
    <s v="Retail"/>
    <s v="Online"/>
    <x v="6"/>
    <x v="2"/>
    <n v="150000"/>
    <n v="10"/>
    <x v="5"/>
    <n v="120000"/>
    <n v="1500000"/>
    <n v="1200000"/>
    <n v="300000"/>
  </r>
  <r>
    <s v="ID_399"/>
    <d v="2025-01-06T00:00:00"/>
    <x v="0"/>
    <x v="0"/>
    <x v="3"/>
    <s v="Retail"/>
    <s v="Online"/>
    <x v="4"/>
    <x v="1"/>
    <n v="180000"/>
    <n v="10"/>
    <x v="2"/>
    <n v="144000"/>
    <n v="1800000"/>
    <n v="1440000"/>
    <n v="360000"/>
  </r>
  <r>
    <s v="ID_1766"/>
    <d v="2025-03-31T00:00:00"/>
    <x v="3"/>
    <x v="2"/>
    <x v="0"/>
    <s v="Corporate"/>
    <s v="Online"/>
    <x v="6"/>
    <x v="2"/>
    <n v="150000"/>
    <n v="10"/>
    <x v="1"/>
    <n v="120000"/>
    <n v="1500000"/>
    <n v="1200000"/>
    <n v="300000"/>
  </r>
  <r>
    <s v="ID_1283"/>
    <d v="2025-01-08T00:00:00"/>
    <x v="0"/>
    <x v="1"/>
    <x v="0"/>
    <s v="Corporate"/>
    <s v="Store"/>
    <x v="2"/>
    <x v="1"/>
    <n v="60000"/>
    <n v="8"/>
    <x v="5"/>
    <n v="48000"/>
    <n v="480000"/>
    <n v="384000"/>
    <n v="96000"/>
  </r>
  <r>
    <s v="ID_717"/>
    <d v="2025-01-09T00:00:00"/>
    <x v="0"/>
    <x v="3"/>
    <x v="0"/>
    <s v="Retail"/>
    <s v="Online"/>
    <x v="9"/>
    <x v="1"/>
    <n v="220000"/>
    <n v="7"/>
    <x v="4"/>
    <n v="176000"/>
    <n v="1540000"/>
    <n v="1232000"/>
    <n v="308000"/>
  </r>
  <r>
    <s v="ID_1464"/>
    <d v="2025-03-11T00:00:00"/>
    <x v="3"/>
    <x v="1"/>
    <x v="3"/>
    <s v="Retail"/>
    <s v="Online"/>
    <x v="1"/>
    <x v="1"/>
    <n v="30000"/>
    <n v="1"/>
    <x v="3"/>
    <n v="24000"/>
    <n v="30000"/>
    <n v="24000"/>
    <n v="6000"/>
  </r>
  <r>
    <s v="ID_1944"/>
    <d v="2025-03-01T00:00:00"/>
    <x v="3"/>
    <x v="1"/>
    <x v="1"/>
    <s v="Corporate"/>
    <s v="Store"/>
    <x v="6"/>
    <x v="2"/>
    <n v="150000"/>
    <n v="6"/>
    <x v="0"/>
    <n v="120000"/>
    <n v="900000"/>
    <n v="720000"/>
    <n v="180000"/>
  </r>
  <r>
    <s v="ID_1657"/>
    <d v="2025-02-13T00:00:00"/>
    <x v="2"/>
    <x v="2"/>
    <x v="3"/>
    <s v="Retail"/>
    <s v="Store"/>
    <x v="1"/>
    <x v="1"/>
    <n v="30000"/>
    <n v="4"/>
    <x v="0"/>
    <n v="24000"/>
    <n v="120000"/>
    <n v="96000"/>
    <n v="24000"/>
  </r>
  <r>
    <s v="ID_878"/>
    <d v="2025-02-11T00:00:00"/>
    <x v="2"/>
    <x v="2"/>
    <x v="2"/>
    <s v="Corporate"/>
    <s v="Online"/>
    <x v="9"/>
    <x v="1"/>
    <n v="220000"/>
    <n v="1"/>
    <x v="2"/>
    <n v="176000"/>
    <n v="220000"/>
    <n v="176000"/>
    <n v="44000"/>
  </r>
  <r>
    <s v="ID_731"/>
    <d v="2025-03-27T00:00:00"/>
    <x v="3"/>
    <x v="2"/>
    <x v="1"/>
    <s v="Retail"/>
    <s v="Online"/>
    <x v="2"/>
    <x v="1"/>
    <n v="60000"/>
    <n v="6"/>
    <x v="1"/>
    <n v="48000"/>
    <n v="360000"/>
    <n v="288000"/>
    <n v="72000"/>
  </r>
  <r>
    <s v="ID_715"/>
    <d v="2025-03-29T00:00:00"/>
    <x v="3"/>
    <x v="2"/>
    <x v="0"/>
    <s v="Corporate"/>
    <s v="Store"/>
    <x v="8"/>
    <x v="2"/>
    <n v="250000"/>
    <n v="7"/>
    <x v="5"/>
    <n v="200000"/>
    <n v="1750000"/>
    <n v="1400000"/>
    <n v="350000"/>
  </r>
  <r>
    <s v="ID_528"/>
    <d v="2025-04-12T00:00:00"/>
    <x v="1"/>
    <x v="1"/>
    <x v="2"/>
    <s v="Corporate"/>
    <s v="Online"/>
    <x v="9"/>
    <x v="1"/>
    <n v="220000"/>
    <n v="9"/>
    <x v="3"/>
    <n v="176000"/>
    <n v="1980000"/>
    <n v="1584000"/>
    <n v="396000"/>
  </r>
  <r>
    <s v="ID_1702"/>
    <d v="2025-04-23T00:00:00"/>
    <x v="1"/>
    <x v="2"/>
    <x v="2"/>
    <s v="Corporate"/>
    <s v="Online"/>
    <x v="1"/>
    <x v="1"/>
    <n v="30000"/>
    <n v="10"/>
    <x v="2"/>
    <n v="24000"/>
    <n v="300000"/>
    <n v="240000"/>
    <n v="60000"/>
  </r>
  <r>
    <s v="ID_884"/>
    <d v="2025-04-13T00:00:00"/>
    <x v="1"/>
    <x v="1"/>
    <x v="2"/>
    <s v="Retail"/>
    <s v="Online"/>
    <x v="6"/>
    <x v="2"/>
    <n v="150000"/>
    <n v="1"/>
    <x v="1"/>
    <n v="120000"/>
    <n v="150000"/>
    <n v="120000"/>
    <n v="30000"/>
  </r>
  <r>
    <s v="ID_601"/>
    <d v="2025-01-15T00:00:00"/>
    <x v="0"/>
    <x v="3"/>
    <x v="0"/>
    <s v="Retail"/>
    <s v="Online"/>
    <x v="4"/>
    <x v="1"/>
    <n v="180000"/>
    <n v="3"/>
    <x v="3"/>
    <n v="144000"/>
    <n v="540000"/>
    <n v="432000"/>
    <n v="108000"/>
  </r>
  <r>
    <s v="ID_1797"/>
    <d v="2025-03-27T00:00:00"/>
    <x v="3"/>
    <x v="2"/>
    <x v="0"/>
    <s v="Corporate"/>
    <s v="Online"/>
    <x v="7"/>
    <x v="2"/>
    <n v="420000"/>
    <n v="10"/>
    <x v="3"/>
    <n v="336000"/>
    <n v="4200000"/>
    <n v="3360000"/>
    <n v="840000"/>
  </r>
  <r>
    <s v="ID_310"/>
    <d v="2025-05-01T00:00:00"/>
    <x v="4"/>
    <x v="3"/>
    <x v="0"/>
    <s v="Corporate"/>
    <s v="Online"/>
    <x v="0"/>
    <x v="0"/>
    <n v="85000"/>
    <n v="2"/>
    <x v="4"/>
    <n v="68000"/>
    <n v="170000"/>
    <n v="136000"/>
    <n v="34000"/>
  </r>
  <r>
    <s v="ID_754"/>
    <d v="2025-03-21T00:00:00"/>
    <x v="3"/>
    <x v="0"/>
    <x v="2"/>
    <s v="Corporate"/>
    <s v="Online"/>
    <x v="2"/>
    <x v="1"/>
    <n v="60000"/>
    <n v="4"/>
    <x v="4"/>
    <n v="48000"/>
    <n v="240000"/>
    <n v="192000"/>
    <n v="48000"/>
  </r>
  <r>
    <s v="ID_1003"/>
    <d v="2025-01-12T00:00:00"/>
    <x v="0"/>
    <x v="3"/>
    <x v="1"/>
    <s v="Corporate"/>
    <s v="Online"/>
    <x v="6"/>
    <x v="2"/>
    <n v="150000"/>
    <n v="9"/>
    <x v="4"/>
    <n v="120000"/>
    <n v="1350000"/>
    <n v="1080000"/>
    <n v="270000"/>
  </r>
  <r>
    <s v="ID_1401"/>
    <d v="2025-01-14T00:00:00"/>
    <x v="0"/>
    <x v="2"/>
    <x v="3"/>
    <s v="Retail"/>
    <s v="Store"/>
    <x v="7"/>
    <x v="2"/>
    <n v="420000"/>
    <n v="1"/>
    <x v="3"/>
    <n v="336000"/>
    <n v="420000"/>
    <n v="336000"/>
    <n v="84000"/>
  </r>
  <r>
    <s v="ID_206"/>
    <d v="2025-04-12T00:00:00"/>
    <x v="1"/>
    <x v="1"/>
    <x v="1"/>
    <s v="Retail"/>
    <s v="Online"/>
    <x v="7"/>
    <x v="2"/>
    <n v="420000"/>
    <n v="9"/>
    <x v="4"/>
    <n v="336000"/>
    <n v="3780000"/>
    <n v="3024000"/>
    <n v="756000"/>
  </r>
  <r>
    <s v="ID_791"/>
    <d v="2025-01-20T00:00:00"/>
    <x v="0"/>
    <x v="0"/>
    <x v="3"/>
    <s v="Corporate"/>
    <s v="Store"/>
    <x v="7"/>
    <x v="2"/>
    <n v="420000"/>
    <n v="9"/>
    <x v="5"/>
    <n v="336000"/>
    <n v="3780000"/>
    <n v="3024000"/>
    <n v="756000"/>
  </r>
  <r>
    <s v="ID_320"/>
    <d v="2025-01-04T00:00:00"/>
    <x v="0"/>
    <x v="0"/>
    <x v="3"/>
    <s v="Retail"/>
    <s v="Store"/>
    <x v="0"/>
    <x v="0"/>
    <n v="85000"/>
    <n v="6"/>
    <x v="1"/>
    <n v="68000"/>
    <n v="510000"/>
    <n v="408000"/>
    <n v="102000"/>
  </r>
  <r>
    <s v="ID_1432"/>
    <d v="2025-03-17T00:00:00"/>
    <x v="3"/>
    <x v="3"/>
    <x v="3"/>
    <s v="Corporate"/>
    <s v="Online"/>
    <x v="5"/>
    <x v="0"/>
    <n v="320000"/>
    <n v="3"/>
    <x v="3"/>
    <n v="256000"/>
    <n v="960000"/>
    <n v="768000"/>
    <n v="192000"/>
  </r>
  <r>
    <s v="ID_295"/>
    <d v="2025-02-06T00:00:00"/>
    <x v="2"/>
    <x v="3"/>
    <x v="1"/>
    <s v="Corporate"/>
    <s v="Online"/>
    <x v="4"/>
    <x v="1"/>
    <n v="180000"/>
    <n v="8"/>
    <x v="2"/>
    <n v="144000"/>
    <n v="1440000"/>
    <n v="1152000"/>
    <n v="288000"/>
  </r>
  <r>
    <s v="ID_1041"/>
    <d v="2025-01-11T00:00:00"/>
    <x v="0"/>
    <x v="0"/>
    <x v="0"/>
    <s v="Retail"/>
    <s v="Online"/>
    <x v="0"/>
    <x v="0"/>
    <n v="85000"/>
    <n v="6"/>
    <x v="3"/>
    <n v="68000"/>
    <n v="510000"/>
    <n v="408000"/>
    <n v="102000"/>
  </r>
  <r>
    <s v="ID_794"/>
    <d v="2025-01-27T00:00:00"/>
    <x v="0"/>
    <x v="0"/>
    <x v="3"/>
    <s v="Retail"/>
    <s v="Online"/>
    <x v="3"/>
    <x v="2"/>
    <n v="300000"/>
    <n v="3"/>
    <x v="0"/>
    <n v="240000"/>
    <n v="900000"/>
    <n v="720000"/>
    <n v="180000"/>
  </r>
  <r>
    <s v="ID_1031"/>
    <d v="2025-03-14T00:00:00"/>
    <x v="3"/>
    <x v="3"/>
    <x v="0"/>
    <s v="Corporate"/>
    <s v="Store"/>
    <x v="4"/>
    <x v="1"/>
    <n v="180000"/>
    <n v="1"/>
    <x v="2"/>
    <n v="144000"/>
    <n v="180000"/>
    <n v="144000"/>
    <n v="36000"/>
  </r>
  <r>
    <s v="ID_1779"/>
    <d v="2025-01-07T00:00:00"/>
    <x v="0"/>
    <x v="1"/>
    <x v="2"/>
    <s v="Retail"/>
    <s v="Online"/>
    <x v="9"/>
    <x v="1"/>
    <n v="220000"/>
    <n v="1"/>
    <x v="4"/>
    <n v="176000"/>
    <n v="220000"/>
    <n v="176000"/>
    <n v="44000"/>
  </r>
  <r>
    <s v="ID_24"/>
    <d v="2025-01-24T00:00:00"/>
    <x v="0"/>
    <x v="2"/>
    <x v="3"/>
    <s v="Retail"/>
    <s v="Store"/>
    <x v="1"/>
    <x v="1"/>
    <n v="30000"/>
    <n v="1"/>
    <x v="4"/>
    <n v="24000"/>
    <n v="30000"/>
    <n v="24000"/>
    <n v="6000"/>
  </r>
  <r>
    <s v="ID_883"/>
    <d v="2025-01-12T00:00:00"/>
    <x v="0"/>
    <x v="1"/>
    <x v="0"/>
    <s v="Corporate"/>
    <s v="Store"/>
    <x v="2"/>
    <x v="1"/>
    <n v="60000"/>
    <n v="2"/>
    <x v="5"/>
    <n v="48000"/>
    <n v="120000"/>
    <n v="96000"/>
    <n v="24000"/>
  </r>
  <r>
    <s v="ID_400"/>
    <d v="2025-03-03T00:00:00"/>
    <x v="3"/>
    <x v="0"/>
    <x v="1"/>
    <s v="Retail"/>
    <s v="Store"/>
    <x v="8"/>
    <x v="2"/>
    <n v="250000"/>
    <n v="7"/>
    <x v="4"/>
    <n v="200000"/>
    <n v="1750000"/>
    <n v="1400000"/>
    <n v="350000"/>
  </r>
  <r>
    <s v="ID_1512"/>
    <d v="2025-01-25T00:00:00"/>
    <x v="0"/>
    <x v="0"/>
    <x v="2"/>
    <s v="Corporate"/>
    <s v="Online"/>
    <x v="7"/>
    <x v="2"/>
    <n v="420000"/>
    <n v="10"/>
    <x v="2"/>
    <n v="336000"/>
    <n v="4200000"/>
    <n v="3360000"/>
    <n v="840000"/>
  </r>
  <r>
    <s v="ID_2004"/>
    <d v="2025-03-26T00:00:00"/>
    <x v="3"/>
    <x v="0"/>
    <x v="0"/>
    <s v="Corporate"/>
    <s v="Online"/>
    <x v="5"/>
    <x v="0"/>
    <n v="320000"/>
    <n v="10"/>
    <x v="3"/>
    <n v="256000"/>
    <n v="3200000"/>
    <n v="2560000"/>
    <n v="640000"/>
  </r>
  <r>
    <s v="ID_1400"/>
    <d v="2025-01-13T00:00:00"/>
    <x v="0"/>
    <x v="2"/>
    <x v="3"/>
    <s v="Retail"/>
    <s v="Online"/>
    <x v="3"/>
    <x v="2"/>
    <n v="300000"/>
    <n v="1"/>
    <x v="2"/>
    <n v="240000"/>
    <n v="300000"/>
    <n v="240000"/>
    <n v="60000"/>
  </r>
  <r>
    <s v="ID_487"/>
    <d v="2025-03-10T00:00:00"/>
    <x v="3"/>
    <x v="2"/>
    <x v="2"/>
    <s v="Corporate"/>
    <s v="Store"/>
    <x v="6"/>
    <x v="2"/>
    <n v="150000"/>
    <n v="3"/>
    <x v="1"/>
    <n v="120000"/>
    <n v="450000"/>
    <n v="360000"/>
    <n v="90000"/>
  </r>
  <r>
    <s v="ID_458"/>
    <d v="2025-01-14T00:00:00"/>
    <x v="0"/>
    <x v="0"/>
    <x v="2"/>
    <s v="Corporate"/>
    <s v="Online"/>
    <x v="8"/>
    <x v="2"/>
    <n v="250000"/>
    <n v="3"/>
    <x v="4"/>
    <n v="200000"/>
    <n v="750000"/>
    <n v="600000"/>
    <n v="150000"/>
  </r>
  <r>
    <s v="ID_1527"/>
    <d v="2025-01-20T00:00:00"/>
    <x v="0"/>
    <x v="3"/>
    <x v="1"/>
    <s v="Retail"/>
    <s v="Store"/>
    <x v="7"/>
    <x v="2"/>
    <n v="420000"/>
    <n v="4"/>
    <x v="1"/>
    <n v="336000"/>
    <n v="1680000"/>
    <n v="1344000"/>
    <n v="336000"/>
  </r>
  <r>
    <s v="ID_1441"/>
    <d v="2025-02-23T00:00:00"/>
    <x v="2"/>
    <x v="3"/>
    <x v="1"/>
    <s v="Corporate"/>
    <s v="Online"/>
    <x v="4"/>
    <x v="1"/>
    <n v="180000"/>
    <n v="1"/>
    <x v="0"/>
    <n v="144000"/>
    <n v="180000"/>
    <n v="144000"/>
    <n v="36000"/>
  </r>
  <r>
    <s v="ID_1606"/>
    <d v="2025-03-08T00:00:00"/>
    <x v="3"/>
    <x v="3"/>
    <x v="0"/>
    <s v="Corporate"/>
    <s v="Store"/>
    <x v="6"/>
    <x v="2"/>
    <n v="150000"/>
    <n v="3"/>
    <x v="3"/>
    <n v="120000"/>
    <n v="450000"/>
    <n v="360000"/>
    <n v="90000"/>
  </r>
  <r>
    <s v="ID_631"/>
    <d v="2025-01-02T00:00:00"/>
    <x v="0"/>
    <x v="2"/>
    <x v="3"/>
    <s v="Corporate"/>
    <s v="Online"/>
    <x v="9"/>
    <x v="1"/>
    <n v="220000"/>
    <n v="9"/>
    <x v="2"/>
    <n v="176000"/>
    <n v="1980000"/>
    <n v="1584000"/>
    <n v="396000"/>
  </r>
  <r>
    <s v="ID_1795"/>
    <d v="2025-02-04T00:00:00"/>
    <x v="2"/>
    <x v="3"/>
    <x v="2"/>
    <s v="Corporate"/>
    <s v="Online"/>
    <x v="7"/>
    <x v="2"/>
    <n v="420000"/>
    <n v="4"/>
    <x v="2"/>
    <n v="336000"/>
    <n v="1680000"/>
    <n v="1344000"/>
    <n v="336000"/>
  </r>
  <r>
    <s v="ID_60"/>
    <d v="2025-02-28T00:00:00"/>
    <x v="2"/>
    <x v="3"/>
    <x v="2"/>
    <s v="Corporate"/>
    <s v="Store"/>
    <x v="3"/>
    <x v="2"/>
    <n v="300000"/>
    <n v="2"/>
    <x v="5"/>
    <n v="240000"/>
    <n v="600000"/>
    <n v="480000"/>
    <n v="120000"/>
  </r>
  <r>
    <s v="ID_866"/>
    <d v="2025-04-23T00:00:00"/>
    <x v="1"/>
    <x v="1"/>
    <x v="1"/>
    <s v="Corporate"/>
    <s v="Store"/>
    <x v="0"/>
    <x v="0"/>
    <n v="85000"/>
    <n v="8"/>
    <x v="1"/>
    <n v="68000"/>
    <n v="680000"/>
    <n v="544000"/>
    <n v="136000"/>
  </r>
  <r>
    <s v="ID_204"/>
    <d v="2025-03-22T00:00:00"/>
    <x v="3"/>
    <x v="2"/>
    <x v="3"/>
    <s v="Retail"/>
    <s v="Store"/>
    <x v="9"/>
    <x v="1"/>
    <n v="220000"/>
    <n v="10"/>
    <x v="2"/>
    <n v="176000"/>
    <n v="2200000"/>
    <n v="1760000"/>
    <n v="440000"/>
  </r>
  <r>
    <s v="ID_1256"/>
    <d v="2025-01-08T00:00:00"/>
    <x v="0"/>
    <x v="0"/>
    <x v="0"/>
    <s v="Retail"/>
    <s v="Store"/>
    <x v="9"/>
    <x v="1"/>
    <n v="220000"/>
    <n v="7"/>
    <x v="2"/>
    <n v="176000"/>
    <n v="1540000"/>
    <n v="1232000"/>
    <n v="308000"/>
  </r>
  <r>
    <s v="ID_2045"/>
    <d v="2025-04-06T00:00:00"/>
    <x v="1"/>
    <x v="1"/>
    <x v="2"/>
    <s v="Retail"/>
    <s v="Store"/>
    <x v="5"/>
    <x v="0"/>
    <n v="320000"/>
    <n v="10"/>
    <x v="2"/>
    <n v="256000"/>
    <n v="3200000"/>
    <n v="2560000"/>
    <n v="640000"/>
  </r>
  <r>
    <s v="ID_2080"/>
    <d v="2025-02-07T00:00:00"/>
    <x v="2"/>
    <x v="0"/>
    <x v="1"/>
    <s v="Corporate"/>
    <s v="Online"/>
    <x v="4"/>
    <x v="1"/>
    <n v="180000"/>
    <n v="9"/>
    <x v="4"/>
    <n v="144000"/>
    <n v="1620000"/>
    <n v="1296000"/>
    <n v="324000"/>
  </r>
  <r>
    <s v="ID_799"/>
    <d v="2025-04-01T00:00:00"/>
    <x v="1"/>
    <x v="3"/>
    <x v="2"/>
    <s v="Corporate"/>
    <s v="Online"/>
    <x v="2"/>
    <x v="1"/>
    <n v="60000"/>
    <n v="4"/>
    <x v="5"/>
    <n v="48000"/>
    <n v="240000"/>
    <n v="192000"/>
    <n v="48000"/>
  </r>
  <r>
    <s v="ID_225"/>
    <d v="2025-02-25T00:00:00"/>
    <x v="2"/>
    <x v="2"/>
    <x v="2"/>
    <s v="Corporate"/>
    <s v="Store"/>
    <x v="8"/>
    <x v="2"/>
    <n v="250000"/>
    <n v="10"/>
    <x v="5"/>
    <n v="200000"/>
    <n v="2500000"/>
    <n v="2000000"/>
    <n v="500000"/>
  </r>
  <r>
    <s v="ID_1901"/>
    <d v="2025-04-09T00:00:00"/>
    <x v="1"/>
    <x v="3"/>
    <x v="2"/>
    <s v="Corporate"/>
    <s v="Online"/>
    <x v="5"/>
    <x v="0"/>
    <n v="320000"/>
    <n v="2"/>
    <x v="2"/>
    <n v="256000"/>
    <n v="640000"/>
    <n v="512000"/>
    <n v="128000"/>
  </r>
  <r>
    <s v="ID_1430"/>
    <d v="2025-03-25T00:00:00"/>
    <x v="3"/>
    <x v="2"/>
    <x v="3"/>
    <s v="Corporate"/>
    <s v="Store"/>
    <x v="7"/>
    <x v="2"/>
    <n v="420000"/>
    <n v="7"/>
    <x v="3"/>
    <n v="336000"/>
    <n v="2940000"/>
    <n v="2352000"/>
    <n v="588000"/>
  </r>
  <r>
    <s v="ID_642"/>
    <d v="2025-01-04T00:00:00"/>
    <x v="0"/>
    <x v="3"/>
    <x v="2"/>
    <s v="Corporate"/>
    <s v="Store"/>
    <x v="3"/>
    <x v="2"/>
    <n v="300000"/>
    <n v="5"/>
    <x v="3"/>
    <n v="240000"/>
    <n v="1500000"/>
    <n v="1200000"/>
    <n v="300000"/>
  </r>
  <r>
    <s v="ID_1493"/>
    <d v="2025-04-04T00:00:00"/>
    <x v="1"/>
    <x v="2"/>
    <x v="0"/>
    <s v="Corporate"/>
    <s v="Store"/>
    <x v="2"/>
    <x v="1"/>
    <n v="60000"/>
    <n v="5"/>
    <x v="4"/>
    <n v="48000"/>
    <n v="300000"/>
    <n v="240000"/>
    <n v="60000"/>
  </r>
  <r>
    <s v="ID_1768"/>
    <d v="2025-03-11T00:00:00"/>
    <x v="3"/>
    <x v="1"/>
    <x v="0"/>
    <s v="Retail"/>
    <s v="Store"/>
    <x v="7"/>
    <x v="2"/>
    <n v="420000"/>
    <n v="9"/>
    <x v="2"/>
    <n v="336000"/>
    <n v="3780000"/>
    <n v="3024000"/>
    <n v="756000"/>
  </r>
  <r>
    <s v="ID_810"/>
    <d v="2025-01-11T00:00:00"/>
    <x v="0"/>
    <x v="2"/>
    <x v="0"/>
    <s v="Retail"/>
    <s v="Store"/>
    <x v="8"/>
    <x v="2"/>
    <n v="250000"/>
    <n v="9"/>
    <x v="5"/>
    <n v="200000"/>
    <n v="2250000"/>
    <n v="1800000"/>
    <n v="450000"/>
  </r>
  <r>
    <s v="ID_472"/>
    <d v="2025-02-17T00:00:00"/>
    <x v="2"/>
    <x v="0"/>
    <x v="3"/>
    <s v="Retail"/>
    <s v="Store"/>
    <x v="9"/>
    <x v="1"/>
    <n v="220000"/>
    <n v="1"/>
    <x v="5"/>
    <n v="176000"/>
    <n v="220000"/>
    <n v="176000"/>
    <n v="44000"/>
  </r>
  <r>
    <s v="ID_1907"/>
    <d v="2025-01-19T00:00:00"/>
    <x v="0"/>
    <x v="0"/>
    <x v="1"/>
    <s v="Retail"/>
    <s v="Store"/>
    <x v="9"/>
    <x v="1"/>
    <n v="220000"/>
    <n v="3"/>
    <x v="5"/>
    <n v="176000"/>
    <n v="660000"/>
    <n v="528000"/>
    <n v="132000"/>
  </r>
  <r>
    <s v="ID_1087"/>
    <d v="2025-03-10T00:00:00"/>
    <x v="3"/>
    <x v="0"/>
    <x v="1"/>
    <s v="Corporate"/>
    <s v="Store"/>
    <x v="8"/>
    <x v="2"/>
    <n v="250000"/>
    <n v="8"/>
    <x v="2"/>
    <n v="200000"/>
    <n v="2000000"/>
    <n v="1600000"/>
    <n v="400000"/>
  </r>
  <r>
    <s v="ID_355"/>
    <d v="2025-04-08T00:00:00"/>
    <x v="1"/>
    <x v="0"/>
    <x v="2"/>
    <s v="Retail"/>
    <s v="Store"/>
    <x v="1"/>
    <x v="1"/>
    <n v="30000"/>
    <n v="1"/>
    <x v="3"/>
    <n v="24000"/>
    <n v="30000"/>
    <n v="24000"/>
    <n v="6000"/>
  </r>
  <r>
    <s v="ID_425"/>
    <d v="2025-01-03T00:00:00"/>
    <x v="0"/>
    <x v="0"/>
    <x v="3"/>
    <s v="Corporate"/>
    <s v="Store"/>
    <x v="1"/>
    <x v="1"/>
    <n v="30000"/>
    <n v="1"/>
    <x v="4"/>
    <n v="24000"/>
    <n v="30000"/>
    <n v="24000"/>
    <n v="6000"/>
  </r>
  <r>
    <s v="ID_963"/>
    <d v="2025-02-24T00:00:00"/>
    <x v="2"/>
    <x v="3"/>
    <x v="2"/>
    <s v="Retail"/>
    <s v="Store"/>
    <x v="1"/>
    <x v="1"/>
    <n v="30000"/>
    <n v="8"/>
    <x v="0"/>
    <n v="24000"/>
    <n v="240000"/>
    <n v="192000"/>
    <n v="48000"/>
  </r>
  <r>
    <s v="ID_870"/>
    <d v="2025-03-10T00:00:00"/>
    <x v="3"/>
    <x v="0"/>
    <x v="0"/>
    <s v="Retail"/>
    <s v="Store"/>
    <x v="2"/>
    <x v="1"/>
    <n v="60000"/>
    <n v="6"/>
    <x v="3"/>
    <n v="48000"/>
    <n v="360000"/>
    <n v="288000"/>
    <n v="72000"/>
  </r>
  <r>
    <s v="ID_1585"/>
    <d v="2025-01-17T00:00:00"/>
    <x v="0"/>
    <x v="0"/>
    <x v="0"/>
    <s v="Corporate"/>
    <s v="Store"/>
    <x v="8"/>
    <x v="2"/>
    <n v="250000"/>
    <n v="5"/>
    <x v="1"/>
    <n v="200000"/>
    <n v="1250000"/>
    <n v="1000000"/>
    <n v="250000"/>
  </r>
  <r>
    <s v="ID_944"/>
    <d v="2025-01-25T00:00:00"/>
    <x v="0"/>
    <x v="2"/>
    <x v="3"/>
    <s v="Retail"/>
    <s v="Store"/>
    <x v="1"/>
    <x v="1"/>
    <n v="30000"/>
    <n v="1"/>
    <x v="4"/>
    <n v="24000"/>
    <n v="30000"/>
    <n v="24000"/>
    <n v="6000"/>
  </r>
  <r>
    <s v="ID_1789"/>
    <d v="2025-04-02T00:00:00"/>
    <x v="1"/>
    <x v="2"/>
    <x v="2"/>
    <s v="Corporate"/>
    <s v="Store"/>
    <x v="6"/>
    <x v="2"/>
    <n v="150000"/>
    <n v="9"/>
    <x v="4"/>
    <n v="120000"/>
    <n v="1350000"/>
    <n v="1080000"/>
    <n v="270000"/>
  </r>
  <r>
    <s v="ID_1091"/>
    <d v="2025-01-22T00:00:00"/>
    <x v="0"/>
    <x v="1"/>
    <x v="3"/>
    <s v="Retail"/>
    <s v="Store"/>
    <x v="4"/>
    <x v="1"/>
    <n v="180000"/>
    <n v="2"/>
    <x v="4"/>
    <n v="144000"/>
    <n v="360000"/>
    <n v="288000"/>
    <n v="72000"/>
  </r>
  <r>
    <s v="ID_1951"/>
    <d v="2025-03-24T00:00:00"/>
    <x v="3"/>
    <x v="1"/>
    <x v="3"/>
    <s v="Retail"/>
    <s v="Store"/>
    <x v="7"/>
    <x v="2"/>
    <n v="420000"/>
    <n v="10"/>
    <x v="2"/>
    <n v="336000"/>
    <n v="4200000"/>
    <n v="3360000"/>
    <n v="840000"/>
  </r>
  <r>
    <s v="ID_1284"/>
    <d v="2025-04-27T00:00:00"/>
    <x v="1"/>
    <x v="0"/>
    <x v="2"/>
    <s v="Corporate"/>
    <s v="Store"/>
    <x v="3"/>
    <x v="2"/>
    <n v="300000"/>
    <n v="4"/>
    <x v="5"/>
    <n v="240000"/>
    <n v="1200000"/>
    <n v="960000"/>
    <n v="240000"/>
  </r>
  <r>
    <s v="ID_256"/>
    <d v="2025-02-22T00:00:00"/>
    <x v="2"/>
    <x v="0"/>
    <x v="0"/>
    <s v="Retail"/>
    <s v="Store"/>
    <x v="4"/>
    <x v="1"/>
    <n v="180000"/>
    <n v="8"/>
    <x v="4"/>
    <n v="144000"/>
    <n v="1440000"/>
    <n v="1152000"/>
    <n v="288000"/>
  </r>
  <r>
    <s v="ID_771"/>
    <d v="2025-02-11T00:00:00"/>
    <x v="2"/>
    <x v="1"/>
    <x v="3"/>
    <s v="Retail"/>
    <s v="Store"/>
    <x v="7"/>
    <x v="2"/>
    <n v="420000"/>
    <n v="5"/>
    <x v="4"/>
    <n v="336000"/>
    <n v="2100000"/>
    <n v="1680000"/>
    <n v="420000"/>
  </r>
  <r>
    <s v="ID_1612"/>
    <d v="2025-02-28T00:00:00"/>
    <x v="2"/>
    <x v="2"/>
    <x v="1"/>
    <s v="Corporate"/>
    <s v="Store"/>
    <x v="4"/>
    <x v="1"/>
    <n v="180000"/>
    <n v="5"/>
    <x v="0"/>
    <n v="144000"/>
    <n v="900000"/>
    <n v="720000"/>
    <n v="180000"/>
  </r>
  <r>
    <s v="ID_168"/>
    <d v="2025-03-09T00:00:00"/>
    <x v="3"/>
    <x v="0"/>
    <x v="0"/>
    <s v="Corporate"/>
    <s v="Store"/>
    <x v="3"/>
    <x v="2"/>
    <n v="300000"/>
    <n v="1"/>
    <x v="4"/>
    <n v="240000"/>
    <n v="300000"/>
    <n v="240000"/>
    <n v="60000"/>
  </r>
  <r>
    <s v="ID_1942"/>
    <d v="2025-01-08T00:00:00"/>
    <x v="0"/>
    <x v="2"/>
    <x v="0"/>
    <s v="Retail"/>
    <s v="Store"/>
    <x v="4"/>
    <x v="1"/>
    <n v="180000"/>
    <n v="7"/>
    <x v="4"/>
    <n v="144000"/>
    <n v="1260000"/>
    <n v="1008000"/>
    <n v="252000"/>
  </r>
  <r>
    <s v="ID_958"/>
    <d v="2025-01-04T00:00:00"/>
    <x v="0"/>
    <x v="1"/>
    <x v="2"/>
    <s v="Corporate"/>
    <s v="Store"/>
    <x v="1"/>
    <x v="1"/>
    <n v="30000"/>
    <n v="8"/>
    <x v="4"/>
    <n v="24000"/>
    <n v="240000"/>
    <n v="192000"/>
    <n v="48000"/>
  </r>
  <r>
    <s v="ID_1732"/>
    <d v="2025-01-28T00:00:00"/>
    <x v="0"/>
    <x v="3"/>
    <x v="0"/>
    <s v="Retail"/>
    <s v="Store"/>
    <x v="0"/>
    <x v="0"/>
    <n v="85000"/>
    <n v="10"/>
    <x v="2"/>
    <n v="68000"/>
    <n v="850000"/>
    <n v="680000"/>
    <n v="170000"/>
  </r>
  <r>
    <s v="ID_343"/>
    <d v="2025-01-19T00:00:00"/>
    <x v="0"/>
    <x v="1"/>
    <x v="2"/>
    <s v="Retail"/>
    <s v="Store"/>
    <x v="0"/>
    <x v="0"/>
    <n v="85000"/>
    <n v="1"/>
    <x v="0"/>
    <n v="68000"/>
    <n v="85000"/>
    <n v="68000"/>
    <n v="17000"/>
  </r>
  <r>
    <s v="ID_2018"/>
    <d v="2025-02-12T00:00:00"/>
    <x v="2"/>
    <x v="3"/>
    <x v="1"/>
    <s v="Corporate"/>
    <s v="Store"/>
    <x v="6"/>
    <x v="2"/>
    <n v="150000"/>
    <n v="8"/>
    <x v="4"/>
    <n v="120000"/>
    <n v="1200000"/>
    <n v="960000"/>
    <n v="240000"/>
  </r>
  <r>
    <s v="ID_976"/>
    <d v="2025-03-14T00:00:00"/>
    <x v="3"/>
    <x v="0"/>
    <x v="1"/>
    <s v="Corporate"/>
    <s v="Store"/>
    <x v="7"/>
    <x v="2"/>
    <n v="420000"/>
    <n v="6"/>
    <x v="3"/>
    <n v="336000"/>
    <n v="2520000"/>
    <n v="2016000"/>
    <n v="504000"/>
  </r>
  <r>
    <s v="ID_1084"/>
    <d v="2025-03-22T00:00:00"/>
    <x v="3"/>
    <x v="2"/>
    <x v="3"/>
    <s v="Retail"/>
    <s v="Store"/>
    <x v="2"/>
    <x v="1"/>
    <n v="60000"/>
    <n v="8"/>
    <x v="3"/>
    <n v="48000"/>
    <n v="480000"/>
    <n v="384000"/>
    <n v="96000"/>
  </r>
  <r>
    <s v="ID_241"/>
    <d v="2025-04-29T00:00:00"/>
    <x v="1"/>
    <x v="2"/>
    <x v="0"/>
    <s v="Retail"/>
    <s v="Store"/>
    <x v="3"/>
    <x v="2"/>
    <n v="300000"/>
    <n v="7"/>
    <x v="2"/>
    <n v="240000"/>
    <n v="2100000"/>
    <n v="1680000"/>
    <n v="420000"/>
  </r>
  <r>
    <s v="ID_1306"/>
    <d v="2025-02-10T00:00:00"/>
    <x v="2"/>
    <x v="1"/>
    <x v="1"/>
    <s v="Corporate"/>
    <s v="Store"/>
    <x v="6"/>
    <x v="2"/>
    <n v="150000"/>
    <n v="8"/>
    <x v="4"/>
    <n v="120000"/>
    <n v="1200000"/>
    <n v="960000"/>
    <n v="240000"/>
  </r>
  <r>
    <s v="ID_1947"/>
    <d v="2025-04-13T00:00:00"/>
    <x v="1"/>
    <x v="1"/>
    <x v="0"/>
    <s v="Corporate"/>
    <s v="Store"/>
    <x v="2"/>
    <x v="1"/>
    <n v="60000"/>
    <n v="10"/>
    <x v="0"/>
    <n v="48000"/>
    <n v="600000"/>
    <n v="480000"/>
    <n v="120000"/>
  </r>
  <r>
    <s v="ID_1247"/>
    <d v="2025-03-08T00:00:00"/>
    <x v="3"/>
    <x v="3"/>
    <x v="2"/>
    <s v="Retail"/>
    <s v="Store"/>
    <x v="5"/>
    <x v="0"/>
    <n v="320000"/>
    <n v="9"/>
    <x v="3"/>
    <n v="256000"/>
    <n v="2880000"/>
    <n v="2304000"/>
    <n v="576000"/>
  </r>
  <r>
    <s v="ID_1472"/>
    <d v="2025-03-27T00:00:00"/>
    <x v="3"/>
    <x v="0"/>
    <x v="0"/>
    <s v="Retail"/>
    <s v="Store"/>
    <x v="8"/>
    <x v="2"/>
    <n v="250000"/>
    <n v="9"/>
    <x v="2"/>
    <n v="200000"/>
    <n v="2250000"/>
    <n v="1800000"/>
    <n v="450000"/>
  </r>
  <r>
    <s v="ID_583"/>
    <d v="2025-01-10T00:00:00"/>
    <x v="0"/>
    <x v="2"/>
    <x v="2"/>
    <s v="Retail"/>
    <s v="Store"/>
    <x v="9"/>
    <x v="1"/>
    <n v="220000"/>
    <n v="7"/>
    <x v="3"/>
    <n v="176000"/>
    <n v="1540000"/>
    <n v="1232000"/>
    <n v="308000"/>
  </r>
  <r>
    <s v="ID_1823"/>
    <d v="2025-03-10T00:00:00"/>
    <x v="3"/>
    <x v="2"/>
    <x v="1"/>
    <s v="Retail"/>
    <s v="Store"/>
    <x v="5"/>
    <x v="0"/>
    <n v="320000"/>
    <n v="4"/>
    <x v="1"/>
    <n v="256000"/>
    <n v="1280000"/>
    <n v="1024000"/>
    <n v="256000"/>
  </r>
  <r>
    <s v="ID_1026"/>
    <d v="2025-04-16T00:00:00"/>
    <x v="1"/>
    <x v="2"/>
    <x v="1"/>
    <s v="Corporate"/>
    <s v="Store"/>
    <x v="9"/>
    <x v="1"/>
    <n v="220000"/>
    <n v="1"/>
    <x v="4"/>
    <n v="176000"/>
    <n v="220000"/>
    <n v="176000"/>
    <n v="44000"/>
  </r>
  <r>
    <s v="ID_1050"/>
    <d v="2025-02-28T00:00:00"/>
    <x v="2"/>
    <x v="0"/>
    <x v="1"/>
    <s v="Retail"/>
    <s v="Store"/>
    <x v="1"/>
    <x v="1"/>
    <n v="30000"/>
    <n v="9"/>
    <x v="4"/>
    <n v="24000"/>
    <n v="270000"/>
    <n v="216000"/>
    <n v="54000"/>
  </r>
  <r>
    <s v="ID_1033"/>
    <d v="2025-04-28T00:00:00"/>
    <x v="1"/>
    <x v="3"/>
    <x v="1"/>
    <s v="Corporate"/>
    <s v="Store"/>
    <x v="1"/>
    <x v="1"/>
    <n v="30000"/>
    <n v="8"/>
    <x v="4"/>
    <n v="24000"/>
    <n v="240000"/>
    <n v="192000"/>
    <n v="48000"/>
  </r>
  <r>
    <s v="ID_332"/>
    <d v="2025-01-18T00:00:00"/>
    <x v="0"/>
    <x v="2"/>
    <x v="1"/>
    <s v="Corporate"/>
    <s v="Store"/>
    <x v="2"/>
    <x v="1"/>
    <n v="60000"/>
    <n v="7"/>
    <x v="1"/>
    <n v="48000"/>
    <n v="420000"/>
    <n v="336000"/>
    <n v="84000"/>
  </r>
  <r>
    <s v="ID_1657"/>
    <d v="2025-03-11T00:00:00"/>
    <x v="3"/>
    <x v="0"/>
    <x v="2"/>
    <s v="Retail"/>
    <s v="Store"/>
    <x v="1"/>
    <x v="1"/>
    <n v="30000"/>
    <n v="7"/>
    <x v="5"/>
    <n v="24000"/>
    <n v="210000"/>
    <n v="168000"/>
    <n v="42000"/>
  </r>
  <r>
    <s v="ID_2037"/>
    <d v="2025-01-01T00:00:00"/>
    <x v="0"/>
    <x v="0"/>
    <x v="0"/>
    <s v="Retail"/>
    <s v="Store"/>
    <x v="3"/>
    <x v="2"/>
    <n v="300000"/>
    <n v="6"/>
    <x v="4"/>
    <n v="240000"/>
    <n v="1800000"/>
    <n v="1440000"/>
    <n v="360000"/>
  </r>
  <r>
    <s v="ID_1088"/>
    <d v="2025-02-26T00:00:00"/>
    <x v="2"/>
    <x v="3"/>
    <x v="3"/>
    <s v="Corporate"/>
    <s v="Store"/>
    <x v="3"/>
    <x v="2"/>
    <n v="300000"/>
    <n v="4"/>
    <x v="5"/>
    <n v="240000"/>
    <n v="1200000"/>
    <n v="960000"/>
    <n v="240000"/>
  </r>
  <r>
    <s v="ID_1143"/>
    <d v="2025-02-14T00:00:00"/>
    <x v="2"/>
    <x v="2"/>
    <x v="2"/>
    <s v="Retail"/>
    <s v="Store"/>
    <x v="0"/>
    <x v="0"/>
    <n v="85000"/>
    <n v="2"/>
    <x v="0"/>
    <n v="68000"/>
    <n v="170000"/>
    <n v="136000"/>
    <n v="34000"/>
  </r>
  <r>
    <s v="ID_172"/>
    <d v="2025-05-01T00:00:00"/>
    <x v="4"/>
    <x v="3"/>
    <x v="2"/>
    <s v="Corporate"/>
    <s v="Store"/>
    <x v="6"/>
    <x v="2"/>
    <n v="150000"/>
    <n v="3"/>
    <x v="1"/>
    <n v="120000"/>
    <n v="450000"/>
    <n v="360000"/>
    <n v="90000"/>
  </r>
  <r>
    <s v="ID_498"/>
    <d v="2025-03-29T00:00:00"/>
    <x v="3"/>
    <x v="0"/>
    <x v="3"/>
    <s v="Corporate"/>
    <s v="Store"/>
    <x v="8"/>
    <x v="2"/>
    <n v="250000"/>
    <n v="4"/>
    <x v="2"/>
    <n v="200000"/>
    <n v="1000000"/>
    <n v="800000"/>
    <n v="200000"/>
  </r>
  <r>
    <s v="ID_1229"/>
    <d v="2025-01-20T00:00:00"/>
    <x v="0"/>
    <x v="3"/>
    <x v="0"/>
    <s v="Retail"/>
    <s v="Store"/>
    <x v="8"/>
    <x v="2"/>
    <n v="250000"/>
    <n v="7"/>
    <x v="0"/>
    <n v="200000"/>
    <n v="1750000"/>
    <n v="1400000"/>
    <n v="350000"/>
  </r>
  <r>
    <s v="ID_1667"/>
    <d v="2025-01-05T00:00:00"/>
    <x v="0"/>
    <x v="0"/>
    <x v="1"/>
    <s v="Retail"/>
    <s v="Store"/>
    <x v="8"/>
    <x v="2"/>
    <n v="250000"/>
    <n v="3"/>
    <x v="1"/>
    <n v="200000"/>
    <n v="750000"/>
    <n v="600000"/>
    <n v="150000"/>
  </r>
  <r>
    <s v="ID_1262"/>
    <d v="2025-03-14T00:00:00"/>
    <x v="3"/>
    <x v="1"/>
    <x v="2"/>
    <s v="Retail"/>
    <s v="Store"/>
    <x v="6"/>
    <x v="2"/>
    <n v="150000"/>
    <n v="8"/>
    <x v="0"/>
    <n v="120000"/>
    <n v="1200000"/>
    <n v="960000"/>
    <n v="240000"/>
  </r>
  <r>
    <s v="ID_1266"/>
    <d v="2025-02-14T00:00:00"/>
    <x v="2"/>
    <x v="1"/>
    <x v="2"/>
    <s v="Corporate"/>
    <s v="Store"/>
    <x v="0"/>
    <x v="0"/>
    <n v="85000"/>
    <n v="1"/>
    <x v="4"/>
    <n v="68000"/>
    <n v="85000"/>
    <n v="68000"/>
    <n v="17000"/>
  </r>
  <r>
    <s v="ID_570"/>
    <d v="2025-01-06T00:00:00"/>
    <x v="0"/>
    <x v="1"/>
    <x v="3"/>
    <s v="Retail"/>
    <s v="Store"/>
    <x v="9"/>
    <x v="1"/>
    <n v="220000"/>
    <n v="6"/>
    <x v="0"/>
    <n v="176000"/>
    <n v="1320000"/>
    <n v="1056000"/>
    <n v="264000"/>
  </r>
  <r>
    <s v="ID_1098"/>
    <d v="2025-02-14T00:00:00"/>
    <x v="2"/>
    <x v="1"/>
    <x v="0"/>
    <s v="Corporate"/>
    <s v="Store"/>
    <x v="1"/>
    <x v="1"/>
    <n v="30000"/>
    <n v="3"/>
    <x v="0"/>
    <n v="24000"/>
    <n v="90000"/>
    <n v="72000"/>
    <n v="18000"/>
  </r>
  <r>
    <s v="ID_120"/>
    <d v="2025-02-27T00:00:00"/>
    <x v="2"/>
    <x v="3"/>
    <x v="3"/>
    <s v="Corporate"/>
    <s v="Store"/>
    <x v="3"/>
    <x v="2"/>
    <n v="300000"/>
    <n v="3"/>
    <x v="1"/>
    <n v="240000"/>
    <n v="900000"/>
    <n v="720000"/>
    <n v="180000"/>
  </r>
  <r>
    <s v="ID_1027"/>
    <d v="2025-04-26T00:00:00"/>
    <x v="1"/>
    <x v="1"/>
    <x v="2"/>
    <s v="Retail"/>
    <s v="Store"/>
    <x v="8"/>
    <x v="2"/>
    <n v="250000"/>
    <n v="10"/>
    <x v="4"/>
    <n v="200000"/>
    <n v="2500000"/>
    <n v="2000000"/>
    <n v="500000"/>
  </r>
  <r>
    <s v="ID_188"/>
    <d v="2025-03-12T00:00:00"/>
    <x v="3"/>
    <x v="1"/>
    <x v="1"/>
    <s v="Retail"/>
    <s v="Store"/>
    <x v="3"/>
    <x v="2"/>
    <n v="300000"/>
    <n v="4"/>
    <x v="3"/>
    <n v="240000"/>
    <n v="1200000"/>
    <n v="960000"/>
    <n v="240000"/>
  </r>
  <r>
    <s v="ID_776"/>
    <d v="2025-04-22T00:00:00"/>
    <x v="1"/>
    <x v="2"/>
    <x v="2"/>
    <s v="Retail"/>
    <s v="Store"/>
    <x v="5"/>
    <x v="0"/>
    <n v="320000"/>
    <n v="5"/>
    <x v="5"/>
    <n v="256000"/>
    <n v="1600000"/>
    <n v="1280000"/>
    <n v="320000"/>
  </r>
  <r>
    <s v="ID_413"/>
    <d v="2025-04-23T00:00:00"/>
    <x v="1"/>
    <x v="2"/>
    <x v="1"/>
    <s v="Retail"/>
    <s v="Store"/>
    <x v="5"/>
    <x v="0"/>
    <n v="320000"/>
    <n v="1"/>
    <x v="1"/>
    <n v="256000"/>
    <n v="320000"/>
    <n v="256000"/>
    <n v="64000"/>
  </r>
  <r>
    <s v="ID_620"/>
    <d v="2025-01-20T00:00:00"/>
    <x v="0"/>
    <x v="3"/>
    <x v="0"/>
    <s v="Retail"/>
    <s v="Store"/>
    <x v="7"/>
    <x v="2"/>
    <n v="420000"/>
    <n v="4"/>
    <x v="4"/>
    <n v="336000"/>
    <n v="1680000"/>
    <n v="1344000"/>
    <n v="336000"/>
  </r>
  <r>
    <s v="ID_26"/>
    <d v="2025-04-05T00:00:00"/>
    <x v="1"/>
    <x v="2"/>
    <x v="2"/>
    <s v="Corporate"/>
    <s v="Store"/>
    <x v="0"/>
    <x v="0"/>
    <n v="85000"/>
    <n v="5"/>
    <x v="2"/>
    <n v="68000"/>
    <n v="425000"/>
    <n v="340000"/>
    <n v="85000"/>
  </r>
  <r>
    <s v="ID_1069"/>
    <d v="2025-03-13T00:00:00"/>
    <x v="3"/>
    <x v="1"/>
    <x v="1"/>
    <s v="Corporate"/>
    <s v="Store"/>
    <x v="2"/>
    <x v="1"/>
    <n v="60000"/>
    <n v="3"/>
    <x v="0"/>
    <n v="48000"/>
    <n v="180000"/>
    <n v="144000"/>
    <n v="36000"/>
  </r>
  <r>
    <s v="ID_1189"/>
    <d v="2025-01-15T00:00:00"/>
    <x v="0"/>
    <x v="0"/>
    <x v="3"/>
    <s v="Retail"/>
    <s v="Store"/>
    <x v="8"/>
    <x v="2"/>
    <n v="250000"/>
    <n v="4"/>
    <x v="4"/>
    <n v="200000"/>
    <n v="1000000"/>
    <n v="800000"/>
    <n v="200000"/>
  </r>
  <r>
    <s v="ID_722"/>
    <d v="2025-03-31T00:00:00"/>
    <x v="3"/>
    <x v="1"/>
    <x v="0"/>
    <s v="Retail"/>
    <s v="Store"/>
    <x v="7"/>
    <x v="2"/>
    <n v="420000"/>
    <n v="5"/>
    <x v="0"/>
    <n v="336000"/>
    <n v="2100000"/>
    <n v="1680000"/>
    <n v="420000"/>
  </r>
  <r>
    <s v="ID_2061"/>
    <d v="2025-03-26T00:00:00"/>
    <x v="3"/>
    <x v="0"/>
    <x v="2"/>
    <s v="Retail"/>
    <s v="Store"/>
    <x v="6"/>
    <x v="2"/>
    <n v="150000"/>
    <n v="5"/>
    <x v="2"/>
    <n v="120000"/>
    <n v="750000"/>
    <n v="600000"/>
    <n v="150000"/>
  </r>
  <r>
    <s v="ID_282"/>
    <d v="2025-01-31T00:00:00"/>
    <x v="0"/>
    <x v="3"/>
    <x v="1"/>
    <s v="Corporate"/>
    <s v="Store"/>
    <x v="4"/>
    <x v="1"/>
    <n v="180000"/>
    <n v="1"/>
    <x v="3"/>
    <n v="144000"/>
    <n v="180000"/>
    <n v="144000"/>
    <n v="36000"/>
  </r>
  <r>
    <s v="ID_897"/>
    <d v="2025-04-20T00:00:00"/>
    <x v="1"/>
    <x v="2"/>
    <x v="3"/>
    <s v="Corporate"/>
    <s v="Store"/>
    <x v="4"/>
    <x v="1"/>
    <n v="180000"/>
    <n v="1"/>
    <x v="2"/>
    <n v="144000"/>
    <n v="180000"/>
    <n v="144000"/>
    <n v="36000"/>
  </r>
  <r>
    <s v="ID_34"/>
    <d v="2025-04-13T00:00:00"/>
    <x v="1"/>
    <x v="0"/>
    <x v="1"/>
    <s v="Retail"/>
    <s v="Store"/>
    <x v="8"/>
    <x v="2"/>
    <n v="250000"/>
    <n v="9"/>
    <x v="0"/>
    <n v="200000"/>
    <n v="2250000"/>
    <n v="1800000"/>
    <n v="450000"/>
  </r>
  <r>
    <s v="ID_2017"/>
    <d v="2025-01-18T00:00:00"/>
    <x v="0"/>
    <x v="3"/>
    <x v="0"/>
    <s v="Retail"/>
    <s v="Store"/>
    <x v="0"/>
    <x v="0"/>
    <n v="85000"/>
    <n v="4"/>
    <x v="3"/>
    <n v="68000"/>
    <n v="340000"/>
    <n v="272000"/>
    <n v="68000"/>
  </r>
  <r>
    <s v="ID_1929"/>
    <d v="2025-02-12T00:00:00"/>
    <x v="2"/>
    <x v="0"/>
    <x v="3"/>
    <s v="Corporate"/>
    <s v="Store"/>
    <x v="7"/>
    <x v="2"/>
    <n v="420000"/>
    <n v="8"/>
    <x v="1"/>
    <n v="336000"/>
    <n v="3360000"/>
    <n v="2688000"/>
    <n v="672000"/>
  </r>
  <r>
    <s v="ID_1615"/>
    <d v="2025-03-08T00:00:00"/>
    <x v="3"/>
    <x v="2"/>
    <x v="3"/>
    <s v="Corporate"/>
    <s v="Store"/>
    <x v="5"/>
    <x v="0"/>
    <n v="320000"/>
    <n v="6"/>
    <x v="1"/>
    <n v="256000"/>
    <n v="1920000"/>
    <n v="1536000"/>
    <n v="384000"/>
  </r>
  <r>
    <s v="ID_896"/>
    <d v="2025-03-20T00:00:00"/>
    <x v="3"/>
    <x v="3"/>
    <x v="1"/>
    <s v="Retail"/>
    <s v="Store"/>
    <x v="6"/>
    <x v="2"/>
    <n v="150000"/>
    <n v="3"/>
    <x v="4"/>
    <n v="120000"/>
    <n v="450000"/>
    <n v="360000"/>
    <n v="90000"/>
  </r>
  <r>
    <s v="ID_1172"/>
    <d v="2025-01-20T00:00:00"/>
    <x v="0"/>
    <x v="0"/>
    <x v="3"/>
    <s v="Retail"/>
    <s v="Store"/>
    <x v="0"/>
    <x v="0"/>
    <n v="85000"/>
    <n v="3"/>
    <x v="2"/>
    <n v="68000"/>
    <n v="255000"/>
    <n v="204000"/>
    <n v="51000"/>
  </r>
  <r>
    <s v="ID_2078"/>
    <d v="2025-03-16T00:00:00"/>
    <x v="3"/>
    <x v="3"/>
    <x v="1"/>
    <s v="Retail"/>
    <s v="Store"/>
    <x v="3"/>
    <x v="2"/>
    <n v="300000"/>
    <n v="1"/>
    <x v="2"/>
    <n v="240000"/>
    <n v="300000"/>
    <n v="240000"/>
    <n v="60000"/>
  </r>
  <r>
    <s v="ID_1734"/>
    <d v="2025-03-29T00:00:00"/>
    <x v="3"/>
    <x v="2"/>
    <x v="1"/>
    <s v="Corporate"/>
    <s v="Online"/>
    <x v="4"/>
    <x v="1"/>
    <n v="180000"/>
    <n v="4"/>
    <x v="4"/>
    <n v="144000"/>
    <n v="720000"/>
    <n v="576000"/>
    <n v="144000"/>
  </r>
  <r>
    <s v="ID_1679"/>
    <d v="2025-03-12T00:00:00"/>
    <x v="3"/>
    <x v="0"/>
    <x v="1"/>
    <s v="Retail"/>
    <s v="Online"/>
    <x v="7"/>
    <x v="2"/>
    <n v="420000"/>
    <n v="10"/>
    <x v="3"/>
    <n v="336000"/>
    <n v="4200000"/>
    <n v="3360000"/>
    <n v="840000"/>
  </r>
  <r>
    <s v="ID_1612"/>
    <d v="2025-04-03T00:00:00"/>
    <x v="1"/>
    <x v="3"/>
    <x v="3"/>
    <s v="Corporate"/>
    <s v="Online"/>
    <x v="6"/>
    <x v="2"/>
    <n v="150000"/>
    <n v="4"/>
    <x v="5"/>
    <n v="120000"/>
    <n v="600000"/>
    <n v="480000"/>
    <n v="120000"/>
  </r>
  <r>
    <s v="ID_1750"/>
    <d v="2025-04-23T00:00:00"/>
    <x v="1"/>
    <x v="1"/>
    <x v="2"/>
    <s v="Retail"/>
    <s v="Online"/>
    <x v="0"/>
    <x v="0"/>
    <n v="85000"/>
    <n v="6"/>
    <x v="5"/>
    <n v="68000"/>
    <n v="510000"/>
    <n v="408000"/>
    <n v="102000"/>
  </r>
  <r>
    <s v="ID_366"/>
    <d v="2025-01-22T00:00:00"/>
    <x v="0"/>
    <x v="2"/>
    <x v="0"/>
    <s v="Corporate"/>
    <s v="Store"/>
    <x v="3"/>
    <x v="2"/>
    <n v="300000"/>
    <n v="10"/>
    <x v="0"/>
    <n v="240000"/>
    <n v="3000000"/>
    <n v="2400000"/>
    <n v="600000"/>
  </r>
  <r>
    <s v="ID_745"/>
    <d v="2025-05-01T00:00:00"/>
    <x v="4"/>
    <x v="1"/>
    <x v="1"/>
    <s v="Corporate"/>
    <s v="Store"/>
    <x v="6"/>
    <x v="2"/>
    <n v="150000"/>
    <n v="6"/>
    <x v="5"/>
    <n v="120000"/>
    <n v="900000"/>
    <n v="720000"/>
    <n v="180000"/>
  </r>
  <r>
    <s v="ID_485"/>
    <d v="2025-04-07T00:00:00"/>
    <x v="1"/>
    <x v="2"/>
    <x v="0"/>
    <s v="Corporate"/>
    <s v="Store"/>
    <x v="6"/>
    <x v="2"/>
    <n v="150000"/>
    <n v="1"/>
    <x v="5"/>
    <n v="120000"/>
    <n v="150000"/>
    <n v="120000"/>
    <n v="30000"/>
  </r>
  <r>
    <s v="ID_1626"/>
    <d v="2025-01-26T00:00:00"/>
    <x v="0"/>
    <x v="3"/>
    <x v="0"/>
    <s v="Retail"/>
    <s v="Store"/>
    <x v="3"/>
    <x v="2"/>
    <n v="300000"/>
    <n v="3"/>
    <x v="2"/>
    <n v="240000"/>
    <n v="900000"/>
    <n v="720000"/>
    <n v="180000"/>
  </r>
  <r>
    <s v="ID_1711"/>
    <d v="2025-01-26T00:00:00"/>
    <x v="0"/>
    <x v="3"/>
    <x v="0"/>
    <s v="Retail"/>
    <s v="Online"/>
    <x v="3"/>
    <x v="2"/>
    <n v="300000"/>
    <n v="8"/>
    <x v="4"/>
    <n v="240000"/>
    <n v="2400000"/>
    <n v="1920000"/>
    <n v="480000"/>
  </r>
  <r>
    <s v="ID_1514"/>
    <d v="2025-01-02T00:00:00"/>
    <x v="0"/>
    <x v="1"/>
    <x v="0"/>
    <s v="Corporate"/>
    <s v="Online"/>
    <x v="3"/>
    <x v="2"/>
    <n v="300000"/>
    <n v="9"/>
    <x v="0"/>
    <n v="240000"/>
    <n v="2700000"/>
    <n v="2160000"/>
    <n v="540000"/>
  </r>
  <r>
    <s v="ID_1748"/>
    <d v="2025-01-11T00:00:00"/>
    <x v="0"/>
    <x v="3"/>
    <x v="1"/>
    <s v="Retail"/>
    <s v="Online"/>
    <x v="3"/>
    <x v="2"/>
    <n v="300000"/>
    <n v="2"/>
    <x v="3"/>
    <n v="240000"/>
    <n v="600000"/>
    <n v="480000"/>
    <n v="120000"/>
  </r>
  <r>
    <s v="ID_1360"/>
    <d v="2025-03-10T00:00:00"/>
    <x v="3"/>
    <x v="3"/>
    <x v="0"/>
    <s v="Corporate"/>
    <s v="Store"/>
    <x v="3"/>
    <x v="2"/>
    <n v="300000"/>
    <n v="10"/>
    <x v="2"/>
    <n v="240000"/>
    <n v="3000000"/>
    <n v="2400000"/>
    <n v="600000"/>
  </r>
  <r>
    <s v="ID_452"/>
    <d v="2025-01-06T00:00:00"/>
    <x v="0"/>
    <x v="0"/>
    <x v="2"/>
    <s v="Corporate"/>
    <s v="Store"/>
    <x v="9"/>
    <x v="1"/>
    <n v="220000"/>
    <n v="4"/>
    <x v="4"/>
    <n v="176000"/>
    <n v="880000"/>
    <n v="704000"/>
    <n v="176000"/>
  </r>
  <r>
    <s v="ID_1251"/>
    <d v="2025-04-25T00:00:00"/>
    <x v="1"/>
    <x v="3"/>
    <x v="1"/>
    <s v="Corporate"/>
    <s v="Online"/>
    <x v="0"/>
    <x v="0"/>
    <n v="85000"/>
    <n v="6"/>
    <x v="4"/>
    <n v="68000"/>
    <n v="510000"/>
    <n v="408000"/>
    <n v="102000"/>
  </r>
  <r>
    <s v="ID_70"/>
    <d v="2025-03-22T00:00:00"/>
    <x v="3"/>
    <x v="0"/>
    <x v="2"/>
    <s v="Corporate"/>
    <s v="Store"/>
    <x v="2"/>
    <x v="1"/>
    <n v="60000"/>
    <n v="4"/>
    <x v="2"/>
    <n v="48000"/>
    <n v="240000"/>
    <n v="192000"/>
    <n v="48000"/>
  </r>
  <r>
    <s v="ID_726"/>
    <d v="2025-04-22T00:00:00"/>
    <x v="1"/>
    <x v="1"/>
    <x v="0"/>
    <s v="Retail"/>
    <s v="Store"/>
    <x v="9"/>
    <x v="1"/>
    <n v="220000"/>
    <n v="2"/>
    <x v="1"/>
    <n v="176000"/>
    <n v="440000"/>
    <n v="352000"/>
    <n v="88000"/>
  </r>
  <r>
    <s v="ID_520"/>
    <d v="2025-03-17T00:00:00"/>
    <x v="3"/>
    <x v="1"/>
    <x v="3"/>
    <s v="Corporate"/>
    <s v="Online"/>
    <x v="3"/>
    <x v="2"/>
    <n v="300000"/>
    <n v="3"/>
    <x v="0"/>
    <n v="240000"/>
    <n v="900000"/>
    <n v="720000"/>
    <n v="180000"/>
  </r>
  <r>
    <s v="ID_1080"/>
    <d v="2025-04-12T00:00:00"/>
    <x v="1"/>
    <x v="2"/>
    <x v="0"/>
    <s v="Corporate"/>
    <s v="Online"/>
    <x v="9"/>
    <x v="1"/>
    <n v="220000"/>
    <n v="8"/>
    <x v="5"/>
    <n v="176000"/>
    <n v="1760000"/>
    <n v="1408000"/>
    <n v="352000"/>
  </r>
  <r>
    <s v="ID_1707"/>
    <d v="2025-04-05T00:00:00"/>
    <x v="1"/>
    <x v="0"/>
    <x v="0"/>
    <s v="Retail"/>
    <s v="Online"/>
    <x v="8"/>
    <x v="2"/>
    <n v="250000"/>
    <n v="8"/>
    <x v="4"/>
    <n v="200000"/>
    <n v="2000000"/>
    <n v="1600000"/>
    <n v="400000"/>
  </r>
  <r>
    <s v="ID_1030"/>
    <d v="2025-03-22T00:00:00"/>
    <x v="3"/>
    <x v="2"/>
    <x v="0"/>
    <s v="Retail"/>
    <s v="Online"/>
    <x v="0"/>
    <x v="0"/>
    <n v="85000"/>
    <n v="2"/>
    <x v="0"/>
    <n v="68000"/>
    <n v="170000"/>
    <n v="136000"/>
    <n v="34000"/>
  </r>
  <r>
    <s v="ID_737"/>
    <d v="2025-04-30T00:00:00"/>
    <x v="1"/>
    <x v="3"/>
    <x v="2"/>
    <s v="Corporate"/>
    <s v="Store"/>
    <x v="6"/>
    <x v="2"/>
    <n v="150000"/>
    <n v="7"/>
    <x v="4"/>
    <n v="120000"/>
    <n v="1050000"/>
    <n v="840000"/>
    <n v="210000"/>
  </r>
  <r>
    <s v="ID_396"/>
    <d v="2025-03-14T00:00:00"/>
    <x v="3"/>
    <x v="2"/>
    <x v="2"/>
    <s v="Retail"/>
    <s v="Online"/>
    <x v="1"/>
    <x v="1"/>
    <n v="30000"/>
    <n v="8"/>
    <x v="2"/>
    <n v="24000"/>
    <n v="240000"/>
    <n v="192000"/>
    <n v="48000"/>
  </r>
  <r>
    <s v="ID_1312"/>
    <d v="2025-01-27T00:00:00"/>
    <x v="0"/>
    <x v="0"/>
    <x v="0"/>
    <s v="Corporate"/>
    <s v="Online"/>
    <x v="0"/>
    <x v="0"/>
    <n v="85000"/>
    <n v="2"/>
    <x v="4"/>
    <n v="68000"/>
    <n v="170000"/>
    <n v="136000"/>
    <n v="34000"/>
  </r>
  <r>
    <s v="ID_515"/>
    <d v="2025-03-28T00:00:00"/>
    <x v="3"/>
    <x v="0"/>
    <x v="3"/>
    <s v="Retail"/>
    <s v="Online"/>
    <x v="4"/>
    <x v="1"/>
    <n v="180000"/>
    <n v="5"/>
    <x v="1"/>
    <n v="144000"/>
    <n v="900000"/>
    <n v="720000"/>
    <n v="180000"/>
  </r>
  <r>
    <s v="ID_507"/>
    <d v="2025-03-10T00:00:00"/>
    <x v="3"/>
    <x v="0"/>
    <x v="2"/>
    <s v="Retail"/>
    <s v="Online"/>
    <x v="0"/>
    <x v="0"/>
    <n v="85000"/>
    <n v="9"/>
    <x v="4"/>
    <n v="68000"/>
    <n v="765000"/>
    <n v="612000"/>
    <n v="153000"/>
  </r>
  <r>
    <s v="ID_1401"/>
    <d v="2025-01-07T00:00:00"/>
    <x v="0"/>
    <x v="0"/>
    <x v="3"/>
    <s v="Corporate"/>
    <s v="Online"/>
    <x v="7"/>
    <x v="2"/>
    <n v="420000"/>
    <n v="9"/>
    <x v="1"/>
    <n v="336000"/>
    <n v="3780000"/>
    <n v="3024000"/>
    <n v="756000"/>
  </r>
  <r>
    <s v="ID_1407"/>
    <d v="2025-03-12T00:00:00"/>
    <x v="3"/>
    <x v="3"/>
    <x v="3"/>
    <s v="Retail"/>
    <s v="Online"/>
    <x v="5"/>
    <x v="0"/>
    <n v="320000"/>
    <n v="5"/>
    <x v="0"/>
    <n v="256000"/>
    <n v="1600000"/>
    <n v="1280000"/>
    <n v="320000"/>
  </r>
  <r>
    <s v="ID_2029"/>
    <d v="2025-04-22T00:00:00"/>
    <x v="1"/>
    <x v="0"/>
    <x v="1"/>
    <s v="Retail"/>
    <s v="Online"/>
    <x v="5"/>
    <x v="0"/>
    <n v="320000"/>
    <n v="1"/>
    <x v="4"/>
    <n v="256000"/>
    <n v="320000"/>
    <n v="256000"/>
    <n v="64000"/>
  </r>
  <r>
    <s v="ID_958"/>
    <d v="2025-03-17T00:00:00"/>
    <x v="3"/>
    <x v="3"/>
    <x v="2"/>
    <s v="Retail"/>
    <s v="Online"/>
    <x v="1"/>
    <x v="1"/>
    <n v="30000"/>
    <n v="10"/>
    <x v="3"/>
    <n v="24000"/>
    <n v="300000"/>
    <n v="240000"/>
    <n v="60000"/>
  </r>
  <r>
    <s v="ID_488"/>
    <d v="2025-02-14T00:00:00"/>
    <x v="2"/>
    <x v="1"/>
    <x v="0"/>
    <s v="Retail"/>
    <s v="Store"/>
    <x v="4"/>
    <x v="1"/>
    <n v="180000"/>
    <n v="10"/>
    <x v="5"/>
    <n v="144000"/>
    <n v="1800000"/>
    <n v="1440000"/>
    <n v="360000"/>
  </r>
  <r>
    <s v="ID_1834"/>
    <d v="2025-03-16T00:00:00"/>
    <x v="3"/>
    <x v="0"/>
    <x v="2"/>
    <s v="Corporate"/>
    <s v="Online"/>
    <x v="5"/>
    <x v="0"/>
    <n v="320000"/>
    <n v="9"/>
    <x v="2"/>
    <n v="256000"/>
    <n v="2880000"/>
    <n v="2304000"/>
    <n v="576000"/>
  </r>
  <r>
    <s v="ID_481"/>
    <d v="2025-01-02T00:00:00"/>
    <x v="0"/>
    <x v="0"/>
    <x v="3"/>
    <s v="Corporate"/>
    <s v="Online"/>
    <x v="7"/>
    <x v="2"/>
    <n v="420000"/>
    <n v="2"/>
    <x v="4"/>
    <n v="336000"/>
    <n v="840000"/>
    <n v="672000"/>
    <n v="168000"/>
  </r>
  <r>
    <s v="ID_1836"/>
    <d v="2025-01-27T00:00:00"/>
    <x v="0"/>
    <x v="3"/>
    <x v="0"/>
    <s v="Retail"/>
    <s v="Online"/>
    <x v="3"/>
    <x v="2"/>
    <n v="300000"/>
    <n v="6"/>
    <x v="2"/>
    <n v="240000"/>
    <n v="1800000"/>
    <n v="1440000"/>
    <n v="360000"/>
  </r>
  <r>
    <s v="ID_1594"/>
    <d v="2025-01-27T00:00:00"/>
    <x v="0"/>
    <x v="3"/>
    <x v="2"/>
    <s v="Corporate"/>
    <s v="Store"/>
    <x v="1"/>
    <x v="1"/>
    <n v="30000"/>
    <n v="4"/>
    <x v="1"/>
    <n v="24000"/>
    <n v="120000"/>
    <n v="96000"/>
    <n v="24000"/>
  </r>
  <r>
    <s v="ID_441"/>
    <d v="2025-02-01T00:00:00"/>
    <x v="2"/>
    <x v="2"/>
    <x v="3"/>
    <s v="Corporate"/>
    <s v="Store"/>
    <x v="5"/>
    <x v="0"/>
    <n v="320000"/>
    <n v="7"/>
    <x v="2"/>
    <n v="256000"/>
    <n v="2240000"/>
    <n v="1792000"/>
    <n v="448000"/>
  </r>
  <r>
    <s v="ID_1561"/>
    <d v="2025-01-11T00:00:00"/>
    <x v="0"/>
    <x v="3"/>
    <x v="2"/>
    <s v="Corporate"/>
    <s v="Store"/>
    <x v="5"/>
    <x v="0"/>
    <n v="320000"/>
    <n v="1"/>
    <x v="4"/>
    <n v="256000"/>
    <n v="320000"/>
    <n v="256000"/>
    <n v="64000"/>
  </r>
  <r>
    <s v="ID_190"/>
    <d v="2025-04-13T00:00:00"/>
    <x v="1"/>
    <x v="3"/>
    <x v="2"/>
    <s v="Corporate"/>
    <s v="Online"/>
    <x v="3"/>
    <x v="2"/>
    <n v="300000"/>
    <n v="3"/>
    <x v="3"/>
    <n v="240000"/>
    <n v="900000"/>
    <n v="720000"/>
    <n v="180000"/>
  </r>
  <r>
    <s v="ID_1940"/>
    <d v="2025-02-04T00:00:00"/>
    <x v="2"/>
    <x v="3"/>
    <x v="1"/>
    <s v="Corporate"/>
    <s v="Online"/>
    <x v="1"/>
    <x v="1"/>
    <n v="30000"/>
    <n v="6"/>
    <x v="2"/>
    <n v="24000"/>
    <n v="180000"/>
    <n v="144000"/>
    <n v="36000"/>
  </r>
  <r>
    <s v="ID_113"/>
    <d v="2025-03-05T00:00:00"/>
    <x v="3"/>
    <x v="1"/>
    <x v="2"/>
    <s v="Corporate"/>
    <s v="Store"/>
    <x v="9"/>
    <x v="1"/>
    <n v="220000"/>
    <n v="1"/>
    <x v="2"/>
    <n v="176000"/>
    <n v="220000"/>
    <n v="176000"/>
    <n v="44000"/>
  </r>
  <r>
    <s v="ID_1053"/>
    <d v="2025-01-08T00:00:00"/>
    <x v="0"/>
    <x v="3"/>
    <x v="3"/>
    <s v="Retail"/>
    <s v="Online"/>
    <x v="1"/>
    <x v="1"/>
    <n v="30000"/>
    <n v="9"/>
    <x v="3"/>
    <n v="24000"/>
    <n v="270000"/>
    <n v="216000"/>
    <n v="54000"/>
  </r>
  <r>
    <s v="ID_354"/>
    <d v="2025-03-21T00:00:00"/>
    <x v="3"/>
    <x v="0"/>
    <x v="0"/>
    <s v="Corporate"/>
    <s v="Online"/>
    <x v="9"/>
    <x v="1"/>
    <n v="220000"/>
    <n v="10"/>
    <x v="3"/>
    <n v="176000"/>
    <n v="2200000"/>
    <n v="1760000"/>
    <n v="440000"/>
  </r>
  <r>
    <s v="ID_897"/>
    <d v="2025-04-07T00:00:00"/>
    <x v="1"/>
    <x v="1"/>
    <x v="2"/>
    <s v="Retail"/>
    <s v="Online"/>
    <x v="9"/>
    <x v="1"/>
    <n v="220000"/>
    <n v="9"/>
    <x v="0"/>
    <n v="176000"/>
    <n v="1980000"/>
    <n v="1584000"/>
    <n v="396000"/>
  </r>
  <r>
    <s v="ID_408"/>
    <d v="2025-03-02T00:00:00"/>
    <x v="3"/>
    <x v="0"/>
    <x v="3"/>
    <s v="Corporate"/>
    <s v="Online"/>
    <x v="2"/>
    <x v="1"/>
    <n v="60000"/>
    <n v="4"/>
    <x v="1"/>
    <n v="48000"/>
    <n v="240000"/>
    <n v="192000"/>
    <n v="48000"/>
  </r>
  <r>
    <s v="ID_1807"/>
    <d v="2025-04-13T00:00:00"/>
    <x v="1"/>
    <x v="2"/>
    <x v="2"/>
    <s v="Corporate"/>
    <s v="Store"/>
    <x v="9"/>
    <x v="1"/>
    <n v="220000"/>
    <n v="7"/>
    <x v="1"/>
    <n v="176000"/>
    <n v="1540000"/>
    <n v="1232000"/>
    <n v="308000"/>
  </r>
  <r>
    <s v="ID_774"/>
    <d v="2025-03-05T00:00:00"/>
    <x v="3"/>
    <x v="0"/>
    <x v="2"/>
    <s v="Retail"/>
    <s v="Store"/>
    <x v="5"/>
    <x v="0"/>
    <n v="320000"/>
    <n v="9"/>
    <x v="2"/>
    <n v="256000"/>
    <n v="2880000"/>
    <n v="2304000"/>
    <n v="576000"/>
  </r>
  <r>
    <s v="ID_288"/>
    <d v="2025-04-24T00:00:00"/>
    <x v="1"/>
    <x v="0"/>
    <x v="1"/>
    <s v="Corporate"/>
    <s v="Store"/>
    <x v="0"/>
    <x v="0"/>
    <n v="85000"/>
    <n v="5"/>
    <x v="5"/>
    <n v="68000"/>
    <n v="425000"/>
    <n v="340000"/>
    <n v="85000"/>
  </r>
  <r>
    <s v="ID_1715"/>
    <d v="2025-01-05T00:00:00"/>
    <x v="0"/>
    <x v="3"/>
    <x v="3"/>
    <s v="Retail"/>
    <s v="Online"/>
    <x v="8"/>
    <x v="2"/>
    <n v="250000"/>
    <n v="10"/>
    <x v="4"/>
    <n v="200000"/>
    <n v="2500000"/>
    <n v="2000000"/>
    <n v="500000"/>
  </r>
  <r>
    <s v="ID_1678"/>
    <d v="2025-04-21T00:00:00"/>
    <x v="1"/>
    <x v="1"/>
    <x v="3"/>
    <s v="Retail"/>
    <s v="Store"/>
    <x v="5"/>
    <x v="0"/>
    <n v="320000"/>
    <n v="8"/>
    <x v="2"/>
    <n v="256000"/>
    <n v="2560000"/>
    <n v="2048000"/>
    <n v="512000"/>
  </r>
  <r>
    <s v="ID_1779"/>
    <d v="2025-01-04T00:00:00"/>
    <x v="0"/>
    <x v="3"/>
    <x v="0"/>
    <s v="Corporate"/>
    <s v="Store"/>
    <x v="6"/>
    <x v="2"/>
    <n v="150000"/>
    <n v="7"/>
    <x v="3"/>
    <n v="120000"/>
    <n v="1050000"/>
    <n v="840000"/>
    <n v="210000"/>
  </r>
  <r>
    <s v="ID_1146"/>
    <d v="2025-01-05T00:00:00"/>
    <x v="0"/>
    <x v="3"/>
    <x v="2"/>
    <s v="Retail"/>
    <s v="Store"/>
    <x v="4"/>
    <x v="1"/>
    <n v="180000"/>
    <n v="8"/>
    <x v="3"/>
    <n v="144000"/>
    <n v="1440000"/>
    <n v="1152000"/>
    <n v="288000"/>
  </r>
  <r>
    <s v="ID_747"/>
    <d v="2025-04-06T00:00:00"/>
    <x v="1"/>
    <x v="0"/>
    <x v="3"/>
    <s v="Retail"/>
    <s v="Online"/>
    <x v="5"/>
    <x v="0"/>
    <n v="320000"/>
    <n v="10"/>
    <x v="2"/>
    <n v="256000"/>
    <n v="3200000"/>
    <n v="2560000"/>
    <n v="640000"/>
  </r>
  <r>
    <s v="ID_1910"/>
    <d v="2025-02-05T00:00:00"/>
    <x v="2"/>
    <x v="3"/>
    <x v="0"/>
    <s v="Corporate"/>
    <s v="Store"/>
    <x v="6"/>
    <x v="2"/>
    <n v="150000"/>
    <n v="7"/>
    <x v="5"/>
    <n v="120000"/>
    <n v="1050000"/>
    <n v="840000"/>
    <n v="210000"/>
  </r>
  <r>
    <s v="ID_815"/>
    <d v="2025-03-18T00:00:00"/>
    <x v="3"/>
    <x v="2"/>
    <x v="1"/>
    <s v="Corporate"/>
    <s v="Store"/>
    <x v="9"/>
    <x v="1"/>
    <n v="220000"/>
    <n v="1"/>
    <x v="1"/>
    <n v="176000"/>
    <n v="220000"/>
    <n v="176000"/>
    <n v="44000"/>
  </r>
  <r>
    <s v="ID_672"/>
    <d v="2025-01-30T00:00:00"/>
    <x v="0"/>
    <x v="3"/>
    <x v="3"/>
    <s v="Corporate"/>
    <s v="Online"/>
    <x v="9"/>
    <x v="1"/>
    <n v="220000"/>
    <n v="7"/>
    <x v="1"/>
    <n v="176000"/>
    <n v="1540000"/>
    <n v="1232000"/>
    <n v="308000"/>
  </r>
  <r>
    <s v="ID_1841"/>
    <d v="2025-02-28T00:00:00"/>
    <x v="2"/>
    <x v="2"/>
    <x v="3"/>
    <s v="Corporate"/>
    <s v="Store"/>
    <x v="6"/>
    <x v="2"/>
    <n v="150000"/>
    <n v="6"/>
    <x v="1"/>
    <n v="120000"/>
    <n v="900000"/>
    <n v="720000"/>
    <n v="180000"/>
  </r>
  <r>
    <s v="ID_1762"/>
    <d v="2025-02-06T00:00:00"/>
    <x v="2"/>
    <x v="1"/>
    <x v="0"/>
    <s v="Retail"/>
    <s v="Online"/>
    <x v="3"/>
    <x v="2"/>
    <n v="300000"/>
    <n v="8"/>
    <x v="2"/>
    <n v="240000"/>
    <n v="2400000"/>
    <n v="1920000"/>
    <n v="480000"/>
  </r>
  <r>
    <s v="ID_1959"/>
    <d v="2025-01-15T00:00:00"/>
    <x v="0"/>
    <x v="1"/>
    <x v="3"/>
    <s v="Corporate"/>
    <s v="Store"/>
    <x v="7"/>
    <x v="2"/>
    <n v="420000"/>
    <n v="10"/>
    <x v="5"/>
    <n v="336000"/>
    <n v="4200000"/>
    <n v="3360000"/>
    <n v="840000"/>
  </r>
  <r>
    <s v="ID_607"/>
    <d v="2025-04-24T00:00:00"/>
    <x v="1"/>
    <x v="3"/>
    <x v="1"/>
    <s v="Retail"/>
    <s v="Store"/>
    <x v="1"/>
    <x v="1"/>
    <n v="30000"/>
    <n v="1"/>
    <x v="1"/>
    <n v="24000"/>
    <n v="30000"/>
    <n v="24000"/>
    <n v="6000"/>
  </r>
  <r>
    <s v="ID_358"/>
    <d v="2025-01-17T00:00:00"/>
    <x v="0"/>
    <x v="1"/>
    <x v="0"/>
    <s v="Corporate"/>
    <s v="Online"/>
    <x v="7"/>
    <x v="2"/>
    <n v="420000"/>
    <n v="7"/>
    <x v="0"/>
    <n v="336000"/>
    <n v="2940000"/>
    <n v="2352000"/>
    <n v="588000"/>
  </r>
  <r>
    <s v="ID_252"/>
    <d v="2025-02-02T00:00:00"/>
    <x v="2"/>
    <x v="3"/>
    <x v="0"/>
    <s v="Corporate"/>
    <s v="Store"/>
    <x v="4"/>
    <x v="1"/>
    <n v="180000"/>
    <n v="6"/>
    <x v="3"/>
    <n v="144000"/>
    <n v="1080000"/>
    <n v="864000"/>
    <n v="216000"/>
  </r>
  <r>
    <s v="ID_1938"/>
    <d v="2025-03-24T00:00:00"/>
    <x v="3"/>
    <x v="2"/>
    <x v="2"/>
    <s v="Retail"/>
    <s v="Online"/>
    <x v="1"/>
    <x v="1"/>
    <n v="30000"/>
    <n v="10"/>
    <x v="5"/>
    <n v="24000"/>
    <n v="300000"/>
    <n v="240000"/>
    <n v="60000"/>
  </r>
  <r>
    <s v="ID_2044"/>
    <d v="2025-02-01T00:00:00"/>
    <x v="2"/>
    <x v="0"/>
    <x v="0"/>
    <s v="Retail"/>
    <s v="Store"/>
    <x v="9"/>
    <x v="1"/>
    <n v="220000"/>
    <n v="1"/>
    <x v="5"/>
    <n v="176000"/>
    <n v="220000"/>
    <n v="176000"/>
    <n v="44000"/>
  </r>
  <r>
    <s v="ID_1408"/>
    <d v="2025-04-02T00:00:00"/>
    <x v="1"/>
    <x v="2"/>
    <x v="2"/>
    <s v="Retail"/>
    <s v="Online"/>
    <x v="5"/>
    <x v="0"/>
    <n v="320000"/>
    <n v="6"/>
    <x v="3"/>
    <n v="256000"/>
    <n v="1920000"/>
    <n v="1536000"/>
    <n v="384000"/>
  </r>
  <r>
    <s v="ID_2063"/>
    <d v="2025-03-28T00:00:00"/>
    <x v="3"/>
    <x v="2"/>
    <x v="3"/>
    <s v="Corporate"/>
    <s v="Store"/>
    <x v="2"/>
    <x v="1"/>
    <n v="60000"/>
    <n v="10"/>
    <x v="1"/>
    <n v="48000"/>
    <n v="600000"/>
    <n v="480000"/>
    <n v="120000"/>
  </r>
  <r>
    <s v="ID_674"/>
    <d v="2025-04-10T00:00:00"/>
    <x v="1"/>
    <x v="0"/>
    <x v="3"/>
    <s v="Retail"/>
    <s v="Online"/>
    <x v="0"/>
    <x v="0"/>
    <n v="85000"/>
    <n v="7"/>
    <x v="5"/>
    <n v="68000"/>
    <n v="595000"/>
    <n v="476000"/>
    <n v="119000"/>
  </r>
  <r>
    <s v="ID_1006"/>
    <d v="2025-04-01T00:00:00"/>
    <x v="1"/>
    <x v="1"/>
    <x v="3"/>
    <s v="Corporate"/>
    <s v="Online"/>
    <x v="8"/>
    <x v="2"/>
    <n v="250000"/>
    <n v="1"/>
    <x v="5"/>
    <n v="200000"/>
    <n v="250000"/>
    <n v="200000"/>
    <n v="50000"/>
  </r>
  <r>
    <s v="ID_128"/>
    <d v="2025-04-19T00:00:00"/>
    <x v="1"/>
    <x v="3"/>
    <x v="3"/>
    <s v="Corporate"/>
    <s v="Store"/>
    <x v="9"/>
    <x v="1"/>
    <n v="220000"/>
    <n v="8"/>
    <x v="1"/>
    <n v="176000"/>
    <n v="1760000"/>
    <n v="1408000"/>
    <n v="352000"/>
  </r>
  <r>
    <s v="ID_1598"/>
    <d v="2025-02-19T00:00:00"/>
    <x v="2"/>
    <x v="3"/>
    <x v="1"/>
    <s v="Retail"/>
    <s v="Online"/>
    <x v="8"/>
    <x v="2"/>
    <n v="250000"/>
    <n v="6"/>
    <x v="3"/>
    <n v="200000"/>
    <n v="1500000"/>
    <n v="1200000"/>
    <n v="300000"/>
  </r>
  <r>
    <s v="ID_949"/>
    <d v="2025-03-15T00:00:00"/>
    <x v="3"/>
    <x v="3"/>
    <x v="3"/>
    <s v="Retail"/>
    <s v="Online"/>
    <x v="0"/>
    <x v="0"/>
    <n v="85000"/>
    <n v="7"/>
    <x v="3"/>
    <n v="68000"/>
    <n v="595000"/>
    <n v="476000"/>
    <n v="119000"/>
  </r>
  <r>
    <s v="ID_1644"/>
    <d v="2025-02-16T00:00:00"/>
    <x v="2"/>
    <x v="2"/>
    <x v="2"/>
    <s v="Retail"/>
    <s v="Store"/>
    <x v="0"/>
    <x v="0"/>
    <n v="85000"/>
    <n v="4"/>
    <x v="2"/>
    <n v="68000"/>
    <n v="340000"/>
    <n v="272000"/>
    <n v="68000"/>
  </r>
  <r>
    <s v="ID_1183"/>
    <d v="2025-02-03T00:00:00"/>
    <x v="2"/>
    <x v="1"/>
    <x v="3"/>
    <s v="Corporate"/>
    <s v="Store"/>
    <x v="7"/>
    <x v="2"/>
    <n v="420000"/>
    <n v="6"/>
    <x v="0"/>
    <n v="336000"/>
    <n v="2520000"/>
    <n v="2016000"/>
    <n v="504000"/>
  </r>
  <r>
    <s v="ID_2001"/>
    <d v="2025-02-06T00:00:00"/>
    <x v="2"/>
    <x v="1"/>
    <x v="0"/>
    <s v="Corporate"/>
    <s v="Store"/>
    <x v="8"/>
    <x v="2"/>
    <n v="250000"/>
    <n v="4"/>
    <x v="2"/>
    <n v="200000"/>
    <n v="1000000"/>
    <n v="800000"/>
    <n v="200000"/>
  </r>
  <r>
    <s v="ID_740"/>
    <d v="2025-03-18T00:00:00"/>
    <x v="3"/>
    <x v="0"/>
    <x v="0"/>
    <s v="Retail"/>
    <s v="Store"/>
    <x v="1"/>
    <x v="1"/>
    <n v="30000"/>
    <n v="3"/>
    <x v="4"/>
    <n v="24000"/>
    <n v="90000"/>
    <n v="72000"/>
    <n v="18000"/>
  </r>
  <r>
    <s v="ID_494"/>
    <d v="2025-01-07T00:00:00"/>
    <x v="0"/>
    <x v="3"/>
    <x v="3"/>
    <s v="Corporate"/>
    <s v="Online"/>
    <x v="5"/>
    <x v="0"/>
    <n v="320000"/>
    <n v="9"/>
    <x v="3"/>
    <n v="256000"/>
    <n v="2880000"/>
    <n v="2304000"/>
    <n v="576000"/>
  </r>
  <r>
    <s v="ID_851"/>
    <d v="2025-01-19T00:00:00"/>
    <x v="0"/>
    <x v="3"/>
    <x v="0"/>
    <s v="Retail"/>
    <s v="Store"/>
    <x v="9"/>
    <x v="1"/>
    <n v="220000"/>
    <n v="7"/>
    <x v="2"/>
    <n v="176000"/>
    <n v="1540000"/>
    <n v="1232000"/>
    <n v="308000"/>
  </r>
  <r>
    <s v="ID_271"/>
    <d v="2025-03-27T00:00:00"/>
    <x v="3"/>
    <x v="2"/>
    <x v="1"/>
    <s v="Corporate"/>
    <s v="Online"/>
    <x v="6"/>
    <x v="2"/>
    <n v="150000"/>
    <n v="5"/>
    <x v="0"/>
    <n v="120000"/>
    <n v="750000"/>
    <n v="600000"/>
    <n v="150000"/>
  </r>
  <r>
    <s v="ID_1361"/>
    <d v="2025-03-11T00:00:00"/>
    <x v="3"/>
    <x v="2"/>
    <x v="0"/>
    <s v="Corporate"/>
    <s v="Store"/>
    <x v="0"/>
    <x v="0"/>
    <n v="85000"/>
    <n v="9"/>
    <x v="3"/>
    <n v="68000"/>
    <n v="765000"/>
    <n v="612000"/>
    <n v="153000"/>
  </r>
  <r>
    <s v="ID_1523"/>
    <d v="2025-01-26T00:00:00"/>
    <x v="0"/>
    <x v="3"/>
    <x v="3"/>
    <s v="Corporate"/>
    <s v="Online"/>
    <x v="8"/>
    <x v="2"/>
    <n v="250000"/>
    <n v="10"/>
    <x v="0"/>
    <n v="200000"/>
    <n v="2500000"/>
    <n v="2000000"/>
    <n v="500000"/>
  </r>
  <r>
    <s v="ID_468"/>
    <d v="2025-04-10T00:00:00"/>
    <x v="1"/>
    <x v="1"/>
    <x v="0"/>
    <s v="Corporate"/>
    <s v="Online"/>
    <x v="0"/>
    <x v="0"/>
    <n v="85000"/>
    <n v="7"/>
    <x v="1"/>
    <n v="68000"/>
    <n v="595000"/>
    <n v="476000"/>
    <n v="119000"/>
  </r>
  <r>
    <s v="ID_2052"/>
    <d v="2025-03-02T00:00:00"/>
    <x v="3"/>
    <x v="1"/>
    <x v="1"/>
    <s v="Retail"/>
    <s v="Online"/>
    <x v="3"/>
    <x v="2"/>
    <n v="300000"/>
    <n v="6"/>
    <x v="4"/>
    <n v="240000"/>
    <n v="1800000"/>
    <n v="1440000"/>
    <n v="360000"/>
  </r>
  <r>
    <s v="ID_1221"/>
    <d v="2025-03-20T00:00:00"/>
    <x v="3"/>
    <x v="0"/>
    <x v="0"/>
    <s v="Retail"/>
    <s v="Store"/>
    <x v="3"/>
    <x v="2"/>
    <n v="300000"/>
    <n v="10"/>
    <x v="1"/>
    <n v="240000"/>
    <n v="3000000"/>
    <n v="2400000"/>
    <n v="600000"/>
  </r>
  <r>
    <s v="ID_1272"/>
    <d v="2025-03-30T00:00:00"/>
    <x v="3"/>
    <x v="1"/>
    <x v="1"/>
    <s v="Corporate"/>
    <s v="Online"/>
    <x v="4"/>
    <x v="1"/>
    <n v="180000"/>
    <n v="1"/>
    <x v="2"/>
    <n v="144000"/>
    <n v="180000"/>
    <n v="144000"/>
    <n v="36000"/>
  </r>
  <r>
    <s v="ID_1127"/>
    <d v="2025-01-07T00:00:00"/>
    <x v="0"/>
    <x v="2"/>
    <x v="3"/>
    <s v="Retail"/>
    <s v="Online"/>
    <x v="6"/>
    <x v="2"/>
    <n v="150000"/>
    <n v="7"/>
    <x v="4"/>
    <n v="120000"/>
    <n v="1050000"/>
    <n v="840000"/>
    <n v="210000"/>
  </r>
  <r>
    <s v="ID_730"/>
    <d v="2025-03-07T00:00:00"/>
    <x v="3"/>
    <x v="3"/>
    <x v="0"/>
    <s v="Retail"/>
    <s v="Online"/>
    <x v="9"/>
    <x v="1"/>
    <n v="220000"/>
    <n v="5"/>
    <x v="1"/>
    <n v="176000"/>
    <n v="1100000"/>
    <n v="880000"/>
    <n v="220000"/>
  </r>
  <r>
    <s v="ID_1141"/>
    <d v="2025-02-01T00:00:00"/>
    <x v="2"/>
    <x v="1"/>
    <x v="0"/>
    <s v="Retail"/>
    <s v="Online"/>
    <x v="7"/>
    <x v="2"/>
    <n v="420000"/>
    <n v="2"/>
    <x v="4"/>
    <n v="336000"/>
    <n v="840000"/>
    <n v="672000"/>
    <n v="168000"/>
  </r>
  <r>
    <s v="ID_1131"/>
    <d v="2025-01-25T00:00:00"/>
    <x v="0"/>
    <x v="0"/>
    <x v="2"/>
    <s v="Retail"/>
    <s v="Online"/>
    <x v="4"/>
    <x v="1"/>
    <n v="180000"/>
    <n v="9"/>
    <x v="3"/>
    <n v="144000"/>
    <n v="1620000"/>
    <n v="1296000"/>
    <n v="324000"/>
  </r>
  <r>
    <s v="ID_1000"/>
    <d v="2025-01-14T00:00:00"/>
    <x v="0"/>
    <x v="3"/>
    <x v="3"/>
    <s v="Retail"/>
    <s v="Online"/>
    <x v="9"/>
    <x v="1"/>
    <n v="220000"/>
    <n v="5"/>
    <x v="3"/>
    <n v="176000"/>
    <n v="1100000"/>
    <n v="880000"/>
    <n v="220000"/>
  </r>
  <r>
    <s v="ID_628"/>
    <d v="2025-04-09T00:00:00"/>
    <x v="1"/>
    <x v="3"/>
    <x v="2"/>
    <s v="Retail"/>
    <s v="Online"/>
    <x v="4"/>
    <x v="1"/>
    <n v="180000"/>
    <n v="1"/>
    <x v="5"/>
    <n v="144000"/>
    <n v="180000"/>
    <n v="144000"/>
    <n v="36000"/>
  </r>
  <r>
    <s v="ID_1295"/>
    <d v="2025-04-10T00:00:00"/>
    <x v="1"/>
    <x v="1"/>
    <x v="2"/>
    <s v="Corporate"/>
    <s v="Store"/>
    <x v="2"/>
    <x v="1"/>
    <n v="60000"/>
    <n v="2"/>
    <x v="5"/>
    <n v="48000"/>
    <n v="120000"/>
    <n v="96000"/>
    <n v="24000"/>
  </r>
  <r>
    <s v="ID_1841"/>
    <d v="2025-03-11T00:00:00"/>
    <x v="3"/>
    <x v="3"/>
    <x v="2"/>
    <s v="Retail"/>
    <s v="Online"/>
    <x v="3"/>
    <x v="2"/>
    <n v="300000"/>
    <n v="5"/>
    <x v="1"/>
    <n v="240000"/>
    <n v="1500000"/>
    <n v="1200000"/>
    <n v="300000"/>
  </r>
  <r>
    <s v="ID_1742"/>
    <d v="2025-01-17T00:00:00"/>
    <x v="0"/>
    <x v="3"/>
    <x v="2"/>
    <s v="Retail"/>
    <s v="Store"/>
    <x v="3"/>
    <x v="2"/>
    <n v="300000"/>
    <n v="9"/>
    <x v="4"/>
    <n v="240000"/>
    <n v="2700000"/>
    <n v="2160000"/>
    <n v="540000"/>
  </r>
  <r>
    <s v="ID_180"/>
    <d v="2025-03-13T00:00:00"/>
    <x v="3"/>
    <x v="2"/>
    <x v="3"/>
    <s v="Retail"/>
    <s v="Online"/>
    <x v="9"/>
    <x v="1"/>
    <n v="220000"/>
    <n v="1"/>
    <x v="4"/>
    <n v="176000"/>
    <n v="220000"/>
    <n v="176000"/>
    <n v="44000"/>
  </r>
  <r>
    <s v="ID_1830"/>
    <d v="2025-03-20T00:00:00"/>
    <x v="3"/>
    <x v="0"/>
    <x v="3"/>
    <s v="Corporate"/>
    <s v="Store"/>
    <x v="1"/>
    <x v="1"/>
    <n v="30000"/>
    <n v="5"/>
    <x v="4"/>
    <n v="24000"/>
    <n v="150000"/>
    <n v="120000"/>
    <n v="30000"/>
  </r>
  <r>
    <s v="ID_97"/>
    <d v="2025-03-31T00:00:00"/>
    <x v="3"/>
    <x v="2"/>
    <x v="0"/>
    <s v="Corporate"/>
    <s v="Online"/>
    <x v="4"/>
    <x v="1"/>
    <n v="180000"/>
    <n v="1"/>
    <x v="0"/>
    <n v="144000"/>
    <n v="180000"/>
    <n v="144000"/>
    <n v="36000"/>
  </r>
  <r>
    <s v="ID_506"/>
    <d v="2025-04-30T00:00:00"/>
    <x v="1"/>
    <x v="3"/>
    <x v="2"/>
    <s v="Retail"/>
    <s v="Online"/>
    <x v="3"/>
    <x v="2"/>
    <n v="300000"/>
    <n v="6"/>
    <x v="4"/>
    <n v="240000"/>
    <n v="1800000"/>
    <n v="1440000"/>
    <n v="360000"/>
  </r>
  <r>
    <s v="ID_1188"/>
    <d v="2025-01-01T00:00:00"/>
    <x v="0"/>
    <x v="0"/>
    <x v="2"/>
    <s v="Retail"/>
    <s v="Store"/>
    <x v="9"/>
    <x v="1"/>
    <n v="220000"/>
    <n v="3"/>
    <x v="5"/>
    <n v="176000"/>
    <n v="660000"/>
    <n v="528000"/>
    <n v="132000"/>
  </r>
  <r>
    <s v="ID_967"/>
    <d v="2025-04-03T00:00:00"/>
    <x v="1"/>
    <x v="3"/>
    <x v="0"/>
    <s v="Retail"/>
    <s v="Store"/>
    <x v="5"/>
    <x v="0"/>
    <n v="320000"/>
    <n v="5"/>
    <x v="3"/>
    <n v="256000"/>
    <n v="1600000"/>
    <n v="1280000"/>
    <n v="320000"/>
  </r>
  <r>
    <s v="ID_423"/>
    <d v="2025-03-02T00:00:00"/>
    <x v="3"/>
    <x v="2"/>
    <x v="2"/>
    <s v="Retail"/>
    <s v="Online"/>
    <x v="6"/>
    <x v="2"/>
    <n v="150000"/>
    <n v="2"/>
    <x v="3"/>
    <n v="120000"/>
    <n v="300000"/>
    <n v="240000"/>
    <n v="60000"/>
  </r>
  <r>
    <s v="ID_648"/>
    <d v="2025-02-18T00:00:00"/>
    <x v="2"/>
    <x v="0"/>
    <x v="0"/>
    <s v="Retail"/>
    <s v="Online"/>
    <x v="4"/>
    <x v="1"/>
    <n v="180000"/>
    <n v="1"/>
    <x v="1"/>
    <n v="144000"/>
    <n v="180000"/>
    <n v="144000"/>
    <n v="36000"/>
  </r>
  <r>
    <s v="ID_768"/>
    <d v="2025-04-17T00:00:00"/>
    <x v="1"/>
    <x v="0"/>
    <x v="1"/>
    <s v="Corporate"/>
    <s v="Store"/>
    <x v="1"/>
    <x v="1"/>
    <n v="30000"/>
    <n v="10"/>
    <x v="4"/>
    <n v="24000"/>
    <n v="300000"/>
    <n v="240000"/>
    <n v="60000"/>
  </r>
  <r>
    <s v="ID_790"/>
    <d v="2025-01-03T00:00:00"/>
    <x v="0"/>
    <x v="3"/>
    <x v="1"/>
    <s v="Retail"/>
    <s v="Store"/>
    <x v="6"/>
    <x v="2"/>
    <n v="150000"/>
    <n v="4"/>
    <x v="1"/>
    <n v="120000"/>
    <n v="600000"/>
    <n v="480000"/>
    <n v="120000"/>
  </r>
  <r>
    <s v="ID_639"/>
    <d v="2025-01-01T00:00:00"/>
    <x v="0"/>
    <x v="3"/>
    <x v="2"/>
    <s v="Retail"/>
    <s v="Online"/>
    <x v="1"/>
    <x v="1"/>
    <n v="30000"/>
    <n v="1"/>
    <x v="1"/>
    <n v="24000"/>
    <n v="30000"/>
    <n v="24000"/>
    <n v="6000"/>
  </r>
  <r>
    <s v="ID_91"/>
    <d v="2025-03-26T00:00:00"/>
    <x v="3"/>
    <x v="3"/>
    <x v="1"/>
    <s v="Retail"/>
    <s v="Online"/>
    <x v="1"/>
    <x v="1"/>
    <n v="30000"/>
    <n v="6"/>
    <x v="3"/>
    <n v="24000"/>
    <n v="180000"/>
    <n v="144000"/>
    <n v="36000"/>
  </r>
  <r>
    <s v="ID_855"/>
    <d v="2025-04-17T00:00:00"/>
    <x v="1"/>
    <x v="2"/>
    <x v="0"/>
    <s v="Corporate"/>
    <s v="Online"/>
    <x v="4"/>
    <x v="1"/>
    <n v="180000"/>
    <n v="7"/>
    <x v="0"/>
    <n v="144000"/>
    <n v="1260000"/>
    <n v="1008000"/>
    <n v="252000"/>
  </r>
  <r>
    <s v="ID_775"/>
    <d v="2025-01-27T00:00:00"/>
    <x v="0"/>
    <x v="2"/>
    <x v="3"/>
    <s v="Retail"/>
    <s v="Online"/>
    <x v="2"/>
    <x v="1"/>
    <n v="60000"/>
    <n v="8"/>
    <x v="5"/>
    <n v="48000"/>
    <n v="480000"/>
    <n v="384000"/>
    <n v="96000"/>
  </r>
  <r>
    <s v="ID_571"/>
    <d v="2025-04-21T00:00:00"/>
    <x v="1"/>
    <x v="2"/>
    <x v="1"/>
    <s v="Retail"/>
    <s v="Online"/>
    <x v="2"/>
    <x v="1"/>
    <n v="60000"/>
    <n v="2"/>
    <x v="4"/>
    <n v="48000"/>
    <n v="120000"/>
    <n v="96000"/>
    <n v="24000"/>
  </r>
  <r>
    <s v="ID_1318"/>
    <d v="2025-02-17T00:00:00"/>
    <x v="2"/>
    <x v="2"/>
    <x v="2"/>
    <s v="Retail"/>
    <s v="Store"/>
    <x v="0"/>
    <x v="0"/>
    <n v="85000"/>
    <n v="1"/>
    <x v="3"/>
    <n v="68000"/>
    <n v="85000"/>
    <n v="68000"/>
    <n v="17000"/>
  </r>
  <r>
    <s v="ID_528"/>
    <d v="2025-04-03T00:00:00"/>
    <x v="1"/>
    <x v="3"/>
    <x v="2"/>
    <s v="Corporate"/>
    <s v="Online"/>
    <x v="1"/>
    <x v="1"/>
    <n v="30000"/>
    <n v="8"/>
    <x v="4"/>
    <n v="24000"/>
    <n v="240000"/>
    <n v="192000"/>
    <n v="48000"/>
  </r>
  <r>
    <s v="ID_623"/>
    <d v="2025-02-28T00:00:00"/>
    <x v="2"/>
    <x v="3"/>
    <x v="3"/>
    <s v="Retail"/>
    <s v="Store"/>
    <x v="2"/>
    <x v="1"/>
    <n v="60000"/>
    <n v="10"/>
    <x v="4"/>
    <n v="48000"/>
    <n v="600000"/>
    <n v="480000"/>
    <n v="120000"/>
  </r>
  <r>
    <s v="ID_1098"/>
    <d v="2025-04-04T00:00:00"/>
    <x v="1"/>
    <x v="0"/>
    <x v="0"/>
    <s v="Corporate"/>
    <s v="Store"/>
    <x v="6"/>
    <x v="2"/>
    <n v="150000"/>
    <n v="1"/>
    <x v="0"/>
    <n v="120000"/>
    <n v="150000"/>
    <n v="120000"/>
    <n v="30000"/>
  </r>
  <r>
    <s v="ID_877"/>
    <d v="2025-03-31T00:00:00"/>
    <x v="3"/>
    <x v="2"/>
    <x v="0"/>
    <s v="Corporate"/>
    <s v="Store"/>
    <x v="2"/>
    <x v="1"/>
    <n v="60000"/>
    <n v="9"/>
    <x v="5"/>
    <n v="48000"/>
    <n v="540000"/>
    <n v="432000"/>
    <n v="108000"/>
  </r>
  <r>
    <s v="ID_1938"/>
    <d v="2025-04-11T00:00:00"/>
    <x v="1"/>
    <x v="3"/>
    <x v="3"/>
    <s v="Retail"/>
    <s v="Online"/>
    <x v="2"/>
    <x v="1"/>
    <n v="60000"/>
    <n v="5"/>
    <x v="5"/>
    <n v="48000"/>
    <n v="300000"/>
    <n v="240000"/>
    <n v="60000"/>
  </r>
  <r>
    <s v="ID_839"/>
    <d v="2025-04-22T00:00:00"/>
    <x v="1"/>
    <x v="1"/>
    <x v="0"/>
    <s v="Retail"/>
    <s v="Store"/>
    <x v="9"/>
    <x v="1"/>
    <n v="220000"/>
    <n v="8"/>
    <x v="0"/>
    <n v="176000"/>
    <n v="1760000"/>
    <n v="1408000"/>
    <n v="352000"/>
  </r>
  <r>
    <s v="ID_17"/>
    <d v="2025-02-18T00:00:00"/>
    <x v="2"/>
    <x v="0"/>
    <x v="0"/>
    <s v="Retail"/>
    <s v="Store"/>
    <x v="0"/>
    <x v="0"/>
    <n v="85000"/>
    <n v="2"/>
    <x v="4"/>
    <n v="68000"/>
    <n v="170000"/>
    <n v="136000"/>
    <n v="34000"/>
  </r>
  <r>
    <s v="ID_1994"/>
    <d v="2025-04-27T00:00:00"/>
    <x v="1"/>
    <x v="2"/>
    <x v="3"/>
    <s v="Retail"/>
    <s v="Store"/>
    <x v="5"/>
    <x v="0"/>
    <n v="320000"/>
    <n v="7"/>
    <x v="4"/>
    <n v="256000"/>
    <n v="2240000"/>
    <n v="1792000"/>
    <n v="448000"/>
  </r>
  <r>
    <s v="ID_823"/>
    <d v="2025-02-10T00:00:00"/>
    <x v="2"/>
    <x v="2"/>
    <x v="3"/>
    <s v="Retail"/>
    <s v="Online"/>
    <x v="8"/>
    <x v="2"/>
    <n v="250000"/>
    <n v="4"/>
    <x v="0"/>
    <n v="200000"/>
    <n v="1000000"/>
    <n v="800000"/>
    <n v="200000"/>
  </r>
  <r>
    <s v="ID_508"/>
    <d v="2025-04-26T00:00:00"/>
    <x v="1"/>
    <x v="1"/>
    <x v="0"/>
    <s v="Corporate"/>
    <s v="Store"/>
    <x v="6"/>
    <x v="2"/>
    <n v="150000"/>
    <n v="6"/>
    <x v="1"/>
    <n v="120000"/>
    <n v="900000"/>
    <n v="720000"/>
    <n v="180000"/>
  </r>
  <r>
    <s v="ID_741"/>
    <d v="2025-03-22T00:00:00"/>
    <x v="3"/>
    <x v="3"/>
    <x v="3"/>
    <s v="Retail"/>
    <s v="Online"/>
    <x v="3"/>
    <x v="2"/>
    <n v="300000"/>
    <n v="8"/>
    <x v="1"/>
    <n v="240000"/>
    <n v="2400000"/>
    <n v="1920000"/>
    <n v="480000"/>
  </r>
  <r>
    <s v="ID_1855"/>
    <d v="2025-03-08T00:00:00"/>
    <x v="3"/>
    <x v="0"/>
    <x v="1"/>
    <s v="Retail"/>
    <s v="Store"/>
    <x v="3"/>
    <x v="2"/>
    <n v="300000"/>
    <n v="10"/>
    <x v="0"/>
    <n v="240000"/>
    <n v="3000000"/>
    <n v="2400000"/>
    <n v="600000"/>
  </r>
  <r>
    <s v="ID_1224"/>
    <d v="2025-04-11T00:00:00"/>
    <x v="1"/>
    <x v="3"/>
    <x v="2"/>
    <s v="Corporate"/>
    <s v="Store"/>
    <x v="5"/>
    <x v="0"/>
    <n v="320000"/>
    <n v="1"/>
    <x v="2"/>
    <n v="256000"/>
    <n v="320000"/>
    <n v="256000"/>
    <n v="64000"/>
  </r>
  <r>
    <s v="ID_88"/>
    <d v="2025-04-17T00:00:00"/>
    <x v="1"/>
    <x v="2"/>
    <x v="1"/>
    <s v="Corporate"/>
    <s v="Store"/>
    <x v="5"/>
    <x v="0"/>
    <n v="320000"/>
    <n v="3"/>
    <x v="2"/>
    <n v="256000"/>
    <n v="960000"/>
    <n v="768000"/>
    <n v="192000"/>
  </r>
  <r>
    <s v="ID_1559"/>
    <d v="2025-03-05T00:00:00"/>
    <x v="3"/>
    <x v="0"/>
    <x v="0"/>
    <s v="Corporate"/>
    <s v="Online"/>
    <x v="6"/>
    <x v="2"/>
    <n v="150000"/>
    <n v="6"/>
    <x v="3"/>
    <n v="120000"/>
    <n v="900000"/>
    <n v="720000"/>
    <n v="180000"/>
  </r>
  <r>
    <s v="ID_1056"/>
    <d v="2025-01-29T00:00:00"/>
    <x v="0"/>
    <x v="1"/>
    <x v="1"/>
    <s v="Retail"/>
    <s v="Online"/>
    <x v="4"/>
    <x v="1"/>
    <n v="180000"/>
    <n v="9"/>
    <x v="5"/>
    <n v="144000"/>
    <n v="1620000"/>
    <n v="1296000"/>
    <n v="324000"/>
  </r>
  <r>
    <s v="ID_1186"/>
    <d v="2025-03-31T00:00:00"/>
    <x v="3"/>
    <x v="2"/>
    <x v="3"/>
    <s v="Retail"/>
    <s v="Online"/>
    <x v="2"/>
    <x v="1"/>
    <n v="60000"/>
    <n v="2"/>
    <x v="3"/>
    <n v="48000"/>
    <n v="120000"/>
    <n v="96000"/>
    <n v="24000"/>
  </r>
  <r>
    <s v="ID_1498"/>
    <d v="2025-02-11T00:00:00"/>
    <x v="2"/>
    <x v="1"/>
    <x v="2"/>
    <s v="Retail"/>
    <s v="Store"/>
    <x v="6"/>
    <x v="2"/>
    <n v="150000"/>
    <n v="5"/>
    <x v="3"/>
    <n v="120000"/>
    <n v="750000"/>
    <n v="600000"/>
    <n v="150000"/>
  </r>
  <r>
    <s v="ID_284"/>
    <d v="2025-04-11T00:00:00"/>
    <x v="1"/>
    <x v="1"/>
    <x v="2"/>
    <s v="Retail"/>
    <s v="Store"/>
    <x v="4"/>
    <x v="1"/>
    <n v="180000"/>
    <n v="10"/>
    <x v="3"/>
    <n v="144000"/>
    <n v="1800000"/>
    <n v="1440000"/>
    <n v="360000"/>
  </r>
  <r>
    <s v="ID_695"/>
    <d v="2025-02-05T00:00:00"/>
    <x v="2"/>
    <x v="0"/>
    <x v="0"/>
    <s v="Retail"/>
    <s v="Online"/>
    <x v="0"/>
    <x v="0"/>
    <n v="85000"/>
    <n v="7"/>
    <x v="4"/>
    <n v="68000"/>
    <n v="595000"/>
    <n v="476000"/>
    <n v="119000"/>
  </r>
  <r>
    <s v="ID_2"/>
    <d v="2025-01-19T00:00:00"/>
    <x v="0"/>
    <x v="1"/>
    <x v="3"/>
    <s v="Corporate"/>
    <s v="Store"/>
    <x v="7"/>
    <x v="2"/>
    <n v="420000"/>
    <n v="3"/>
    <x v="1"/>
    <n v="336000"/>
    <n v="1260000"/>
    <n v="1008000"/>
    <n v="252000"/>
  </r>
  <r>
    <s v="ID_1196"/>
    <d v="2025-03-02T00:00:00"/>
    <x v="3"/>
    <x v="1"/>
    <x v="3"/>
    <s v="Corporate"/>
    <s v="Online"/>
    <x v="3"/>
    <x v="2"/>
    <n v="300000"/>
    <n v="2"/>
    <x v="4"/>
    <n v="240000"/>
    <n v="600000"/>
    <n v="480000"/>
    <n v="120000"/>
  </r>
  <r>
    <s v="ID_1993"/>
    <d v="2025-04-03T00:00:00"/>
    <x v="1"/>
    <x v="1"/>
    <x v="1"/>
    <s v="Corporate"/>
    <s v="Online"/>
    <x v="8"/>
    <x v="2"/>
    <n v="250000"/>
    <n v="3"/>
    <x v="4"/>
    <n v="200000"/>
    <n v="750000"/>
    <n v="600000"/>
    <n v="150000"/>
  </r>
  <r>
    <s v="ID_707"/>
    <d v="2025-02-14T00:00:00"/>
    <x v="2"/>
    <x v="1"/>
    <x v="0"/>
    <s v="Retail"/>
    <s v="Store"/>
    <x v="6"/>
    <x v="2"/>
    <n v="150000"/>
    <n v="7"/>
    <x v="1"/>
    <n v="120000"/>
    <n v="1050000"/>
    <n v="840000"/>
    <n v="210000"/>
  </r>
  <r>
    <s v="ID_1926"/>
    <d v="2025-04-09T00:00:00"/>
    <x v="1"/>
    <x v="0"/>
    <x v="0"/>
    <s v="Corporate"/>
    <s v="Online"/>
    <x v="7"/>
    <x v="2"/>
    <n v="420000"/>
    <n v="7"/>
    <x v="3"/>
    <n v="336000"/>
    <n v="2940000"/>
    <n v="2352000"/>
    <n v="588000"/>
  </r>
  <r>
    <s v="ID_2022"/>
    <d v="2025-02-12T00:00:00"/>
    <x v="2"/>
    <x v="2"/>
    <x v="1"/>
    <s v="Retail"/>
    <s v="Store"/>
    <x v="4"/>
    <x v="1"/>
    <n v="180000"/>
    <n v="7"/>
    <x v="2"/>
    <n v="144000"/>
    <n v="1260000"/>
    <n v="1008000"/>
    <n v="252000"/>
  </r>
  <r>
    <s v="ID_1089"/>
    <d v="2025-01-13T00:00:00"/>
    <x v="0"/>
    <x v="0"/>
    <x v="0"/>
    <s v="Retail"/>
    <s v="Store"/>
    <x v="5"/>
    <x v="0"/>
    <n v="320000"/>
    <n v="2"/>
    <x v="5"/>
    <n v="256000"/>
    <n v="640000"/>
    <n v="512000"/>
    <n v="128000"/>
  </r>
  <r>
    <s v="ID_698"/>
    <d v="2025-03-20T00:00:00"/>
    <x v="3"/>
    <x v="3"/>
    <x v="0"/>
    <s v="Corporate"/>
    <s v="Store"/>
    <x v="5"/>
    <x v="0"/>
    <n v="320000"/>
    <n v="6"/>
    <x v="5"/>
    <n v="256000"/>
    <n v="1920000"/>
    <n v="1536000"/>
    <n v="384000"/>
  </r>
  <r>
    <s v="ID_160"/>
    <d v="2025-03-14T00:00:00"/>
    <x v="3"/>
    <x v="1"/>
    <x v="2"/>
    <s v="Corporate"/>
    <s v="Online"/>
    <x v="1"/>
    <x v="1"/>
    <n v="30000"/>
    <n v="3"/>
    <x v="4"/>
    <n v="24000"/>
    <n v="90000"/>
    <n v="72000"/>
    <n v="18000"/>
  </r>
  <r>
    <s v="ID_675"/>
    <d v="2025-01-21T00:00:00"/>
    <x v="0"/>
    <x v="3"/>
    <x v="0"/>
    <s v="Retail"/>
    <s v="Online"/>
    <x v="7"/>
    <x v="2"/>
    <n v="420000"/>
    <n v="3"/>
    <x v="0"/>
    <n v="336000"/>
    <n v="1260000"/>
    <n v="1008000"/>
    <n v="252000"/>
  </r>
  <r>
    <s v="ID_584"/>
    <d v="2025-04-07T00:00:00"/>
    <x v="1"/>
    <x v="2"/>
    <x v="1"/>
    <s v="Retail"/>
    <s v="Store"/>
    <x v="1"/>
    <x v="1"/>
    <n v="30000"/>
    <n v="9"/>
    <x v="3"/>
    <n v="24000"/>
    <n v="270000"/>
    <n v="216000"/>
    <n v="54000"/>
  </r>
  <r>
    <s v="ID_1943"/>
    <d v="2025-04-18T00:00:00"/>
    <x v="1"/>
    <x v="1"/>
    <x v="0"/>
    <s v="Corporate"/>
    <s v="Store"/>
    <x v="5"/>
    <x v="0"/>
    <n v="320000"/>
    <n v="4"/>
    <x v="0"/>
    <n v="256000"/>
    <n v="1280000"/>
    <n v="1024000"/>
    <n v="256000"/>
  </r>
  <r>
    <s v="ID_976"/>
    <d v="2025-04-03T00:00:00"/>
    <x v="1"/>
    <x v="3"/>
    <x v="3"/>
    <s v="Corporate"/>
    <s v="Store"/>
    <x v="6"/>
    <x v="2"/>
    <n v="150000"/>
    <n v="5"/>
    <x v="1"/>
    <n v="120000"/>
    <n v="750000"/>
    <n v="600000"/>
    <n v="150000"/>
  </r>
  <r>
    <s v="ID_1027"/>
    <d v="2025-02-14T00:00:00"/>
    <x v="2"/>
    <x v="2"/>
    <x v="0"/>
    <s v="Corporate"/>
    <s v="Store"/>
    <x v="0"/>
    <x v="0"/>
    <n v="85000"/>
    <n v="8"/>
    <x v="3"/>
    <n v="68000"/>
    <n v="680000"/>
    <n v="544000"/>
    <n v="136000"/>
  </r>
  <r>
    <s v="ID_148"/>
    <d v="2025-04-13T00:00:00"/>
    <x v="1"/>
    <x v="3"/>
    <x v="3"/>
    <s v="Retail"/>
    <s v="Store"/>
    <x v="2"/>
    <x v="1"/>
    <n v="60000"/>
    <n v="1"/>
    <x v="0"/>
    <n v="48000"/>
    <n v="60000"/>
    <n v="48000"/>
    <n v="12000"/>
  </r>
  <r>
    <s v="ID_211"/>
    <d v="2025-03-31T00:00:00"/>
    <x v="3"/>
    <x v="2"/>
    <x v="1"/>
    <s v="Retail"/>
    <s v="Online"/>
    <x v="9"/>
    <x v="1"/>
    <n v="220000"/>
    <n v="3"/>
    <x v="2"/>
    <n v="176000"/>
    <n v="660000"/>
    <n v="528000"/>
    <n v="132000"/>
  </r>
  <r>
    <s v="ID_1089"/>
    <d v="2025-02-11T00:00:00"/>
    <x v="2"/>
    <x v="0"/>
    <x v="3"/>
    <s v="Corporate"/>
    <s v="Online"/>
    <x v="4"/>
    <x v="1"/>
    <n v="180000"/>
    <n v="2"/>
    <x v="4"/>
    <n v="144000"/>
    <n v="360000"/>
    <n v="288000"/>
    <n v="72000"/>
  </r>
  <r>
    <s v="ID_2021"/>
    <d v="2025-03-17T00:00:00"/>
    <x v="3"/>
    <x v="2"/>
    <x v="0"/>
    <s v="Corporate"/>
    <s v="Online"/>
    <x v="8"/>
    <x v="2"/>
    <n v="250000"/>
    <n v="9"/>
    <x v="1"/>
    <n v="200000"/>
    <n v="2250000"/>
    <n v="1800000"/>
    <n v="450000"/>
  </r>
  <r>
    <s v="ID_1321"/>
    <d v="2025-04-22T00:00:00"/>
    <x v="1"/>
    <x v="0"/>
    <x v="0"/>
    <s v="Corporate"/>
    <s v="Online"/>
    <x v="3"/>
    <x v="2"/>
    <n v="300000"/>
    <n v="8"/>
    <x v="4"/>
    <n v="240000"/>
    <n v="2400000"/>
    <n v="1920000"/>
    <n v="480000"/>
  </r>
  <r>
    <s v="ID_781"/>
    <d v="2025-04-28T00:00:00"/>
    <x v="1"/>
    <x v="0"/>
    <x v="1"/>
    <s v="Retail"/>
    <s v="Online"/>
    <x v="6"/>
    <x v="2"/>
    <n v="150000"/>
    <n v="6"/>
    <x v="0"/>
    <n v="120000"/>
    <n v="900000"/>
    <n v="720000"/>
    <n v="180000"/>
  </r>
  <r>
    <s v="ID_509"/>
    <d v="2025-02-13T00:00:00"/>
    <x v="2"/>
    <x v="3"/>
    <x v="3"/>
    <s v="Corporate"/>
    <s v="Store"/>
    <x v="0"/>
    <x v="0"/>
    <n v="85000"/>
    <n v="9"/>
    <x v="2"/>
    <n v="68000"/>
    <n v="765000"/>
    <n v="612000"/>
    <n v="153000"/>
  </r>
  <r>
    <s v="ID_561"/>
    <d v="2025-02-13T00:00:00"/>
    <x v="2"/>
    <x v="3"/>
    <x v="2"/>
    <s v="Corporate"/>
    <s v="Online"/>
    <x v="2"/>
    <x v="1"/>
    <n v="60000"/>
    <n v="3"/>
    <x v="1"/>
    <n v="48000"/>
    <n v="180000"/>
    <n v="144000"/>
    <n v="36000"/>
  </r>
  <r>
    <s v="ID_523"/>
    <d v="2025-04-07T00:00:00"/>
    <x v="1"/>
    <x v="2"/>
    <x v="3"/>
    <s v="Retail"/>
    <s v="Store"/>
    <x v="7"/>
    <x v="2"/>
    <n v="420000"/>
    <n v="7"/>
    <x v="3"/>
    <n v="336000"/>
    <n v="2940000"/>
    <n v="2352000"/>
    <n v="588000"/>
  </r>
  <r>
    <s v="ID_191"/>
    <d v="2025-04-03T00:00:00"/>
    <x v="1"/>
    <x v="2"/>
    <x v="0"/>
    <s v="Corporate"/>
    <s v="Online"/>
    <x v="0"/>
    <x v="0"/>
    <n v="85000"/>
    <n v="5"/>
    <x v="1"/>
    <n v="68000"/>
    <n v="425000"/>
    <n v="340000"/>
    <n v="85000"/>
  </r>
  <r>
    <s v="ID_1771"/>
    <d v="2025-03-02T00:00:00"/>
    <x v="3"/>
    <x v="1"/>
    <x v="0"/>
    <s v="Corporate"/>
    <s v="Online"/>
    <x v="2"/>
    <x v="1"/>
    <n v="60000"/>
    <n v="7"/>
    <x v="1"/>
    <n v="48000"/>
    <n v="420000"/>
    <n v="336000"/>
    <n v="84000"/>
  </r>
  <r>
    <s v="ID_962"/>
    <d v="2025-01-30T00:00:00"/>
    <x v="0"/>
    <x v="1"/>
    <x v="3"/>
    <s v="Retail"/>
    <s v="Online"/>
    <x v="4"/>
    <x v="1"/>
    <n v="180000"/>
    <n v="2"/>
    <x v="3"/>
    <n v="144000"/>
    <n v="360000"/>
    <n v="288000"/>
    <n v="72000"/>
  </r>
  <r>
    <s v="ID_197"/>
    <d v="2025-01-21T00:00:00"/>
    <x v="0"/>
    <x v="0"/>
    <x v="0"/>
    <s v="Corporate"/>
    <s v="Store"/>
    <x v="8"/>
    <x v="2"/>
    <n v="250000"/>
    <n v="3"/>
    <x v="4"/>
    <n v="200000"/>
    <n v="750000"/>
    <n v="600000"/>
    <n v="150000"/>
  </r>
  <r>
    <s v="ID_1623"/>
    <d v="2025-01-16T00:00:00"/>
    <x v="0"/>
    <x v="1"/>
    <x v="2"/>
    <s v="Corporate"/>
    <s v="Online"/>
    <x v="4"/>
    <x v="1"/>
    <n v="180000"/>
    <n v="6"/>
    <x v="5"/>
    <n v="144000"/>
    <n v="1080000"/>
    <n v="864000"/>
    <n v="216000"/>
  </r>
  <r>
    <s v="ID_1446"/>
    <d v="2025-04-02T00:00:00"/>
    <x v="1"/>
    <x v="1"/>
    <x v="3"/>
    <s v="Retail"/>
    <s v="Store"/>
    <x v="0"/>
    <x v="0"/>
    <n v="85000"/>
    <n v="2"/>
    <x v="5"/>
    <n v="68000"/>
    <n v="170000"/>
    <n v="136000"/>
    <n v="34000"/>
  </r>
  <r>
    <s v="ID_612"/>
    <d v="2025-02-14T00:00:00"/>
    <x v="2"/>
    <x v="3"/>
    <x v="3"/>
    <s v="Corporate"/>
    <s v="Store"/>
    <x v="8"/>
    <x v="2"/>
    <n v="250000"/>
    <n v="5"/>
    <x v="2"/>
    <n v="200000"/>
    <n v="1250000"/>
    <n v="1000000"/>
    <n v="250000"/>
  </r>
  <r>
    <s v="ID_1270"/>
    <d v="2025-02-09T00:00:00"/>
    <x v="2"/>
    <x v="0"/>
    <x v="0"/>
    <s v="Corporate"/>
    <s v="Store"/>
    <x v="9"/>
    <x v="1"/>
    <n v="220000"/>
    <n v="2"/>
    <x v="4"/>
    <n v="176000"/>
    <n v="440000"/>
    <n v="352000"/>
    <n v="88000"/>
  </r>
  <r>
    <s v="ID_1232"/>
    <d v="2025-04-14T00:00:00"/>
    <x v="1"/>
    <x v="2"/>
    <x v="3"/>
    <s v="Retail"/>
    <s v="Online"/>
    <x v="1"/>
    <x v="1"/>
    <n v="30000"/>
    <n v="2"/>
    <x v="1"/>
    <n v="24000"/>
    <n v="60000"/>
    <n v="48000"/>
    <n v="12000"/>
  </r>
  <r>
    <s v="ID_974"/>
    <d v="2025-03-22T00:00:00"/>
    <x v="3"/>
    <x v="1"/>
    <x v="2"/>
    <s v="Corporate"/>
    <s v="Store"/>
    <x v="7"/>
    <x v="2"/>
    <n v="420000"/>
    <n v="10"/>
    <x v="4"/>
    <n v="336000"/>
    <n v="4200000"/>
    <n v="3360000"/>
    <n v="840000"/>
  </r>
  <r>
    <s v="ID_1238"/>
    <d v="2025-02-10T00:00:00"/>
    <x v="2"/>
    <x v="3"/>
    <x v="3"/>
    <s v="Corporate"/>
    <s v="Online"/>
    <x v="9"/>
    <x v="1"/>
    <n v="220000"/>
    <n v="2"/>
    <x v="3"/>
    <n v="176000"/>
    <n v="440000"/>
    <n v="352000"/>
    <n v="88000"/>
  </r>
  <r>
    <s v="ID_52"/>
    <d v="2025-02-06T00:00:00"/>
    <x v="2"/>
    <x v="2"/>
    <x v="2"/>
    <s v="Corporate"/>
    <s v="Store"/>
    <x v="9"/>
    <x v="1"/>
    <n v="220000"/>
    <n v="10"/>
    <x v="1"/>
    <n v="176000"/>
    <n v="2200000"/>
    <n v="1760000"/>
    <n v="440000"/>
  </r>
  <r>
    <s v="ID_516"/>
    <d v="2025-02-27T00:00:00"/>
    <x v="2"/>
    <x v="0"/>
    <x v="1"/>
    <s v="Corporate"/>
    <s v="Store"/>
    <x v="5"/>
    <x v="0"/>
    <n v="320000"/>
    <n v="6"/>
    <x v="3"/>
    <n v="256000"/>
    <n v="1920000"/>
    <n v="1536000"/>
    <n v="384000"/>
  </r>
  <r>
    <s v="ID_1300"/>
    <d v="2025-03-10T00:00:00"/>
    <x v="3"/>
    <x v="3"/>
    <x v="0"/>
    <s v="Corporate"/>
    <s v="Store"/>
    <x v="7"/>
    <x v="2"/>
    <n v="420000"/>
    <n v="8"/>
    <x v="3"/>
    <n v="336000"/>
    <n v="3360000"/>
    <n v="2688000"/>
    <n v="672000"/>
  </r>
  <r>
    <s v="ID_1813"/>
    <d v="2025-04-13T00:00:00"/>
    <x v="1"/>
    <x v="1"/>
    <x v="3"/>
    <s v="Retail"/>
    <s v="Store"/>
    <x v="9"/>
    <x v="1"/>
    <n v="220000"/>
    <n v="9"/>
    <x v="3"/>
    <n v="176000"/>
    <n v="1980000"/>
    <n v="1584000"/>
    <n v="396000"/>
  </r>
  <r>
    <s v="ID_1951"/>
    <d v="2025-02-27T00:00:00"/>
    <x v="2"/>
    <x v="3"/>
    <x v="1"/>
    <s v="Corporate"/>
    <s v="Online"/>
    <x v="9"/>
    <x v="1"/>
    <n v="220000"/>
    <n v="2"/>
    <x v="5"/>
    <n v="176000"/>
    <n v="440000"/>
    <n v="352000"/>
    <n v="88000"/>
  </r>
  <r>
    <s v="ID_2007"/>
    <d v="2025-03-06T00:00:00"/>
    <x v="3"/>
    <x v="2"/>
    <x v="3"/>
    <s v="Retail"/>
    <s v="Online"/>
    <x v="6"/>
    <x v="2"/>
    <n v="150000"/>
    <n v="4"/>
    <x v="4"/>
    <n v="120000"/>
    <n v="600000"/>
    <n v="480000"/>
    <n v="120000"/>
  </r>
  <r>
    <s v="ID_1394"/>
    <d v="2025-02-24T00:00:00"/>
    <x v="2"/>
    <x v="1"/>
    <x v="2"/>
    <s v="Retail"/>
    <s v="Store"/>
    <x v="3"/>
    <x v="2"/>
    <n v="300000"/>
    <n v="7"/>
    <x v="5"/>
    <n v="240000"/>
    <n v="2100000"/>
    <n v="1680000"/>
    <n v="420000"/>
  </r>
  <r>
    <s v="ID_125"/>
    <d v="2025-01-10T00:00:00"/>
    <x v="0"/>
    <x v="2"/>
    <x v="1"/>
    <s v="Corporate"/>
    <s v="Online"/>
    <x v="7"/>
    <x v="2"/>
    <n v="420000"/>
    <n v="4"/>
    <x v="5"/>
    <n v="336000"/>
    <n v="1680000"/>
    <n v="1344000"/>
    <n v="336000"/>
  </r>
  <r>
    <s v="ID_2071"/>
    <d v="2025-02-17T00:00:00"/>
    <x v="2"/>
    <x v="0"/>
    <x v="2"/>
    <s v="Corporate"/>
    <s v="Store"/>
    <x v="2"/>
    <x v="1"/>
    <n v="60000"/>
    <n v="4"/>
    <x v="4"/>
    <n v="48000"/>
    <n v="240000"/>
    <n v="192000"/>
    <n v="48000"/>
  </r>
  <r>
    <s v="ID_1902"/>
    <d v="2025-02-05T00:00:00"/>
    <x v="2"/>
    <x v="3"/>
    <x v="2"/>
    <s v="Retail"/>
    <s v="Online"/>
    <x v="4"/>
    <x v="1"/>
    <n v="180000"/>
    <n v="6"/>
    <x v="0"/>
    <n v="144000"/>
    <n v="1080000"/>
    <n v="864000"/>
    <n v="216000"/>
  </r>
  <r>
    <s v="ID_831"/>
    <d v="2025-02-02T00:00:00"/>
    <x v="2"/>
    <x v="2"/>
    <x v="2"/>
    <s v="Corporate"/>
    <s v="Online"/>
    <x v="3"/>
    <x v="2"/>
    <n v="300000"/>
    <n v="8"/>
    <x v="3"/>
    <n v="240000"/>
    <n v="2400000"/>
    <n v="1920000"/>
    <n v="480000"/>
  </r>
  <r>
    <s v="ID_1475"/>
    <d v="2025-02-24T00:00:00"/>
    <x v="2"/>
    <x v="0"/>
    <x v="0"/>
    <s v="Retail"/>
    <s v="Store"/>
    <x v="5"/>
    <x v="0"/>
    <n v="320000"/>
    <n v="10"/>
    <x v="0"/>
    <n v="256000"/>
    <n v="3200000"/>
    <n v="2560000"/>
    <n v="640000"/>
  </r>
  <r>
    <s v="ID_898"/>
    <d v="2025-03-29T00:00:00"/>
    <x v="3"/>
    <x v="0"/>
    <x v="1"/>
    <s v="Retail"/>
    <s v="Store"/>
    <x v="1"/>
    <x v="1"/>
    <n v="30000"/>
    <n v="1"/>
    <x v="0"/>
    <n v="24000"/>
    <n v="30000"/>
    <n v="24000"/>
    <n v="6000"/>
  </r>
  <r>
    <s v="ID_457"/>
    <d v="2025-01-07T00:00:00"/>
    <x v="0"/>
    <x v="1"/>
    <x v="1"/>
    <s v="Corporate"/>
    <s v="Store"/>
    <x v="0"/>
    <x v="0"/>
    <n v="85000"/>
    <n v="2"/>
    <x v="3"/>
    <n v="68000"/>
    <n v="170000"/>
    <n v="136000"/>
    <n v="34000"/>
  </r>
  <r>
    <s v="ID_1003"/>
    <d v="2025-04-25T00:00:00"/>
    <x v="1"/>
    <x v="0"/>
    <x v="0"/>
    <s v="Corporate"/>
    <s v="Online"/>
    <x v="0"/>
    <x v="0"/>
    <n v="85000"/>
    <n v="5"/>
    <x v="4"/>
    <n v="68000"/>
    <n v="425000"/>
    <n v="340000"/>
    <n v="85000"/>
  </r>
  <r>
    <s v="ID_692"/>
    <d v="2025-02-01T00:00:00"/>
    <x v="2"/>
    <x v="2"/>
    <x v="0"/>
    <s v="Retail"/>
    <s v="Store"/>
    <x v="8"/>
    <x v="2"/>
    <n v="250000"/>
    <n v="8"/>
    <x v="4"/>
    <n v="200000"/>
    <n v="2000000"/>
    <n v="1600000"/>
    <n v="400000"/>
  </r>
  <r>
    <s v="ID_512"/>
    <d v="2025-02-05T00:00:00"/>
    <x v="2"/>
    <x v="3"/>
    <x v="2"/>
    <s v="Corporate"/>
    <s v="Online"/>
    <x v="3"/>
    <x v="2"/>
    <n v="300000"/>
    <n v="8"/>
    <x v="3"/>
    <n v="240000"/>
    <n v="2400000"/>
    <n v="1920000"/>
    <n v="480000"/>
  </r>
  <r>
    <s v="ID_584"/>
    <d v="2025-04-19T00:00:00"/>
    <x v="1"/>
    <x v="0"/>
    <x v="1"/>
    <s v="Corporate"/>
    <s v="Store"/>
    <x v="4"/>
    <x v="1"/>
    <n v="180000"/>
    <n v="9"/>
    <x v="2"/>
    <n v="144000"/>
    <n v="1620000"/>
    <n v="1296000"/>
    <n v="324000"/>
  </r>
  <r>
    <s v="ID_686"/>
    <d v="2025-04-18T00:00:00"/>
    <x v="1"/>
    <x v="3"/>
    <x v="3"/>
    <s v="Corporate"/>
    <s v="Online"/>
    <x v="2"/>
    <x v="1"/>
    <n v="60000"/>
    <n v="4"/>
    <x v="3"/>
    <n v="48000"/>
    <n v="240000"/>
    <n v="192000"/>
    <n v="48000"/>
  </r>
  <r>
    <s v="ID_1350"/>
    <d v="2025-01-22T00:00:00"/>
    <x v="0"/>
    <x v="2"/>
    <x v="0"/>
    <s v="Retail"/>
    <s v="Store"/>
    <x v="2"/>
    <x v="1"/>
    <n v="60000"/>
    <n v="3"/>
    <x v="3"/>
    <n v="48000"/>
    <n v="180000"/>
    <n v="144000"/>
    <n v="36000"/>
  </r>
  <r>
    <s v="ID_923"/>
    <d v="2025-04-16T00:00:00"/>
    <x v="1"/>
    <x v="2"/>
    <x v="0"/>
    <s v="Retail"/>
    <s v="Online"/>
    <x v="9"/>
    <x v="1"/>
    <n v="220000"/>
    <n v="6"/>
    <x v="4"/>
    <n v="176000"/>
    <n v="1320000"/>
    <n v="1056000"/>
    <n v="264000"/>
  </r>
  <r>
    <s v="ID_1315"/>
    <d v="2025-03-09T00:00:00"/>
    <x v="3"/>
    <x v="1"/>
    <x v="2"/>
    <s v="Retail"/>
    <s v="Store"/>
    <x v="5"/>
    <x v="0"/>
    <n v="320000"/>
    <n v="9"/>
    <x v="3"/>
    <n v="256000"/>
    <n v="2880000"/>
    <n v="2304000"/>
    <n v="576000"/>
  </r>
  <r>
    <s v="ID_803"/>
    <d v="2025-01-19T00:00:00"/>
    <x v="0"/>
    <x v="2"/>
    <x v="2"/>
    <s v="Retail"/>
    <s v="Store"/>
    <x v="7"/>
    <x v="2"/>
    <n v="420000"/>
    <n v="3"/>
    <x v="1"/>
    <n v="336000"/>
    <n v="1260000"/>
    <n v="1008000"/>
    <n v="252000"/>
  </r>
  <r>
    <s v="ID_859"/>
    <d v="2025-04-28T00:00:00"/>
    <x v="1"/>
    <x v="1"/>
    <x v="3"/>
    <s v="Corporate"/>
    <s v="Store"/>
    <x v="4"/>
    <x v="1"/>
    <n v="180000"/>
    <n v="9"/>
    <x v="0"/>
    <n v="144000"/>
    <n v="1620000"/>
    <n v="1296000"/>
    <n v="324000"/>
  </r>
  <r>
    <s v="ID_1647"/>
    <d v="2025-03-22T00:00:00"/>
    <x v="3"/>
    <x v="2"/>
    <x v="3"/>
    <s v="Corporate"/>
    <s v="Store"/>
    <x v="2"/>
    <x v="1"/>
    <n v="60000"/>
    <n v="1"/>
    <x v="0"/>
    <n v="48000"/>
    <n v="60000"/>
    <n v="48000"/>
    <n v="12000"/>
  </r>
  <r>
    <s v="ID_1227"/>
    <d v="2025-03-13T00:00:00"/>
    <x v="3"/>
    <x v="0"/>
    <x v="2"/>
    <s v="Corporate"/>
    <s v="Store"/>
    <x v="8"/>
    <x v="2"/>
    <n v="250000"/>
    <n v="5"/>
    <x v="3"/>
    <n v="200000"/>
    <n v="1250000"/>
    <n v="1000000"/>
    <n v="250000"/>
  </r>
  <r>
    <s v="ID_1847"/>
    <d v="2025-04-25T00:00:00"/>
    <x v="1"/>
    <x v="0"/>
    <x v="0"/>
    <s v="Corporate"/>
    <s v="Store"/>
    <x v="1"/>
    <x v="1"/>
    <n v="30000"/>
    <n v="8"/>
    <x v="0"/>
    <n v="24000"/>
    <n v="240000"/>
    <n v="192000"/>
    <n v="48000"/>
  </r>
  <r>
    <s v="ID_1801"/>
    <d v="2025-02-01T00:00:00"/>
    <x v="2"/>
    <x v="3"/>
    <x v="0"/>
    <s v="Retail"/>
    <s v="Online"/>
    <x v="4"/>
    <x v="1"/>
    <n v="180000"/>
    <n v="6"/>
    <x v="0"/>
    <n v="144000"/>
    <n v="1080000"/>
    <n v="864000"/>
    <n v="216000"/>
  </r>
  <r>
    <s v="ID_685"/>
    <d v="2025-04-28T00:00:00"/>
    <x v="1"/>
    <x v="1"/>
    <x v="2"/>
    <s v="Retail"/>
    <s v="Store"/>
    <x v="2"/>
    <x v="1"/>
    <n v="60000"/>
    <n v="1"/>
    <x v="2"/>
    <n v="48000"/>
    <n v="60000"/>
    <n v="48000"/>
    <n v="12000"/>
  </r>
  <r>
    <s v="ID_2095"/>
    <d v="2025-04-27T00:00:00"/>
    <x v="1"/>
    <x v="1"/>
    <x v="2"/>
    <s v="Retail"/>
    <s v="Online"/>
    <x v="6"/>
    <x v="2"/>
    <n v="150000"/>
    <n v="5"/>
    <x v="5"/>
    <n v="120000"/>
    <n v="750000"/>
    <n v="600000"/>
    <n v="150000"/>
  </r>
  <r>
    <s v="ID_1969"/>
    <d v="2025-03-12T00:00:00"/>
    <x v="3"/>
    <x v="3"/>
    <x v="1"/>
    <s v="Corporate"/>
    <s v="Store"/>
    <x v="0"/>
    <x v="0"/>
    <n v="85000"/>
    <n v="1"/>
    <x v="5"/>
    <n v="68000"/>
    <n v="85000"/>
    <n v="68000"/>
    <n v="17000"/>
  </r>
  <r>
    <s v="ID_938"/>
    <d v="2025-01-20T00:00:00"/>
    <x v="0"/>
    <x v="2"/>
    <x v="1"/>
    <s v="Corporate"/>
    <s v="Store"/>
    <x v="6"/>
    <x v="2"/>
    <n v="150000"/>
    <n v="7"/>
    <x v="3"/>
    <n v="120000"/>
    <n v="1050000"/>
    <n v="840000"/>
    <n v="210000"/>
  </r>
  <r>
    <s v="ID_1795"/>
    <d v="2025-01-17T00:00:00"/>
    <x v="0"/>
    <x v="3"/>
    <x v="2"/>
    <s v="Corporate"/>
    <s v="Store"/>
    <x v="4"/>
    <x v="1"/>
    <n v="180000"/>
    <n v="4"/>
    <x v="0"/>
    <n v="144000"/>
    <n v="720000"/>
    <n v="576000"/>
    <n v="144000"/>
  </r>
  <r>
    <s v="ID_541"/>
    <d v="2025-01-15T00:00:00"/>
    <x v="0"/>
    <x v="3"/>
    <x v="2"/>
    <s v="Corporate"/>
    <s v="Store"/>
    <x v="0"/>
    <x v="0"/>
    <n v="85000"/>
    <n v="8"/>
    <x v="0"/>
    <n v="68000"/>
    <n v="680000"/>
    <n v="544000"/>
    <n v="136000"/>
  </r>
  <r>
    <s v="ID_1483"/>
    <d v="2025-03-25T00:00:00"/>
    <x v="3"/>
    <x v="3"/>
    <x v="3"/>
    <s v="Corporate"/>
    <s v="Store"/>
    <x v="5"/>
    <x v="0"/>
    <n v="320000"/>
    <n v="4"/>
    <x v="1"/>
    <n v="256000"/>
    <n v="1280000"/>
    <n v="1024000"/>
    <n v="256000"/>
  </r>
  <r>
    <s v="ID_1015"/>
    <d v="2025-03-30T00:00:00"/>
    <x v="3"/>
    <x v="0"/>
    <x v="2"/>
    <s v="Retail"/>
    <s v="Store"/>
    <x v="8"/>
    <x v="2"/>
    <n v="250000"/>
    <n v="6"/>
    <x v="3"/>
    <n v="200000"/>
    <n v="1500000"/>
    <n v="1200000"/>
    <n v="300000"/>
  </r>
  <r>
    <s v="ID_217"/>
    <d v="2025-03-20T00:00:00"/>
    <x v="3"/>
    <x v="0"/>
    <x v="2"/>
    <s v="Retail"/>
    <s v="Store"/>
    <x v="9"/>
    <x v="1"/>
    <n v="220000"/>
    <n v="5"/>
    <x v="2"/>
    <n v="176000"/>
    <n v="1100000"/>
    <n v="880000"/>
    <n v="220000"/>
  </r>
  <r>
    <s v="ID_533"/>
    <d v="2025-02-18T00:00:00"/>
    <x v="2"/>
    <x v="2"/>
    <x v="1"/>
    <s v="Corporate"/>
    <s v="Store"/>
    <x v="3"/>
    <x v="2"/>
    <n v="300000"/>
    <n v="8"/>
    <x v="4"/>
    <n v="240000"/>
    <n v="2400000"/>
    <n v="1920000"/>
    <n v="480000"/>
  </r>
  <r>
    <s v="ID_527"/>
    <d v="2025-03-28T00:00:00"/>
    <x v="3"/>
    <x v="2"/>
    <x v="3"/>
    <s v="Retail"/>
    <s v="Store"/>
    <x v="2"/>
    <x v="1"/>
    <n v="60000"/>
    <n v="10"/>
    <x v="2"/>
    <n v="48000"/>
    <n v="600000"/>
    <n v="480000"/>
    <n v="120000"/>
  </r>
  <r>
    <s v="ID_651"/>
    <d v="2025-01-06T00:00:00"/>
    <x v="0"/>
    <x v="2"/>
    <x v="1"/>
    <s v="Retail"/>
    <s v="Store"/>
    <x v="4"/>
    <x v="1"/>
    <n v="180000"/>
    <n v="6"/>
    <x v="5"/>
    <n v="144000"/>
    <n v="1080000"/>
    <n v="864000"/>
    <n v="216000"/>
  </r>
  <r>
    <s v="ID_315"/>
    <d v="2025-04-20T00:00:00"/>
    <x v="1"/>
    <x v="2"/>
    <x v="2"/>
    <s v="Corporate"/>
    <s v="Store"/>
    <x v="2"/>
    <x v="1"/>
    <n v="60000"/>
    <n v="3"/>
    <x v="4"/>
    <n v="48000"/>
    <n v="180000"/>
    <n v="144000"/>
    <n v="36000"/>
  </r>
  <r>
    <s v="ID_1376"/>
    <d v="2025-01-29T00:00:00"/>
    <x v="0"/>
    <x v="2"/>
    <x v="2"/>
    <s v="Retail"/>
    <s v="Store"/>
    <x v="1"/>
    <x v="1"/>
    <n v="30000"/>
    <n v="4"/>
    <x v="1"/>
    <n v="24000"/>
    <n v="120000"/>
    <n v="96000"/>
    <n v="24000"/>
  </r>
  <r>
    <s v="ID_1303"/>
    <d v="2025-04-08T00:00:00"/>
    <x v="1"/>
    <x v="1"/>
    <x v="0"/>
    <s v="Corporate"/>
    <s v="Store"/>
    <x v="2"/>
    <x v="1"/>
    <n v="60000"/>
    <n v="4"/>
    <x v="4"/>
    <n v="48000"/>
    <n v="240000"/>
    <n v="192000"/>
    <n v="48000"/>
  </r>
  <r>
    <s v="ID_601"/>
    <d v="2025-03-02T00:00:00"/>
    <x v="3"/>
    <x v="0"/>
    <x v="2"/>
    <s v="Corporate"/>
    <s v="Store"/>
    <x v="4"/>
    <x v="1"/>
    <n v="180000"/>
    <n v="5"/>
    <x v="2"/>
    <n v="144000"/>
    <n v="900000"/>
    <n v="720000"/>
    <n v="180000"/>
  </r>
  <r>
    <s v="ID_1554"/>
    <d v="2025-01-27T00:00:00"/>
    <x v="0"/>
    <x v="3"/>
    <x v="0"/>
    <s v="Retail"/>
    <s v="Store"/>
    <x v="0"/>
    <x v="0"/>
    <n v="85000"/>
    <n v="9"/>
    <x v="1"/>
    <n v="68000"/>
    <n v="765000"/>
    <n v="612000"/>
    <n v="153000"/>
  </r>
  <r>
    <s v="ID_2014"/>
    <d v="2025-03-30T00:00:00"/>
    <x v="3"/>
    <x v="0"/>
    <x v="3"/>
    <s v="Retail"/>
    <s v="Store"/>
    <x v="0"/>
    <x v="0"/>
    <n v="85000"/>
    <n v="9"/>
    <x v="4"/>
    <n v="68000"/>
    <n v="765000"/>
    <n v="612000"/>
    <n v="153000"/>
  </r>
  <r>
    <s v="ID_552"/>
    <d v="2025-01-31T00:00:00"/>
    <x v="0"/>
    <x v="3"/>
    <x v="0"/>
    <s v="Corporate"/>
    <s v="Store"/>
    <x v="4"/>
    <x v="1"/>
    <n v="180000"/>
    <n v="8"/>
    <x v="5"/>
    <n v="144000"/>
    <n v="1440000"/>
    <n v="1152000"/>
    <n v="288000"/>
  </r>
  <r>
    <s v="ID_142"/>
    <d v="2025-01-10T00:00:00"/>
    <x v="0"/>
    <x v="3"/>
    <x v="1"/>
    <s v="Corporate"/>
    <s v="Store"/>
    <x v="6"/>
    <x v="2"/>
    <n v="150000"/>
    <n v="2"/>
    <x v="5"/>
    <n v="120000"/>
    <n v="300000"/>
    <n v="240000"/>
    <n v="60000"/>
  </r>
  <r>
    <s v="ID_410"/>
    <d v="2025-01-06T00:00:00"/>
    <x v="0"/>
    <x v="1"/>
    <x v="2"/>
    <s v="Corporate"/>
    <s v="Store"/>
    <x v="1"/>
    <x v="1"/>
    <n v="30000"/>
    <n v="3"/>
    <x v="0"/>
    <n v="24000"/>
    <n v="90000"/>
    <n v="72000"/>
    <n v="18000"/>
  </r>
  <r>
    <s v="ID_624"/>
    <d v="2025-03-30T00:00:00"/>
    <x v="3"/>
    <x v="3"/>
    <x v="0"/>
    <s v="Corporate"/>
    <s v="Store"/>
    <x v="1"/>
    <x v="1"/>
    <n v="30000"/>
    <n v="5"/>
    <x v="1"/>
    <n v="24000"/>
    <n v="150000"/>
    <n v="120000"/>
    <n v="30000"/>
  </r>
  <r>
    <s v="ID_395"/>
    <d v="2025-04-25T00:00:00"/>
    <x v="1"/>
    <x v="1"/>
    <x v="1"/>
    <s v="Corporate"/>
    <s v="Store"/>
    <x v="1"/>
    <x v="1"/>
    <n v="30000"/>
    <n v="7"/>
    <x v="5"/>
    <n v="24000"/>
    <n v="210000"/>
    <n v="168000"/>
    <n v="42000"/>
  </r>
  <r>
    <s v="ID_1583"/>
    <d v="2025-04-08T00:00:00"/>
    <x v="1"/>
    <x v="1"/>
    <x v="0"/>
    <s v="Retail"/>
    <s v="Store"/>
    <x v="4"/>
    <x v="1"/>
    <n v="180000"/>
    <n v="4"/>
    <x v="0"/>
    <n v="144000"/>
    <n v="720000"/>
    <n v="576000"/>
    <n v="144000"/>
  </r>
  <r>
    <s v="ID_638"/>
    <d v="2025-02-07T00:00:00"/>
    <x v="2"/>
    <x v="1"/>
    <x v="0"/>
    <s v="Corporate"/>
    <s v="Store"/>
    <x v="4"/>
    <x v="1"/>
    <n v="180000"/>
    <n v="1"/>
    <x v="3"/>
    <n v="144000"/>
    <n v="180000"/>
    <n v="144000"/>
    <n v="36000"/>
  </r>
  <r>
    <s v="ID_1848"/>
    <d v="2025-03-21T00:00:00"/>
    <x v="3"/>
    <x v="2"/>
    <x v="1"/>
    <s v="Retail"/>
    <s v="Store"/>
    <x v="2"/>
    <x v="1"/>
    <n v="60000"/>
    <n v="10"/>
    <x v="4"/>
    <n v="48000"/>
    <n v="600000"/>
    <n v="480000"/>
    <n v="120000"/>
  </r>
  <r>
    <s v="ID_1585"/>
    <d v="2025-03-03T00:00:00"/>
    <x v="3"/>
    <x v="3"/>
    <x v="1"/>
    <s v="Retail"/>
    <s v="Store"/>
    <x v="8"/>
    <x v="2"/>
    <n v="250000"/>
    <n v="8"/>
    <x v="2"/>
    <n v="200000"/>
    <n v="2000000"/>
    <n v="1600000"/>
    <n v="400000"/>
  </r>
  <r>
    <s v="ID_1071"/>
    <d v="2025-01-16T00:00:00"/>
    <x v="0"/>
    <x v="3"/>
    <x v="2"/>
    <s v="Retail"/>
    <s v="Store"/>
    <x v="1"/>
    <x v="1"/>
    <n v="30000"/>
    <n v="8"/>
    <x v="4"/>
    <n v="24000"/>
    <n v="240000"/>
    <n v="192000"/>
    <n v="48000"/>
  </r>
  <r>
    <s v="ID_2062"/>
    <d v="2025-03-26T00:00:00"/>
    <x v="3"/>
    <x v="3"/>
    <x v="0"/>
    <s v="Corporate"/>
    <s v="Online"/>
    <x v="4"/>
    <x v="1"/>
    <n v="180000"/>
    <n v="4"/>
    <x v="2"/>
    <n v="144000"/>
    <n v="720000"/>
    <n v="576000"/>
    <n v="144000"/>
  </r>
  <r>
    <s v="ID_617"/>
    <d v="2025-02-07T00:00:00"/>
    <x v="2"/>
    <x v="1"/>
    <x v="1"/>
    <s v="Corporate"/>
    <s v="Online"/>
    <x v="6"/>
    <x v="2"/>
    <n v="150000"/>
    <n v="1"/>
    <x v="2"/>
    <n v="120000"/>
    <n v="150000"/>
    <n v="120000"/>
    <n v="30000"/>
  </r>
  <r>
    <s v="ID_1569"/>
    <d v="2025-04-09T00:00:00"/>
    <x v="1"/>
    <x v="3"/>
    <x v="3"/>
    <s v="Retail"/>
    <s v="Store"/>
    <x v="3"/>
    <x v="2"/>
    <n v="300000"/>
    <n v="3"/>
    <x v="0"/>
    <n v="240000"/>
    <n v="900000"/>
    <n v="720000"/>
    <n v="180000"/>
  </r>
  <r>
    <s v="ID_1352"/>
    <d v="2025-04-08T00:00:00"/>
    <x v="1"/>
    <x v="0"/>
    <x v="2"/>
    <s v="Retail"/>
    <s v="Online"/>
    <x v="5"/>
    <x v="0"/>
    <n v="320000"/>
    <n v="5"/>
    <x v="0"/>
    <n v="256000"/>
    <n v="1600000"/>
    <n v="1280000"/>
    <n v="320000"/>
  </r>
  <r>
    <s v="ID_1534"/>
    <d v="2025-02-23T00:00:00"/>
    <x v="2"/>
    <x v="0"/>
    <x v="3"/>
    <s v="Corporate"/>
    <s v="Online"/>
    <x v="3"/>
    <x v="2"/>
    <n v="300000"/>
    <n v="1"/>
    <x v="1"/>
    <n v="240000"/>
    <n v="300000"/>
    <n v="240000"/>
    <n v="60000"/>
  </r>
  <r>
    <s v="ID_1561"/>
    <d v="2025-02-25T00:00:00"/>
    <x v="2"/>
    <x v="0"/>
    <x v="1"/>
    <s v="Corporate"/>
    <s v="Online"/>
    <x v="6"/>
    <x v="2"/>
    <n v="150000"/>
    <n v="4"/>
    <x v="2"/>
    <n v="120000"/>
    <n v="600000"/>
    <n v="480000"/>
    <n v="120000"/>
  </r>
  <r>
    <s v="ID_2047"/>
    <d v="2025-04-30T00:00:00"/>
    <x v="1"/>
    <x v="2"/>
    <x v="0"/>
    <s v="Corporate"/>
    <s v="Online"/>
    <x v="8"/>
    <x v="2"/>
    <n v="250000"/>
    <n v="2"/>
    <x v="3"/>
    <n v="200000"/>
    <n v="500000"/>
    <n v="400000"/>
    <n v="100000"/>
  </r>
  <r>
    <s v="ID_1702"/>
    <d v="2025-04-20T00:00:00"/>
    <x v="1"/>
    <x v="3"/>
    <x v="1"/>
    <s v="Retail"/>
    <s v="Store"/>
    <x v="8"/>
    <x v="2"/>
    <n v="250000"/>
    <n v="10"/>
    <x v="4"/>
    <n v="200000"/>
    <n v="2500000"/>
    <n v="2000000"/>
    <n v="500000"/>
  </r>
  <r>
    <s v="ID_676"/>
    <d v="2025-04-19T00:00:00"/>
    <x v="1"/>
    <x v="2"/>
    <x v="3"/>
    <s v="Corporate"/>
    <s v="Store"/>
    <x v="6"/>
    <x v="2"/>
    <n v="150000"/>
    <n v="2"/>
    <x v="0"/>
    <n v="120000"/>
    <n v="300000"/>
    <n v="240000"/>
    <n v="60000"/>
  </r>
  <r>
    <s v="ID_818"/>
    <d v="2025-03-08T00:00:00"/>
    <x v="3"/>
    <x v="2"/>
    <x v="0"/>
    <s v="Retail"/>
    <s v="Online"/>
    <x v="8"/>
    <x v="2"/>
    <n v="250000"/>
    <n v="9"/>
    <x v="3"/>
    <n v="200000"/>
    <n v="2250000"/>
    <n v="1800000"/>
    <n v="450000"/>
  </r>
  <r>
    <s v="ID_315"/>
    <d v="2025-02-05T00:00:00"/>
    <x v="2"/>
    <x v="2"/>
    <x v="0"/>
    <s v="Retail"/>
    <s v="Online"/>
    <x v="5"/>
    <x v="0"/>
    <n v="320000"/>
    <n v="4"/>
    <x v="1"/>
    <n v="256000"/>
    <n v="1280000"/>
    <n v="1024000"/>
    <n v="25600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C4D3F8EA-56E8-4CAF-931C-5F13F7DA472C}" name="PivotTable3"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9">
  <location ref="A15:B21" firstHeaderRow="1" firstDataRow="1" firstDataCol="1"/>
  <pivotFields count="16">
    <pivotField showAll="0"/>
    <pivotField showAll="0"/>
    <pivotField showAll="0"/>
    <pivotField showAll="0">
      <items count="5">
        <item x="1"/>
        <item x="3"/>
        <item x="2"/>
        <item x="0"/>
        <item t="default"/>
      </items>
    </pivotField>
    <pivotField showAll="0"/>
    <pivotField showAll="0"/>
    <pivotField showAll="0"/>
    <pivotField showAll="0"/>
    <pivotField showAll="0">
      <items count="4">
        <item x="2"/>
        <item x="0"/>
        <item x="1"/>
        <item t="default"/>
      </items>
    </pivotField>
    <pivotField numFmtId="164" showAll="0"/>
    <pivotField showAll="0"/>
    <pivotField axis="axisRow" showAll="0" sortType="descending">
      <items count="7">
        <item x="4"/>
        <item x="0"/>
        <item x="1"/>
        <item x="5"/>
        <item x="2"/>
        <item x="3"/>
        <item t="default"/>
      </items>
      <autoSortScope>
        <pivotArea dataOnly="0" outline="0" fieldPosition="0">
          <references count="1">
            <reference field="4294967294" count="1" selected="0">
              <x v="0"/>
            </reference>
          </references>
        </pivotArea>
      </autoSortScope>
    </pivotField>
    <pivotField numFmtId="164" showAll="0"/>
    <pivotField dataField="1" numFmtId="164" showAll="0"/>
    <pivotField numFmtId="164" showAll="0"/>
    <pivotField numFmtId="164" showAll="0"/>
  </pivotFields>
  <rowFields count="1">
    <field x="11"/>
  </rowFields>
  <rowItems count="6">
    <i>
      <x v="5"/>
    </i>
    <i>
      <x v="4"/>
    </i>
    <i>
      <x v="2"/>
    </i>
    <i>
      <x/>
    </i>
    <i>
      <x v="1"/>
    </i>
    <i>
      <x v="3"/>
    </i>
  </rowItems>
  <colItems count="1">
    <i/>
  </colItems>
  <dataFields count="1">
    <dataField name="Sum of Revenue" fld="13" baseField="0" baseItem="0" numFmtId="165"/>
  </dataFields>
  <formats count="2">
    <format dxfId="33">
      <pivotArea outline="0" collapsedLevelsAreSubtotals="1" fieldPosition="0"/>
    </format>
    <format dxfId="32">
      <pivotArea dataOnly="0" labelOnly="1" outline="0" axis="axisValues" fieldPosition="0"/>
    </format>
  </formats>
  <chartFormats count="2">
    <chartFormat chart="1" format="0" series="1">
      <pivotArea type="data" outline="0" fieldPosition="0">
        <references count="1">
          <reference field="4294967294" count="1" selected="0">
            <x v="0"/>
          </reference>
        </references>
      </pivotArea>
    </chartFormat>
    <chartFormat chart="6" format="2" series="1">
      <pivotArea type="data" outline="0" fieldPosition="0">
        <references count="1">
          <reference field="4294967294" count="1" selected="0">
            <x v="0"/>
          </reference>
        </references>
      </pivotArea>
    </chartFormat>
  </chartFormats>
  <pivotTableStyleInfo name="PivotTable Style 5"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AD9568EC-1DC6-4913-8EB9-8F11A498B903}" name="PivotTable5"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19">
  <location ref="L2:M6" firstHeaderRow="1" firstDataRow="1" firstDataCol="1"/>
  <pivotFields count="16">
    <pivotField showAll="0"/>
    <pivotField showAll="0"/>
    <pivotField showAll="0"/>
    <pivotField showAll="0" sortType="ascending">
      <items count="5">
        <item x="1"/>
        <item x="3"/>
        <item x="2"/>
        <item x="0"/>
        <item t="default"/>
      </items>
      <autoSortScope>
        <pivotArea dataOnly="0" outline="0" fieldPosition="0">
          <references count="1">
            <reference field="4294967294" count="1" selected="0">
              <x v="0"/>
            </reference>
          </references>
        </pivotArea>
      </autoSortScope>
    </pivotField>
    <pivotField axis="axisRow" showAll="0">
      <items count="5">
        <item x="3"/>
        <item x="2"/>
        <item x="1"/>
        <item x="0"/>
        <item t="default"/>
      </items>
    </pivotField>
    <pivotField showAll="0"/>
    <pivotField showAll="0"/>
    <pivotField showAll="0"/>
    <pivotField showAll="0">
      <items count="4">
        <item x="2"/>
        <item x="0"/>
        <item x="1"/>
        <item t="default"/>
      </items>
    </pivotField>
    <pivotField numFmtId="164" showAll="0"/>
    <pivotField showAll="0"/>
    <pivotField showAll="0"/>
    <pivotField numFmtId="164" showAll="0"/>
    <pivotField numFmtId="164" showAll="0"/>
    <pivotField dataField="1" numFmtId="164" showAll="0"/>
    <pivotField numFmtId="164" showAll="0"/>
  </pivotFields>
  <rowFields count="1">
    <field x="4"/>
  </rowFields>
  <rowItems count="4">
    <i>
      <x/>
    </i>
    <i>
      <x v="1"/>
    </i>
    <i>
      <x v="2"/>
    </i>
    <i>
      <x v="3"/>
    </i>
  </rowItems>
  <colItems count="1">
    <i/>
  </colItems>
  <dataFields count="1">
    <dataField name="Sum of COGS" fld="14" baseField="0" baseItem="0" numFmtId="165"/>
  </dataFields>
  <formats count="2">
    <format dxfId="35">
      <pivotArea outline="0" collapsedLevelsAreSubtotals="1" fieldPosition="0"/>
    </format>
    <format dxfId="34">
      <pivotArea dataOnly="0" labelOnly="1" outline="0" axis="axisValues" fieldPosition="0"/>
    </format>
  </formats>
  <chartFormats count="11">
    <chartFormat chart="2" format="0" series="1">
      <pivotArea type="data" outline="0" fieldPosition="0">
        <references count="1">
          <reference field="4294967294" count="1" selected="0">
            <x v="0"/>
          </reference>
        </references>
      </pivotArea>
    </chartFormat>
    <chartFormat chart="15" format="3" series="1">
      <pivotArea type="data" outline="0" fieldPosition="0">
        <references count="1">
          <reference field="4294967294" count="1" selected="0">
            <x v="0"/>
          </reference>
        </references>
      </pivotArea>
    </chartFormat>
    <chartFormat chart="17" format="8" series="1">
      <pivotArea type="data" outline="0" fieldPosition="0">
        <references count="1">
          <reference field="4294967294" count="1" selected="0">
            <x v="0"/>
          </reference>
        </references>
      </pivotArea>
    </chartFormat>
    <chartFormat chart="17" format="13">
      <pivotArea type="data" outline="0" fieldPosition="0">
        <references count="2">
          <reference field="4294967294" count="1" selected="0">
            <x v="0"/>
          </reference>
          <reference field="4" count="1" selected="0">
            <x v="0"/>
          </reference>
        </references>
      </pivotArea>
    </chartFormat>
    <chartFormat chart="17" format="14">
      <pivotArea type="data" outline="0" fieldPosition="0">
        <references count="2">
          <reference field="4294967294" count="1" selected="0">
            <x v="0"/>
          </reference>
          <reference field="4" count="1" selected="0">
            <x v="1"/>
          </reference>
        </references>
      </pivotArea>
    </chartFormat>
    <chartFormat chart="17" format="15">
      <pivotArea type="data" outline="0" fieldPosition="0">
        <references count="2">
          <reference field="4294967294" count="1" selected="0">
            <x v="0"/>
          </reference>
          <reference field="4" count="1" selected="0">
            <x v="2"/>
          </reference>
        </references>
      </pivotArea>
    </chartFormat>
    <chartFormat chart="17" format="16">
      <pivotArea type="data" outline="0" fieldPosition="0">
        <references count="2">
          <reference field="4294967294" count="1" selected="0">
            <x v="0"/>
          </reference>
          <reference field="4" count="1" selected="0">
            <x v="3"/>
          </reference>
        </references>
      </pivotArea>
    </chartFormat>
    <chartFormat chart="2" format="5">
      <pivotArea type="data" outline="0" fieldPosition="0">
        <references count="2">
          <reference field="4294967294" count="1" selected="0">
            <x v="0"/>
          </reference>
          <reference field="4" count="1" selected="0">
            <x v="0"/>
          </reference>
        </references>
      </pivotArea>
    </chartFormat>
    <chartFormat chart="2" format="6">
      <pivotArea type="data" outline="0" fieldPosition="0">
        <references count="2">
          <reference field="4294967294" count="1" selected="0">
            <x v="0"/>
          </reference>
          <reference field="4" count="1" selected="0">
            <x v="1"/>
          </reference>
        </references>
      </pivotArea>
    </chartFormat>
    <chartFormat chart="2" format="7">
      <pivotArea type="data" outline="0" fieldPosition="0">
        <references count="2">
          <reference field="4294967294" count="1" selected="0">
            <x v="0"/>
          </reference>
          <reference field="4" count="1" selected="0">
            <x v="2"/>
          </reference>
        </references>
      </pivotArea>
    </chartFormat>
    <chartFormat chart="2" format="8">
      <pivotArea type="data" outline="0" fieldPosition="0">
        <references count="2">
          <reference field="4294967294" count="1" selected="0">
            <x v="0"/>
          </reference>
          <reference field="4" count="1" selected="0">
            <x v="3"/>
          </reference>
        </references>
      </pivotArea>
    </chartFormat>
  </chartFormats>
  <pivotTableStyleInfo name="PivotTable Style 5"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10B9E485-51BC-47D6-92DA-01E4D9C41397}" name="PivotTable1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
  <location ref="J27:J28" firstHeaderRow="1" firstDataRow="1" firstDataCol="0"/>
  <pivotFields count="16">
    <pivotField dataField="1" showAll="0" countASubtotal="1" countSubtotal="1"/>
    <pivotField showAll="0"/>
    <pivotField showAll="0"/>
    <pivotField showAll="0">
      <items count="5">
        <item x="1"/>
        <item x="3"/>
        <item x="2"/>
        <item x="0"/>
        <item t="default"/>
      </items>
    </pivotField>
    <pivotField showAll="0"/>
    <pivotField showAll="0"/>
    <pivotField showAll="0"/>
    <pivotField showAll="0"/>
    <pivotField showAll="0">
      <items count="4">
        <item x="2"/>
        <item x="0"/>
        <item x="1"/>
        <item t="default"/>
      </items>
    </pivotField>
    <pivotField numFmtId="164" showAll="0"/>
    <pivotField showAll="0"/>
    <pivotField showAll="0"/>
    <pivotField numFmtId="164" showAll="0"/>
    <pivotField numFmtId="164" showAll="0"/>
    <pivotField numFmtId="164" showAll="0"/>
    <pivotField numFmtId="164" showAll="0"/>
  </pivotFields>
  <rowItems count="1">
    <i/>
  </rowItems>
  <colItems count="1">
    <i/>
  </colItems>
  <dataFields count="1">
    <dataField name="Count of Customer" fld="0" subtotal="count" baseField="0" baseItem="0" numFmtId="1"/>
  </dataFields>
  <formats count="2">
    <format dxfId="37">
      <pivotArea dataOnly="0" labelOnly="1" outline="0" axis="axisValues" fieldPosition="0"/>
    </format>
    <format dxfId="36">
      <pivotArea outline="0" collapsedLevelsAreSubtotals="1" fieldPosition="0"/>
    </format>
  </formats>
  <pivotTableStyleInfo name="PivotTable Style 5"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1126EE9F-C173-4946-AF19-7ECDAE66CC5B}" name="PivotTable7"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17">
  <location ref="L16:M21" firstHeaderRow="1" firstDataRow="1" firstDataCol="1"/>
  <pivotFields count="16">
    <pivotField showAll="0"/>
    <pivotField showAll="0"/>
    <pivotField axis="axisRow" showAll="0">
      <items count="6">
        <item x="0"/>
        <item x="2"/>
        <item x="3"/>
        <item x="1"/>
        <item x="4"/>
        <item t="default"/>
      </items>
    </pivotField>
    <pivotField showAll="0">
      <items count="5">
        <item x="1"/>
        <item x="3"/>
        <item x="2"/>
        <item x="0"/>
        <item t="default"/>
      </items>
    </pivotField>
    <pivotField showAll="0"/>
    <pivotField showAll="0"/>
    <pivotField showAll="0"/>
    <pivotField showAll="0"/>
    <pivotField showAll="0">
      <items count="4">
        <item x="2"/>
        <item x="0"/>
        <item x="1"/>
        <item t="default"/>
      </items>
    </pivotField>
    <pivotField numFmtId="164" showAll="0"/>
    <pivotField showAll="0"/>
    <pivotField showAll="0"/>
    <pivotField numFmtId="164" showAll="0"/>
    <pivotField dataField="1" numFmtId="164" showAll="0"/>
    <pivotField numFmtId="164" showAll="0"/>
    <pivotField numFmtId="164" showAll="0"/>
  </pivotFields>
  <rowFields count="1">
    <field x="2"/>
  </rowFields>
  <rowItems count="5">
    <i>
      <x/>
    </i>
    <i>
      <x v="1"/>
    </i>
    <i>
      <x v="2"/>
    </i>
    <i>
      <x v="3"/>
    </i>
    <i>
      <x v="4"/>
    </i>
  </rowItems>
  <colItems count="1">
    <i/>
  </colItems>
  <dataFields count="1">
    <dataField name="Sum of Revenue" fld="13" baseField="0" baseItem="0" numFmtId="164"/>
  </dataFields>
  <formats count="2">
    <format dxfId="39">
      <pivotArea dataOnly="0" labelOnly="1" outline="0" axis="axisValues" fieldPosition="0"/>
    </format>
    <format dxfId="38">
      <pivotArea outline="0" collapsedLevelsAreSubtotals="1" fieldPosition="0"/>
    </format>
  </formats>
  <chartFormats count="2">
    <chartFormat chart="9" format="3" series="1">
      <pivotArea type="data" outline="0" fieldPosition="0">
        <references count="1">
          <reference field="4294967294" count="1" selected="0">
            <x v="0"/>
          </reference>
        </references>
      </pivotArea>
    </chartFormat>
    <chartFormat chart="5" format="1" series="1">
      <pivotArea type="data" outline="0" fieldPosition="0">
        <references count="1">
          <reference field="4294967294" count="1" selected="0">
            <x v="0"/>
          </reference>
        </references>
      </pivotArea>
    </chartFormat>
  </chartFormats>
  <pivotTableStyleInfo name="PivotTable Style 5"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8EBD0F9E-05C4-439A-9931-E78EF21A3573}" name="PivotTable4" cacheId="0" applyNumberFormats="0" applyBorderFormats="0" applyFontFormats="0" applyPatternFormats="0" applyAlignmentFormats="0" applyWidthHeightFormats="1" dataCaption="Values" updatedVersion="8" minRefreshableVersion="3" itemPrintTitles="1" createdVersion="8" indent="0" outline="1" outlineData="1" multipleFieldFilters="0" chartFormat="2">
  <location ref="A27:A28" firstHeaderRow="1" firstDataRow="1" firstDataCol="0"/>
  <pivotFields count="16">
    <pivotField showAll="0"/>
    <pivotField showAll="0"/>
    <pivotField showAll="0"/>
    <pivotField showAll="0">
      <items count="5">
        <item x="1"/>
        <item x="3"/>
        <item x="2"/>
        <item x="0"/>
        <item t="default"/>
      </items>
    </pivotField>
    <pivotField showAll="0"/>
    <pivotField showAll="0"/>
    <pivotField showAll="0"/>
    <pivotField showAll="0"/>
    <pivotField showAll="0">
      <items count="4">
        <item x="2"/>
        <item x="0"/>
        <item x="1"/>
        <item t="default"/>
      </items>
    </pivotField>
    <pivotField numFmtId="164" showAll="0"/>
    <pivotField showAll="0"/>
    <pivotField showAll="0"/>
    <pivotField numFmtId="164" showAll="0"/>
    <pivotField dataField="1" numFmtId="164" showAll="0"/>
    <pivotField numFmtId="164" showAll="0"/>
    <pivotField numFmtId="164" showAll="0"/>
  </pivotFields>
  <rowItems count="1">
    <i/>
  </rowItems>
  <colItems count="1">
    <i/>
  </colItems>
  <dataFields count="1">
    <dataField name="Sum of Revenue" fld="13" baseField="0" baseItem="0" numFmtId="165"/>
  </dataFields>
  <formats count="1">
    <format dxfId="40">
      <pivotArea outline="0" collapsedLevelsAreSubtotals="1" fieldPosition="0"/>
    </format>
  </formats>
  <pivotTableStyleInfo name="PivotTable Style 5"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52173FFC-CAF0-45D9-94CE-02B860270226}" name="PivotTable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
  <location ref="D27:D28" firstHeaderRow="1" firstDataRow="1" firstDataCol="0"/>
  <pivotFields count="16">
    <pivotField showAll="0"/>
    <pivotField showAll="0"/>
    <pivotField showAll="0"/>
    <pivotField showAll="0">
      <items count="5">
        <item x="1"/>
        <item x="3"/>
        <item x="2"/>
        <item x="0"/>
        <item t="default"/>
      </items>
    </pivotField>
    <pivotField showAll="0"/>
    <pivotField showAll="0"/>
    <pivotField showAll="0"/>
    <pivotField showAll="0"/>
    <pivotField showAll="0">
      <items count="4">
        <item x="2"/>
        <item x="0"/>
        <item x="1"/>
        <item t="default"/>
      </items>
    </pivotField>
    <pivotField numFmtId="164" showAll="0"/>
    <pivotField showAll="0"/>
    <pivotField showAll="0"/>
    <pivotField numFmtId="164" showAll="0"/>
    <pivotField numFmtId="164" showAll="0"/>
    <pivotField dataField="1" numFmtId="164" showAll="0"/>
    <pivotField numFmtId="164" showAll="0"/>
  </pivotFields>
  <rowItems count="1">
    <i/>
  </rowItems>
  <colItems count="1">
    <i/>
  </colItems>
  <dataFields count="1">
    <dataField name="Sum of COGS" fld="14" baseField="0" baseItem="0" numFmtId="164"/>
  </dataFields>
  <pivotTableStyleInfo name="PivotTable Style 5"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AA33230C-354A-4648-8A4C-1A6760C3C6AC}" name="PivotTable9"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
  <location ref="G27:G28" firstHeaderRow="1" firstDataRow="1" firstDataCol="0"/>
  <pivotFields count="16">
    <pivotField showAll="0"/>
    <pivotField showAll="0"/>
    <pivotField showAll="0"/>
    <pivotField showAll="0">
      <items count="5">
        <item x="1"/>
        <item x="3"/>
        <item x="2"/>
        <item x="0"/>
        <item t="default"/>
      </items>
    </pivotField>
    <pivotField showAll="0"/>
    <pivotField showAll="0"/>
    <pivotField showAll="0"/>
    <pivotField showAll="0"/>
    <pivotField showAll="0">
      <items count="4">
        <item x="2"/>
        <item x="0"/>
        <item x="1"/>
        <item t="default"/>
      </items>
    </pivotField>
    <pivotField numFmtId="164" showAll="0"/>
    <pivotField showAll="0"/>
    <pivotField showAll="0"/>
    <pivotField numFmtId="164" showAll="0"/>
    <pivotField numFmtId="164" showAll="0"/>
    <pivotField numFmtId="164" showAll="0"/>
    <pivotField dataField="1" numFmtId="164" showAll="0"/>
  </pivotFields>
  <rowItems count="1">
    <i/>
  </rowItems>
  <colItems count="1">
    <i/>
  </colItems>
  <dataFields count="1">
    <dataField name="Sum of Profit" fld="15" baseField="0" baseItem="0" numFmtId="164"/>
  </dataFields>
  <formats count="2">
    <format dxfId="42">
      <pivotArea outline="0" collapsedLevelsAreSubtotals="1" fieldPosition="0"/>
    </format>
    <format dxfId="41">
      <pivotArea dataOnly="0" labelOnly="1" outline="0" axis="axisValues" fieldPosition="0"/>
    </format>
  </formats>
  <pivotTableStyleInfo name="PivotTable Style 5"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C2F141BF-0B48-46A6-A9A4-9B987146483F}" name="PivotTable1"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13">
  <location ref="A1:B11" firstHeaderRow="1" firstDataRow="1" firstDataCol="1"/>
  <pivotFields count="16">
    <pivotField showAll="0"/>
    <pivotField showAll="0"/>
    <pivotField showAll="0"/>
    <pivotField showAll="0">
      <items count="5">
        <item x="1"/>
        <item x="3"/>
        <item x="2"/>
        <item x="0"/>
        <item t="default"/>
      </items>
    </pivotField>
    <pivotField showAll="0"/>
    <pivotField showAll="0"/>
    <pivotField showAll="0"/>
    <pivotField axis="axisRow" showAll="0" sortType="descending">
      <items count="11">
        <item x="4"/>
        <item x="1"/>
        <item x="3"/>
        <item x="7"/>
        <item x="2"/>
        <item x="0"/>
        <item x="6"/>
        <item x="9"/>
        <item x="8"/>
        <item x="5"/>
        <item t="default"/>
      </items>
      <autoSortScope>
        <pivotArea dataOnly="0" outline="0" fieldPosition="0">
          <references count="1">
            <reference field="4294967294" count="1" selected="0">
              <x v="0"/>
            </reference>
          </references>
        </pivotArea>
      </autoSortScope>
    </pivotField>
    <pivotField showAll="0">
      <items count="4">
        <item x="2"/>
        <item x="0"/>
        <item x="1"/>
        <item t="default"/>
      </items>
    </pivotField>
    <pivotField numFmtId="164" showAll="0"/>
    <pivotField showAll="0"/>
    <pivotField showAll="0"/>
    <pivotField numFmtId="164" showAll="0"/>
    <pivotField numFmtId="164" showAll="0"/>
    <pivotField numFmtId="164" showAll="0"/>
    <pivotField dataField="1" numFmtId="164" showAll="0"/>
  </pivotFields>
  <rowFields count="1">
    <field x="7"/>
  </rowFields>
  <rowItems count="10">
    <i>
      <x v="3"/>
    </i>
    <i>
      <x v="9"/>
    </i>
    <i>
      <x v="2"/>
    </i>
    <i>
      <x v="8"/>
    </i>
    <i>
      <x v="7"/>
    </i>
    <i>
      <x/>
    </i>
    <i>
      <x v="6"/>
    </i>
    <i>
      <x v="5"/>
    </i>
    <i>
      <x v="4"/>
    </i>
    <i>
      <x v="1"/>
    </i>
  </rowItems>
  <colItems count="1">
    <i/>
  </colItems>
  <dataFields count="1">
    <dataField name="Sum of Profit" fld="15" baseField="0" baseItem="0" numFmtId="165"/>
  </dataFields>
  <formats count="2">
    <format dxfId="44">
      <pivotArea outline="0" collapsedLevelsAreSubtotals="1" fieldPosition="0"/>
    </format>
    <format dxfId="43">
      <pivotArea dataOnly="0" labelOnly="1" outline="0" axis="axisValues" fieldPosition="0"/>
    </format>
  </formats>
  <chartFormats count="2">
    <chartFormat chart="2" format="0" series="1">
      <pivotArea type="data" outline="0" fieldPosition="0">
        <references count="1">
          <reference field="4294967294" count="1" selected="0">
            <x v="0"/>
          </reference>
        </references>
      </pivotArea>
    </chartFormat>
    <chartFormat chart="9" format="2" series="1">
      <pivotArea type="data" outline="0" fieldPosition="0">
        <references count="1">
          <reference field="4294967294" count="1" selected="0">
            <x v="0"/>
          </reference>
        </references>
      </pivotArea>
    </chartFormat>
  </chartFormats>
  <pivotTableStyleInfo name="PivotTable Style 5"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30B72691-F7D1-4D03-9235-CC2AB659CCDB}" name="PivotTable12"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4">
  <location ref="M27:M28" firstHeaderRow="1" firstDataRow="1" firstDataCol="0"/>
  <pivotFields count="16">
    <pivotField showAll="0"/>
    <pivotField showAll="0"/>
    <pivotField showAll="0"/>
    <pivotField showAll="0">
      <items count="5">
        <item x="1"/>
        <item x="3"/>
        <item x="2"/>
        <item x="0"/>
        <item t="default"/>
      </items>
    </pivotField>
    <pivotField showAll="0"/>
    <pivotField showAll="0"/>
    <pivotField showAll="0"/>
    <pivotField showAll="0"/>
    <pivotField showAll="0">
      <items count="4">
        <item x="2"/>
        <item x="0"/>
        <item x="1"/>
        <item t="default"/>
      </items>
    </pivotField>
    <pivotField numFmtId="164" showAll="0"/>
    <pivotField dataField="1" showAll="0"/>
    <pivotField showAll="0"/>
    <pivotField numFmtId="164" showAll="0"/>
    <pivotField numFmtId="164" showAll="0"/>
    <pivotField numFmtId="164" showAll="0"/>
    <pivotField numFmtId="164" showAll="0"/>
  </pivotFields>
  <rowItems count="1">
    <i/>
  </rowItems>
  <colItems count="1">
    <i/>
  </colItems>
  <dataFields count="1">
    <dataField name="Sum of Quantity" fld="10" baseField="0" baseItem="0"/>
  </dataFields>
  <formats count="3">
    <format dxfId="47">
      <pivotArea type="all" dataOnly="0" outline="0" fieldPosition="0"/>
    </format>
    <format dxfId="46">
      <pivotArea outline="0" collapsedLevelsAreSubtotals="1" fieldPosition="0"/>
    </format>
    <format dxfId="45">
      <pivotArea dataOnly="0" labelOnly="1" outline="0" axis="axisValues" fieldPosition="0"/>
    </format>
  </formats>
  <pivotTableStyleInfo name="PivotTable Style 5"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1" xr10:uid="{9197362D-BDD9-4970-9680-1BC8E9FAB9D9}" sourceName="Region">
  <pivotTables>
    <pivotTable tabId="12" name="PivotTable1"/>
    <pivotTable tabId="12" name="PivotTable3"/>
    <pivotTable tabId="12" name="PivotTable5"/>
    <pivotTable tabId="12" name="PivotTable7"/>
    <pivotTable tabId="12" name="PivotTable4"/>
    <pivotTable tabId="12" name="PivotTable6"/>
    <pivotTable tabId="12" name="PivotTable9"/>
    <pivotTable tabId="12" name="PivotTable11"/>
    <pivotTable tabId="12" name="PivotTable12"/>
  </pivotTables>
  <data>
    <tabular pivotCacheId="838720209">
      <items count="4">
        <i x="1" s="1"/>
        <i x="3" s="1"/>
        <i x="2" s="1"/>
        <i x="0"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B0FE6483-8703-4F05-A41B-DE11C8E38C5E}" sourceName="Category">
  <pivotTables>
    <pivotTable tabId="12" name="PivotTable1"/>
    <pivotTable tabId="12" name="PivotTable3"/>
    <pivotTable tabId="12" name="PivotTable5"/>
    <pivotTable tabId="12" name="PivotTable7"/>
    <pivotTable tabId="12" name="PivotTable4"/>
    <pivotTable tabId="12" name="PivotTable6"/>
    <pivotTable tabId="12" name="PivotTable9"/>
    <pivotTable tabId="12" name="PivotTable11"/>
    <pivotTable tabId="12" name="PivotTable12"/>
  </pivotTables>
  <data>
    <tabular pivotCacheId="838720209">
      <items count="3">
        <i x="2" s="1"/>
        <i x="0"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xr10:uid="{E1EE32BC-9924-48F7-A841-28BABF5E0DFA}" cache="Slicer_Region1" caption="Region" style="Slicer Style 2" rowHeight="304800"/>
  <slicer name="Category" xr10:uid="{8B40E8C8-240C-401C-AE7D-E8F595300A06}" cache="Slicer_Category" caption="Category" style="Slicer Style 2" rowHeight="3048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3" xr10:uid="{E01B6349-A1AA-460D-9543-0331597C03C0}" cache="Slicer_Region1" caption="Region" columnCount="4" style="Slicer Style 2" rowHeight="304800"/>
  <slicer name="Category 3" xr10:uid="{E7CD3133-3C06-40C6-8EAB-0645331AEEE6}" cache="Slicer_Category" caption="Category" columnCount="3" style="Slicer Style 2" rowHeight="3048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8796EBBA-B971-4D87-AD26-DAE6588098DD}" name="Table3" displayName="Table3" ref="A1:P2100" totalsRowCount="1" headerRowDxfId="82" dataDxfId="81" tableBorderDxfId="80" dataCellStyle="Currency">
  <autoFilter ref="A1:P2099" xr:uid="{8796EBBA-B971-4D87-AD26-DAE6588098DD}"/>
  <tableColumns count="16">
    <tableColumn id="1" xr3:uid="{1A13DA39-FBE8-403E-91A7-0DB3B81F8709}" name="Customer" totalsRowLabel="Total" dataDxfId="79" totalsRowDxfId="78">
      <calculatedColumnFormula>"ID_"&amp; RANDBETWEEN(1,2098)</calculatedColumnFormula>
    </tableColumn>
    <tableColumn id="2" xr3:uid="{4402FC03-8E1E-4F20-800C-79DAFB27A8C6}" name="Date" dataDxfId="77" totalsRowDxfId="76"/>
    <tableColumn id="3" xr3:uid="{CCDDE555-2073-4055-8A77-EDD47B2425D7}" name="Month" dataDxfId="75" totalsRowDxfId="74">
      <calculatedColumnFormula>TEXT('Working Sheet'!$B2,"mmm")</calculatedColumnFormula>
    </tableColumn>
    <tableColumn id="4" xr3:uid="{97B62A44-EA96-40D9-AC88-226B7821CEB3}" name="Region" dataDxfId="73" totalsRowDxfId="72"/>
    <tableColumn id="5" xr3:uid="{B3949D88-C1C3-401B-A924-55E9CE128B99}" name="City" dataDxfId="71" totalsRowDxfId="70"/>
    <tableColumn id="6" xr3:uid="{A7A1AF04-8406-41D4-848F-9B77D4F92717}" name="Customer Type" dataDxfId="69" totalsRowDxfId="68"/>
    <tableColumn id="7" xr3:uid="{BA6018D8-A3EE-4140-932F-F412C5EC3D77}" name="Channel" dataDxfId="67" totalsRowDxfId="66"/>
    <tableColumn id="8" xr3:uid="{E3D073FB-5EEF-4616-8311-9BA09F57D5CF}" name="Product" dataDxfId="65" totalsRowDxfId="64"/>
    <tableColumn id="9" xr3:uid="{BEA1404F-54C0-4AD2-98EC-A14295F930E7}" name="Category" dataDxfId="63" totalsRowDxfId="62"/>
    <tableColumn id="10" xr3:uid="{16B43AE8-FC0B-4DC4-9B02-3A993E3EA7FE}" name="Unit Price" dataDxfId="61" totalsRowDxfId="60" dataCellStyle="Currency" totalsRowCellStyle="Currency"/>
    <tableColumn id="11" xr3:uid="{BFA60B26-EEEB-43D8-94FF-F733B47E7C2A}" name="Quantity" dataDxfId="59" totalsRowDxfId="58"/>
    <tableColumn id="12" xr3:uid="{A168D0CC-D6AE-4344-B4E8-694EB9DE2853}" name="Sales Rep" dataDxfId="57" totalsRowDxfId="56"/>
    <tableColumn id="13" xr3:uid="{97FD746F-8AA5-4A93-A3E8-E746D6A96821}" name="Cost Price" dataDxfId="55" totalsRowDxfId="54" dataCellStyle="Currency" totalsRowCellStyle="Currency">
      <calculatedColumnFormula>J2-J2*0.2</calculatedColumnFormula>
    </tableColumn>
    <tableColumn id="14" xr3:uid="{D5F6EE9B-F1F9-41F8-92E2-7B1BAE4F9551}" name="Revenue" totalsRowFunction="sum" dataDxfId="53" totalsRowDxfId="52" dataCellStyle="Currency">
      <calculatedColumnFormula>'Working Sheet'!$J2*'Working Sheet'!$K2</calculatedColumnFormula>
    </tableColumn>
    <tableColumn id="15" xr3:uid="{4F71C612-3713-49D5-B5CE-7712953B20CD}" name="COGS" dataDxfId="51" totalsRowDxfId="50" dataCellStyle="Currency" totalsRowCellStyle="Currency">
      <calculatedColumnFormula>'Working Sheet'!$M2*'Working Sheet'!$K2</calculatedColumnFormula>
    </tableColumn>
    <tableColumn id="16" xr3:uid="{94418382-9E66-4911-A974-B6E47250DEE3}" name="Profit" totalsRowFunction="sum" dataDxfId="49" totalsRowDxfId="48" dataCellStyle="Currency" totalsRowCellStyle="Currency">
      <calculatedColumnFormula>'Working Sheet'!$N2-'Working Sheet'!$O2</calculatedColumnFormula>
    </tableColumn>
  </tableColumns>
  <tableStyleInfo name="Table Style 1" showFirstColumn="0" showLastColumn="0" showRowStripes="1" showColumnStripes="0"/>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ebextensions/_rels/taskpanes.xml.rels><?xml version="1.0" encoding="UTF-8" standalone="yes"?>
<Relationships xmlns="http://schemas.openxmlformats.org/package/2006/relationships"><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350" row="8">
    <wetp:webextensionref xmlns:r="http://schemas.openxmlformats.org/officeDocument/2006/relationships" r:id="rId1"/>
  </wetp:taskpane>
</wetp:taskpanes>
</file>

<file path=xl/webextensions/webextension1.xml><?xml version="1.0" encoding="utf-8"?>
<we:webextension xmlns:we="http://schemas.microsoft.com/office/webextensions/webextension/2010/11" id="{60BBE3A2-2AAA-450E-91F3-587B988C2EA3}">
  <we:reference id="wa200005271" version="2.6.1.0" store="en-US" storeType="OMEX"/>
  <we:alternateReferences>
    <we:reference id="WA200005271" version="2.6.1.0" store="" storeType="OMEX"/>
  </we:alternateReferences>
  <we:properties/>
  <we:bindings/>
  <we:snapshot xmlns:r="http://schemas.openxmlformats.org/officeDocument/2006/relationships"/>
  <we:extLst>
    <a:ext xmlns:a="http://schemas.openxmlformats.org/drawingml/2006/main" uri="{D87F86FE-615C-45B5-9D79-34F1136793EB}">
      <we:containsCustomFunctions/>
    </a:ext>
    <a:ext xmlns:a="http://schemas.openxmlformats.org/drawingml/2006/main" uri="{7C84B067-C214-45C3-A712-C9D94CD141B2}">
      <we:customFunctionIdList>
        <we:customFunctionIds>_xldudf_AI_TABLE</we:customFunctionIds>
        <we:customFunctionIds>_xldudf_AI_FILL</we:customFunctionIds>
        <we:customFunctionIds>_xldudf_AI_LIST</we:customFunctionIds>
        <we:customFunctionIds>_xldudf_AI_ASK</we:customFunctionIds>
        <we:customFunctionIds>_xldudf_AI_FORMAT</we:customFunctionIds>
        <we:customFunctionIds>_xldudf_AI_EXTRACT</we:customFunctionIds>
        <we:customFunctionIds>_xldudf_AI_TRANSLATE</we:customFunctionIds>
        <we:customFunctionIds>_xldudf_AI_CHOICE</we:customFunctionIds>
        <we:customFunctionIds>_xldudf_AI_WEB</we:customFunctionIds>
      </we:customFunctionIdList>
    </a:ext>
  </we:extLst>
</we:webextension>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microsoft.com/office/2007/relationships/slicer" Target="../slicers/slicer1.xml"/><Relationship Id="rId5" Type="http://schemas.openxmlformats.org/officeDocument/2006/relationships/pivotTable" Target="../pivotTables/pivotTable5.xml"/><Relationship Id="rId10" Type="http://schemas.openxmlformats.org/officeDocument/2006/relationships/drawing" Target="../drawings/drawing1.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4.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0D3221F-9CE0-41B0-B4BC-BB72A8220A76}">
  <sheetPr codeName="Sheet2"/>
  <dimension ref="A1:K2099"/>
  <sheetViews>
    <sheetView tabSelected="1" workbookViewId="0">
      <selection activeCell="L5" sqref="L5"/>
    </sheetView>
  </sheetViews>
  <sheetFormatPr defaultRowHeight="15" x14ac:dyDescent="0.25"/>
  <cols>
    <col min="1" max="1" width="11.5703125" style="10" customWidth="1"/>
  </cols>
  <sheetData>
    <row r="1" spans="1:11" x14ac:dyDescent="0.25">
      <c r="A1" s="10" t="s">
        <v>0</v>
      </c>
      <c r="B1" t="s">
        <v>1</v>
      </c>
      <c r="C1" t="s">
        <v>2</v>
      </c>
      <c r="D1" t="s">
        <v>3</v>
      </c>
      <c r="E1" t="s">
        <v>4</v>
      </c>
      <c r="F1" t="s">
        <v>5</v>
      </c>
      <c r="G1" t="s">
        <v>6</v>
      </c>
      <c r="H1" t="s">
        <v>7</v>
      </c>
      <c r="I1" t="s">
        <v>8</v>
      </c>
      <c r="J1" t="s">
        <v>9</v>
      </c>
      <c r="K1" t="s">
        <v>10</v>
      </c>
    </row>
    <row r="2" spans="1:11" x14ac:dyDescent="0.25">
      <c r="A2" s="10">
        <v>45676</v>
      </c>
      <c r="B2" t="s">
        <v>11</v>
      </c>
      <c r="C2" t="s">
        <v>12</v>
      </c>
      <c r="D2" t="s">
        <v>13</v>
      </c>
      <c r="E2" t="s">
        <v>14</v>
      </c>
      <c r="F2" t="s">
        <v>15</v>
      </c>
      <c r="G2" t="s">
        <v>16</v>
      </c>
      <c r="H2">
        <v>85000</v>
      </c>
      <c r="I2">
        <v>1</v>
      </c>
      <c r="J2" t="s">
        <v>17</v>
      </c>
      <c r="K2">
        <v>68000</v>
      </c>
    </row>
    <row r="3" spans="1:11" x14ac:dyDescent="0.25">
      <c r="A3" s="10">
        <v>45776</v>
      </c>
      <c r="B3" t="s">
        <v>18</v>
      </c>
      <c r="C3" t="s">
        <v>19</v>
      </c>
      <c r="D3" t="s">
        <v>13</v>
      </c>
      <c r="E3" t="s">
        <v>20</v>
      </c>
      <c r="F3" t="s">
        <v>21</v>
      </c>
      <c r="G3" t="s">
        <v>22</v>
      </c>
      <c r="H3">
        <v>30000</v>
      </c>
      <c r="I3">
        <v>8</v>
      </c>
      <c r="J3" t="s">
        <v>17</v>
      </c>
      <c r="K3">
        <v>24000</v>
      </c>
    </row>
    <row r="4" spans="1:11" x14ac:dyDescent="0.25">
      <c r="A4" s="10">
        <v>45715</v>
      </c>
      <c r="B4" t="s">
        <v>18</v>
      </c>
      <c r="C4" t="s">
        <v>12</v>
      </c>
      <c r="D4" t="s">
        <v>23</v>
      </c>
      <c r="E4" t="s">
        <v>14</v>
      </c>
      <c r="F4" t="s">
        <v>15</v>
      </c>
      <c r="G4" t="s">
        <v>16</v>
      </c>
      <c r="H4">
        <v>85000</v>
      </c>
      <c r="I4">
        <v>2</v>
      </c>
      <c r="J4" t="s">
        <v>24</v>
      </c>
      <c r="K4">
        <v>68000</v>
      </c>
    </row>
    <row r="5" spans="1:11" x14ac:dyDescent="0.25">
      <c r="A5" s="10">
        <v>45772</v>
      </c>
      <c r="B5" t="s">
        <v>25</v>
      </c>
      <c r="C5" t="s">
        <v>26</v>
      </c>
      <c r="D5" t="s">
        <v>13</v>
      </c>
      <c r="E5" t="s">
        <v>14</v>
      </c>
      <c r="F5" t="s">
        <v>27</v>
      </c>
      <c r="G5" t="s">
        <v>22</v>
      </c>
      <c r="H5">
        <v>60000</v>
      </c>
      <c r="I5">
        <v>2</v>
      </c>
      <c r="J5" t="s">
        <v>28</v>
      </c>
      <c r="K5">
        <v>48000</v>
      </c>
    </row>
    <row r="6" spans="1:11" x14ac:dyDescent="0.25">
      <c r="A6" s="10">
        <v>45774</v>
      </c>
      <c r="B6" t="s">
        <v>29</v>
      </c>
      <c r="C6" t="s">
        <v>26</v>
      </c>
      <c r="D6" t="s">
        <v>23</v>
      </c>
      <c r="E6" t="s">
        <v>14</v>
      </c>
      <c r="F6" t="s">
        <v>30</v>
      </c>
      <c r="G6" t="s">
        <v>31</v>
      </c>
      <c r="H6">
        <v>300000</v>
      </c>
      <c r="I6">
        <v>2</v>
      </c>
      <c r="J6" t="s">
        <v>17</v>
      </c>
      <c r="K6">
        <v>240000</v>
      </c>
    </row>
    <row r="7" spans="1:11" x14ac:dyDescent="0.25">
      <c r="A7" s="10">
        <v>45724</v>
      </c>
      <c r="B7" t="s">
        <v>25</v>
      </c>
      <c r="C7" t="s">
        <v>32</v>
      </c>
      <c r="D7" t="s">
        <v>13</v>
      </c>
      <c r="E7" t="s">
        <v>14</v>
      </c>
      <c r="F7" t="s">
        <v>33</v>
      </c>
      <c r="G7" t="s">
        <v>22</v>
      </c>
      <c r="H7">
        <v>180000</v>
      </c>
      <c r="I7">
        <v>10</v>
      </c>
      <c r="J7" t="s">
        <v>17</v>
      </c>
      <c r="K7">
        <v>144000</v>
      </c>
    </row>
    <row r="8" spans="1:11" x14ac:dyDescent="0.25">
      <c r="A8" s="10">
        <v>45725</v>
      </c>
      <c r="B8" t="s">
        <v>25</v>
      </c>
      <c r="C8" t="s">
        <v>32</v>
      </c>
      <c r="D8" t="s">
        <v>23</v>
      </c>
      <c r="E8" t="s">
        <v>14</v>
      </c>
      <c r="F8" t="s">
        <v>34</v>
      </c>
      <c r="G8" t="s">
        <v>16</v>
      </c>
      <c r="H8">
        <v>320000</v>
      </c>
      <c r="I8">
        <v>4</v>
      </c>
      <c r="J8" t="s">
        <v>28</v>
      </c>
      <c r="K8">
        <v>256000</v>
      </c>
    </row>
    <row r="9" spans="1:11" x14ac:dyDescent="0.25">
      <c r="A9" s="10">
        <v>45694</v>
      </c>
      <c r="B9" t="s">
        <v>25</v>
      </c>
      <c r="C9" t="s">
        <v>26</v>
      </c>
      <c r="D9" t="s">
        <v>13</v>
      </c>
      <c r="E9" t="s">
        <v>14</v>
      </c>
      <c r="F9" t="s">
        <v>34</v>
      </c>
      <c r="G9" t="s">
        <v>16</v>
      </c>
      <c r="H9">
        <v>320000</v>
      </c>
      <c r="I9">
        <v>1</v>
      </c>
      <c r="J9" t="s">
        <v>35</v>
      </c>
      <c r="K9">
        <v>256000</v>
      </c>
    </row>
    <row r="10" spans="1:11" x14ac:dyDescent="0.25">
      <c r="A10" s="10">
        <v>45740</v>
      </c>
      <c r="B10" t="s">
        <v>18</v>
      </c>
      <c r="C10" t="s">
        <v>19</v>
      </c>
      <c r="D10" t="s">
        <v>13</v>
      </c>
      <c r="E10" t="s">
        <v>20</v>
      </c>
      <c r="F10" t="s">
        <v>34</v>
      </c>
      <c r="G10" t="s">
        <v>16</v>
      </c>
      <c r="H10">
        <v>320000</v>
      </c>
      <c r="I10">
        <v>9</v>
      </c>
      <c r="J10" t="s">
        <v>28</v>
      </c>
      <c r="K10">
        <v>256000</v>
      </c>
    </row>
    <row r="11" spans="1:11" x14ac:dyDescent="0.25">
      <c r="A11" s="10">
        <v>45742</v>
      </c>
      <c r="B11" t="s">
        <v>25</v>
      </c>
      <c r="C11" t="s">
        <v>19</v>
      </c>
      <c r="D11" t="s">
        <v>13</v>
      </c>
      <c r="E11" t="s">
        <v>14</v>
      </c>
      <c r="F11" t="s">
        <v>34</v>
      </c>
      <c r="G11" t="s">
        <v>16</v>
      </c>
      <c r="H11">
        <v>320000</v>
      </c>
      <c r="I11">
        <v>3</v>
      </c>
      <c r="J11" t="s">
        <v>28</v>
      </c>
      <c r="K11">
        <v>256000</v>
      </c>
    </row>
    <row r="12" spans="1:11" x14ac:dyDescent="0.25">
      <c r="A12" s="10">
        <v>45681</v>
      </c>
      <c r="B12" t="s">
        <v>25</v>
      </c>
      <c r="C12" t="s">
        <v>12</v>
      </c>
      <c r="D12" t="s">
        <v>13</v>
      </c>
      <c r="E12" t="s">
        <v>14</v>
      </c>
      <c r="F12" t="s">
        <v>36</v>
      </c>
      <c r="G12" t="s">
        <v>31</v>
      </c>
      <c r="H12">
        <v>150000</v>
      </c>
      <c r="I12">
        <v>4</v>
      </c>
      <c r="J12" t="s">
        <v>35</v>
      </c>
      <c r="K12">
        <v>120000</v>
      </c>
    </row>
    <row r="13" spans="1:11" x14ac:dyDescent="0.25">
      <c r="A13" s="10">
        <v>45677</v>
      </c>
      <c r="B13" t="s">
        <v>11</v>
      </c>
      <c r="C13" t="s">
        <v>26</v>
      </c>
      <c r="D13" t="s">
        <v>23</v>
      </c>
      <c r="E13" t="s">
        <v>14</v>
      </c>
      <c r="F13" t="s">
        <v>34</v>
      </c>
      <c r="G13" t="s">
        <v>16</v>
      </c>
      <c r="H13">
        <v>320000</v>
      </c>
      <c r="I13">
        <v>7</v>
      </c>
      <c r="J13" t="s">
        <v>35</v>
      </c>
      <c r="K13">
        <v>256000</v>
      </c>
    </row>
    <row r="14" spans="1:11" x14ac:dyDescent="0.25">
      <c r="A14" s="10">
        <v>45773</v>
      </c>
      <c r="B14" t="s">
        <v>25</v>
      </c>
      <c r="C14" t="s">
        <v>12</v>
      </c>
      <c r="D14" t="s">
        <v>13</v>
      </c>
      <c r="E14" t="s">
        <v>20</v>
      </c>
      <c r="F14" t="s">
        <v>36</v>
      </c>
      <c r="G14" t="s">
        <v>31</v>
      </c>
      <c r="H14">
        <v>150000</v>
      </c>
      <c r="I14">
        <v>2</v>
      </c>
      <c r="J14" t="s">
        <v>37</v>
      </c>
      <c r="K14">
        <v>120000</v>
      </c>
    </row>
    <row r="15" spans="1:11" x14ac:dyDescent="0.25">
      <c r="A15" s="10">
        <v>45731</v>
      </c>
      <c r="B15" t="s">
        <v>11</v>
      </c>
      <c r="C15" t="s">
        <v>19</v>
      </c>
      <c r="D15" t="s">
        <v>13</v>
      </c>
      <c r="E15" t="s">
        <v>14</v>
      </c>
      <c r="F15" t="s">
        <v>38</v>
      </c>
      <c r="G15" t="s">
        <v>31</v>
      </c>
      <c r="H15">
        <v>420000</v>
      </c>
      <c r="I15">
        <v>9</v>
      </c>
      <c r="J15" t="s">
        <v>28</v>
      </c>
      <c r="K15">
        <v>336000</v>
      </c>
    </row>
    <row r="16" spans="1:11" x14ac:dyDescent="0.25">
      <c r="A16" s="10">
        <v>45733</v>
      </c>
      <c r="B16" t="s">
        <v>29</v>
      </c>
      <c r="C16" t="s">
        <v>19</v>
      </c>
      <c r="D16" t="s">
        <v>13</v>
      </c>
      <c r="E16" t="s">
        <v>14</v>
      </c>
      <c r="F16" t="s">
        <v>38</v>
      </c>
      <c r="G16" t="s">
        <v>31</v>
      </c>
      <c r="H16">
        <v>420000</v>
      </c>
      <c r="I16">
        <v>5</v>
      </c>
      <c r="J16" t="s">
        <v>39</v>
      </c>
      <c r="K16">
        <v>336000</v>
      </c>
    </row>
    <row r="17" spans="1:11" x14ac:dyDescent="0.25">
      <c r="A17" s="10">
        <v>45758</v>
      </c>
      <c r="B17" t="s">
        <v>11</v>
      </c>
      <c r="C17" t="s">
        <v>26</v>
      </c>
      <c r="D17" t="s">
        <v>23</v>
      </c>
      <c r="E17" t="s">
        <v>20</v>
      </c>
      <c r="F17" t="s">
        <v>40</v>
      </c>
      <c r="G17" t="s">
        <v>31</v>
      </c>
      <c r="H17">
        <v>250000</v>
      </c>
      <c r="I17">
        <v>4</v>
      </c>
      <c r="J17" t="s">
        <v>35</v>
      </c>
      <c r="K17">
        <v>200000</v>
      </c>
    </row>
    <row r="18" spans="1:11" x14ac:dyDescent="0.25">
      <c r="A18" s="10">
        <v>45700</v>
      </c>
      <c r="B18" t="s">
        <v>11</v>
      </c>
      <c r="C18" t="s">
        <v>19</v>
      </c>
      <c r="D18" t="s">
        <v>13</v>
      </c>
      <c r="E18" t="s">
        <v>14</v>
      </c>
      <c r="F18" t="s">
        <v>41</v>
      </c>
      <c r="G18" t="s">
        <v>22</v>
      </c>
      <c r="H18">
        <v>220000</v>
      </c>
      <c r="I18">
        <v>2</v>
      </c>
      <c r="J18" t="s">
        <v>35</v>
      </c>
      <c r="K18">
        <v>176000</v>
      </c>
    </row>
    <row r="19" spans="1:11" x14ac:dyDescent="0.25">
      <c r="A19" s="10">
        <v>45698</v>
      </c>
      <c r="B19" t="s">
        <v>18</v>
      </c>
      <c r="C19" t="s">
        <v>26</v>
      </c>
      <c r="D19" t="s">
        <v>13</v>
      </c>
      <c r="E19" t="s">
        <v>20</v>
      </c>
      <c r="F19" t="s">
        <v>36</v>
      </c>
      <c r="G19" t="s">
        <v>31</v>
      </c>
      <c r="H19">
        <v>150000</v>
      </c>
      <c r="I19">
        <v>7</v>
      </c>
      <c r="J19" t="s">
        <v>28</v>
      </c>
      <c r="K19">
        <v>120000</v>
      </c>
    </row>
    <row r="20" spans="1:11" x14ac:dyDescent="0.25">
      <c r="A20" s="10">
        <v>45719</v>
      </c>
      <c r="B20" t="s">
        <v>25</v>
      </c>
      <c r="C20" t="s">
        <v>32</v>
      </c>
      <c r="D20" t="s">
        <v>23</v>
      </c>
      <c r="E20" t="s">
        <v>20</v>
      </c>
      <c r="F20" t="s">
        <v>30</v>
      </c>
      <c r="G20" t="s">
        <v>31</v>
      </c>
      <c r="H20">
        <v>300000</v>
      </c>
      <c r="I20">
        <v>5</v>
      </c>
      <c r="J20" t="s">
        <v>35</v>
      </c>
      <c r="K20">
        <v>240000</v>
      </c>
    </row>
    <row r="21" spans="1:11" x14ac:dyDescent="0.25">
      <c r="A21" s="10">
        <v>45698</v>
      </c>
      <c r="B21" t="s">
        <v>29</v>
      </c>
      <c r="C21" t="s">
        <v>26</v>
      </c>
      <c r="D21" t="s">
        <v>13</v>
      </c>
      <c r="E21" t="s">
        <v>14</v>
      </c>
      <c r="F21" t="s">
        <v>36</v>
      </c>
      <c r="G21" t="s">
        <v>31</v>
      </c>
      <c r="H21">
        <v>150000</v>
      </c>
      <c r="I21">
        <v>4</v>
      </c>
      <c r="J21" t="s">
        <v>35</v>
      </c>
      <c r="K21">
        <v>120000</v>
      </c>
    </row>
    <row r="22" spans="1:11" x14ac:dyDescent="0.25">
      <c r="A22" s="10">
        <v>45778</v>
      </c>
      <c r="B22" t="s">
        <v>29</v>
      </c>
      <c r="C22" t="s">
        <v>26</v>
      </c>
      <c r="D22" t="s">
        <v>23</v>
      </c>
      <c r="E22" t="s">
        <v>20</v>
      </c>
      <c r="F22" t="s">
        <v>15</v>
      </c>
      <c r="G22" t="s">
        <v>16</v>
      </c>
      <c r="H22">
        <v>85000</v>
      </c>
      <c r="I22">
        <v>1</v>
      </c>
      <c r="J22" t="s">
        <v>39</v>
      </c>
      <c r="K22">
        <v>68000</v>
      </c>
    </row>
    <row r="23" spans="1:11" x14ac:dyDescent="0.25">
      <c r="A23" s="10">
        <v>45731</v>
      </c>
      <c r="B23" t="s">
        <v>18</v>
      </c>
      <c r="C23" t="s">
        <v>12</v>
      </c>
      <c r="D23" t="s">
        <v>13</v>
      </c>
      <c r="E23" t="s">
        <v>20</v>
      </c>
      <c r="F23" t="s">
        <v>15</v>
      </c>
      <c r="G23" t="s">
        <v>16</v>
      </c>
      <c r="H23">
        <v>85000</v>
      </c>
      <c r="I23">
        <v>9</v>
      </c>
      <c r="J23" t="s">
        <v>24</v>
      </c>
      <c r="K23">
        <v>68000</v>
      </c>
    </row>
    <row r="24" spans="1:11" x14ac:dyDescent="0.25">
      <c r="A24" s="10">
        <v>45751</v>
      </c>
      <c r="B24" t="s">
        <v>18</v>
      </c>
      <c r="C24" t="s">
        <v>19</v>
      </c>
      <c r="D24" t="s">
        <v>13</v>
      </c>
      <c r="E24" t="s">
        <v>20</v>
      </c>
      <c r="F24" t="s">
        <v>38</v>
      </c>
      <c r="G24" t="s">
        <v>31</v>
      </c>
      <c r="H24">
        <v>420000</v>
      </c>
      <c r="I24">
        <v>8</v>
      </c>
      <c r="J24" t="s">
        <v>39</v>
      </c>
      <c r="K24">
        <v>336000</v>
      </c>
    </row>
    <row r="25" spans="1:11" x14ac:dyDescent="0.25">
      <c r="A25" s="10">
        <v>45762</v>
      </c>
      <c r="B25" t="s">
        <v>29</v>
      </c>
      <c r="C25" t="s">
        <v>19</v>
      </c>
      <c r="D25" t="s">
        <v>23</v>
      </c>
      <c r="E25" t="s">
        <v>14</v>
      </c>
      <c r="F25" t="s">
        <v>38</v>
      </c>
      <c r="G25" t="s">
        <v>31</v>
      </c>
      <c r="H25">
        <v>420000</v>
      </c>
      <c r="I25">
        <v>10</v>
      </c>
      <c r="J25" t="s">
        <v>39</v>
      </c>
      <c r="K25">
        <v>336000</v>
      </c>
    </row>
    <row r="26" spans="1:11" x14ac:dyDescent="0.25">
      <c r="A26" s="10">
        <v>45714</v>
      </c>
      <c r="B26" t="s">
        <v>18</v>
      </c>
      <c r="C26" t="s">
        <v>12</v>
      </c>
      <c r="D26" t="s">
        <v>13</v>
      </c>
      <c r="E26" t="s">
        <v>20</v>
      </c>
      <c r="F26" t="s">
        <v>40</v>
      </c>
      <c r="G26" t="s">
        <v>31</v>
      </c>
      <c r="H26">
        <v>250000</v>
      </c>
      <c r="I26">
        <v>5</v>
      </c>
      <c r="J26" t="s">
        <v>37</v>
      </c>
      <c r="K26">
        <v>200000</v>
      </c>
    </row>
    <row r="27" spans="1:11" x14ac:dyDescent="0.25">
      <c r="A27" s="10">
        <v>45697</v>
      </c>
      <c r="B27" t="s">
        <v>29</v>
      </c>
      <c r="C27" t="s">
        <v>19</v>
      </c>
      <c r="D27" t="s">
        <v>23</v>
      </c>
      <c r="E27" t="s">
        <v>20</v>
      </c>
      <c r="F27" t="s">
        <v>41</v>
      </c>
      <c r="G27" t="s">
        <v>22</v>
      </c>
      <c r="H27">
        <v>220000</v>
      </c>
      <c r="I27">
        <v>4</v>
      </c>
      <c r="J27" t="s">
        <v>39</v>
      </c>
      <c r="K27">
        <v>176000</v>
      </c>
    </row>
    <row r="28" spans="1:11" x14ac:dyDescent="0.25">
      <c r="A28" s="10">
        <v>45746</v>
      </c>
      <c r="B28" t="s">
        <v>11</v>
      </c>
      <c r="C28" t="s">
        <v>32</v>
      </c>
      <c r="D28" t="s">
        <v>23</v>
      </c>
      <c r="E28" t="s">
        <v>14</v>
      </c>
      <c r="F28" t="s">
        <v>36</v>
      </c>
      <c r="G28" t="s">
        <v>31</v>
      </c>
      <c r="H28">
        <v>150000</v>
      </c>
      <c r="I28">
        <v>7</v>
      </c>
      <c r="J28" t="s">
        <v>28</v>
      </c>
      <c r="K28">
        <v>120000</v>
      </c>
    </row>
    <row r="29" spans="1:11" x14ac:dyDescent="0.25">
      <c r="A29" s="10">
        <v>45717</v>
      </c>
      <c r="B29" t="s">
        <v>25</v>
      </c>
      <c r="C29" t="s">
        <v>26</v>
      </c>
      <c r="D29" t="s">
        <v>13</v>
      </c>
      <c r="E29" t="s">
        <v>14</v>
      </c>
      <c r="F29" t="s">
        <v>15</v>
      </c>
      <c r="G29" t="s">
        <v>16</v>
      </c>
      <c r="H29">
        <v>85000</v>
      </c>
      <c r="I29">
        <v>3</v>
      </c>
      <c r="J29" t="s">
        <v>35</v>
      </c>
      <c r="K29">
        <v>68000</v>
      </c>
    </row>
    <row r="30" spans="1:11" x14ac:dyDescent="0.25">
      <c r="A30" s="10">
        <v>45698</v>
      </c>
      <c r="B30" t="s">
        <v>18</v>
      </c>
      <c r="C30" t="s">
        <v>12</v>
      </c>
      <c r="D30" t="s">
        <v>13</v>
      </c>
      <c r="E30" t="s">
        <v>20</v>
      </c>
      <c r="F30" t="s">
        <v>30</v>
      </c>
      <c r="G30" t="s">
        <v>31</v>
      </c>
      <c r="H30">
        <v>300000</v>
      </c>
      <c r="I30">
        <v>8</v>
      </c>
      <c r="J30" t="s">
        <v>39</v>
      </c>
      <c r="K30">
        <v>240000</v>
      </c>
    </row>
    <row r="31" spans="1:11" x14ac:dyDescent="0.25">
      <c r="A31" s="10">
        <v>45697</v>
      </c>
      <c r="B31" t="s">
        <v>11</v>
      </c>
      <c r="C31" t="s">
        <v>19</v>
      </c>
      <c r="D31" t="s">
        <v>23</v>
      </c>
      <c r="E31" t="s">
        <v>14</v>
      </c>
      <c r="F31" t="s">
        <v>41</v>
      </c>
      <c r="G31" t="s">
        <v>22</v>
      </c>
      <c r="H31">
        <v>220000</v>
      </c>
      <c r="I31">
        <v>1</v>
      </c>
      <c r="J31" t="s">
        <v>24</v>
      </c>
      <c r="K31">
        <v>176000</v>
      </c>
    </row>
    <row r="32" spans="1:11" x14ac:dyDescent="0.25">
      <c r="A32" s="10">
        <v>45671</v>
      </c>
      <c r="B32" t="s">
        <v>25</v>
      </c>
      <c r="C32" t="s">
        <v>32</v>
      </c>
      <c r="D32" t="s">
        <v>23</v>
      </c>
      <c r="E32" t="s">
        <v>14</v>
      </c>
      <c r="F32" t="s">
        <v>34</v>
      </c>
      <c r="G32" t="s">
        <v>16</v>
      </c>
      <c r="H32">
        <v>320000</v>
      </c>
      <c r="I32">
        <v>7</v>
      </c>
      <c r="J32" t="s">
        <v>39</v>
      </c>
      <c r="K32">
        <v>256000</v>
      </c>
    </row>
    <row r="33" spans="1:11" x14ac:dyDescent="0.25">
      <c r="A33" s="10">
        <v>45658</v>
      </c>
      <c r="B33" t="s">
        <v>11</v>
      </c>
      <c r="C33" t="s">
        <v>32</v>
      </c>
      <c r="D33" t="s">
        <v>13</v>
      </c>
      <c r="E33" t="s">
        <v>20</v>
      </c>
      <c r="F33" t="s">
        <v>36</v>
      </c>
      <c r="G33" t="s">
        <v>31</v>
      </c>
      <c r="H33">
        <v>150000</v>
      </c>
      <c r="I33">
        <v>1</v>
      </c>
      <c r="J33" t="s">
        <v>17</v>
      </c>
      <c r="K33">
        <v>120000</v>
      </c>
    </row>
    <row r="34" spans="1:11" x14ac:dyDescent="0.25">
      <c r="A34" s="10">
        <v>45708</v>
      </c>
      <c r="B34" t="s">
        <v>18</v>
      </c>
      <c r="C34" t="s">
        <v>26</v>
      </c>
      <c r="D34" t="s">
        <v>13</v>
      </c>
      <c r="E34" t="s">
        <v>14</v>
      </c>
      <c r="F34" t="s">
        <v>33</v>
      </c>
      <c r="G34" t="s">
        <v>22</v>
      </c>
      <c r="H34">
        <v>180000</v>
      </c>
      <c r="I34">
        <v>9</v>
      </c>
      <c r="J34" t="s">
        <v>39</v>
      </c>
      <c r="K34">
        <v>144000</v>
      </c>
    </row>
    <row r="35" spans="1:11" x14ac:dyDescent="0.25">
      <c r="A35" s="10">
        <v>45725</v>
      </c>
      <c r="B35" t="s">
        <v>25</v>
      </c>
      <c r="C35" t="s">
        <v>26</v>
      </c>
      <c r="D35" t="s">
        <v>13</v>
      </c>
      <c r="E35" t="s">
        <v>14</v>
      </c>
      <c r="F35" t="s">
        <v>34</v>
      </c>
      <c r="G35" t="s">
        <v>16</v>
      </c>
      <c r="H35">
        <v>320000</v>
      </c>
      <c r="I35">
        <v>5</v>
      </c>
      <c r="J35" t="s">
        <v>39</v>
      </c>
      <c r="K35">
        <v>256000</v>
      </c>
    </row>
    <row r="36" spans="1:11" x14ac:dyDescent="0.25">
      <c r="A36" s="10">
        <v>45697</v>
      </c>
      <c r="B36" t="s">
        <v>25</v>
      </c>
      <c r="C36" t="s">
        <v>26</v>
      </c>
      <c r="D36" t="s">
        <v>23</v>
      </c>
      <c r="E36" t="s">
        <v>20</v>
      </c>
      <c r="F36" t="s">
        <v>36</v>
      </c>
      <c r="G36" t="s">
        <v>31</v>
      </c>
      <c r="H36">
        <v>150000</v>
      </c>
      <c r="I36">
        <v>8</v>
      </c>
      <c r="J36" t="s">
        <v>37</v>
      </c>
      <c r="K36">
        <v>120000</v>
      </c>
    </row>
    <row r="37" spans="1:11" x14ac:dyDescent="0.25">
      <c r="A37" s="10">
        <v>45701</v>
      </c>
      <c r="B37" t="s">
        <v>11</v>
      </c>
      <c r="C37" t="s">
        <v>12</v>
      </c>
      <c r="D37" t="s">
        <v>23</v>
      </c>
      <c r="E37" t="s">
        <v>20</v>
      </c>
      <c r="F37" t="s">
        <v>15</v>
      </c>
      <c r="G37" t="s">
        <v>16</v>
      </c>
      <c r="H37">
        <v>85000</v>
      </c>
      <c r="I37">
        <v>7</v>
      </c>
      <c r="J37" t="s">
        <v>24</v>
      </c>
      <c r="K37">
        <v>68000</v>
      </c>
    </row>
    <row r="38" spans="1:11" x14ac:dyDescent="0.25">
      <c r="A38" s="10">
        <v>45729</v>
      </c>
      <c r="B38" t="s">
        <v>25</v>
      </c>
      <c r="C38" t="s">
        <v>32</v>
      </c>
      <c r="D38" t="s">
        <v>23</v>
      </c>
      <c r="E38" t="s">
        <v>14</v>
      </c>
      <c r="F38" t="s">
        <v>34</v>
      </c>
      <c r="G38" t="s">
        <v>16</v>
      </c>
      <c r="H38">
        <v>320000</v>
      </c>
      <c r="I38">
        <v>6</v>
      </c>
      <c r="J38" t="s">
        <v>24</v>
      </c>
      <c r="K38">
        <v>256000</v>
      </c>
    </row>
    <row r="39" spans="1:11" x14ac:dyDescent="0.25">
      <c r="A39" s="10">
        <v>45691</v>
      </c>
      <c r="B39" t="s">
        <v>11</v>
      </c>
      <c r="C39" t="s">
        <v>26</v>
      </c>
      <c r="D39" t="s">
        <v>13</v>
      </c>
      <c r="E39" t="s">
        <v>20</v>
      </c>
      <c r="F39" t="s">
        <v>38</v>
      </c>
      <c r="G39" t="s">
        <v>31</v>
      </c>
      <c r="H39">
        <v>420000</v>
      </c>
      <c r="I39">
        <v>8</v>
      </c>
      <c r="J39" t="s">
        <v>37</v>
      </c>
      <c r="K39">
        <v>336000</v>
      </c>
    </row>
    <row r="40" spans="1:11" x14ac:dyDescent="0.25">
      <c r="A40" s="10">
        <v>45692</v>
      </c>
      <c r="B40" t="s">
        <v>25</v>
      </c>
      <c r="C40" t="s">
        <v>12</v>
      </c>
      <c r="D40" t="s">
        <v>23</v>
      </c>
      <c r="E40" t="s">
        <v>14</v>
      </c>
      <c r="F40" t="s">
        <v>30</v>
      </c>
      <c r="G40" t="s">
        <v>31</v>
      </c>
      <c r="H40">
        <v>300000</v>
      </c>
      <c r="I40">
        <v>7</v>
      </c>
      <c r="J40" t="s">
        <v>35</v>
      </c>
      <c r="K40">
        <v>240000</v>
      </c>
    </row>
    <row r="41" spans="1:11" x14ac:dyDescent="0.25">
      <c r="A41" s="10">
        <v>45706</v>
      </c>
      <c r="B41" t="s">
        <v>11</v>
      </c>
      <c r="C41" t="s">
        <v>12</v>
      </c>
      <c r="D41" t="s">
        <v>13</v>
      </c>
      <c r="E41" t="s">
        <v>14</v>
      </c>
      <c r="F41" t="s">
        <v>21</v>
      </c>
      <c r="G41" t="s">
        <v>22</v>
      </c>
      <c r="H41">
        <v>30000</v>
      </c>
      <c r="I41">
        <v>6</v>
      </c>
      <c r="J41" t="s">
        <v>24</v>
      </c>
      <c r="K41">
        <v>24000</v>
      </c>
    </row>
    <row r="42" spans="1:11" x14ac:dyDescent="0.25">
      <c r="A42" s="10">
        <v>45709</v>
      </c>
      <c r="B42" t="s">
        <v>11</v>
      </c>
      <c r="C42" t="s">
        <v>12</v>
      </c>
      <c r="D42" t="s">
        <v>23</v>
      </c>
      <c r="E42" t="s">
        <v>20</v>
      </c>
      <c r="F42" t="s">
        <v>41</v>
      </c>
      <c r="G42" t="s">
        <v>22</v>
      </c>
      <c r="H42">
        <v>220000</v>
      </c>
      <c r="I42">
        <v>2</v>
      </c>
      <c r="J42" t="s">
        <v>35</v>
      </c>
      <c r="K42">
        <v>176000</v>
      </c>
    </row>
    <row r="43" spans="1:11" x14ac:dyDescent="0.25">
      <c r="A43" s="10">
        <v>45681</v>
      </c>
      <c r="B43" t="s">
        <v>11</v>
      </c>
      <c r="C43" t="s">
        <v>32</v>
      </c>
      <c r="D43" t="s">
        <v>13</v>
      </c>
      <c r="E43" t="s">
        <v>14</v>
      </c>
      <c r="F43" t="s">
        <v>36</v>
      </c>
      <c r="G43" t="s">
        <v>31</v>
      </c>
      <c r="H43">
        <v>150000</v>
      </c>
      <c r="I43">
        <v>1</v>
      </c>
      <c r="J43" t="s">
        <v>24</v>
      </c>
      <c r="K43">
        <v>120000</v>
      </c>
    </row>
    <row r="44" spans="1:11" x14ac:dyDescent="0.25">
      <c r="A44" s="10">
        <v>45685</v>
      </c>
      <c r="B44" t="s">
        <v>29</v>
      </c>
      <c r="C44" t="s">
        <v>19</v>
      </c>
      <c r="D44" t="s">
        <v>13</v>
      </c>
      <c r="E44" t="s">
        <v>20</v>
      </c>
      <c r="F44" t="s">
        <v>34</v>
      </c>
      <c r="G44" t="s">
        <v>16</v>
      </c>
      <c r="H44">
        <v>320000</v>
      </c>
      <c r="I44">
        <v>1</v>
      </c>
      <c r="J44" t="s">
        <v>39</v>
      </c>
      <c r="K44">
        <v>256000</v>
      </c>
    </row>
    <row r="45" spans="1:11" x14ac:dyDescent="0.25">
      <c r="A45" s="10">
        <v>45765</v>
      </c>
      <c r="B45" t="s">
        <v>29</v>
      </c>
      <c r="C45" t="s">
        <v>32</v>
      </c>
      <c r="D45" t="s">
        <v>23</v>
      </c>
      <c r="E45" t="s">
        <v>20</v>
      </c>
      <c r="F45" t="s">
        <v>21</v>
      </c>
      <c r="G45" t="s">
        <v>22</v>
      </c>
      <c r="H45">
        <v>30000</v>
      </c>
      <c r="I45">
        <v>3</v>
      </c>
      <c r="J45" t="s">
        <v>24</v>
      </c>
      <c r="K45">
        <v>24000</v>
      </c>
    </row>
    <row r="46" spans="1:11" x14ac:dyDescent="0.25">
      <c r="A46" s="10">
        <v>45660</v>
      </c>
      <c r="B46" t="s">
        <v>11</v>
      </c>
      <c r="C46" t="s">
        <v>12</v>
      </c>
      <c r="D46" t="s">
        <v>23</v>
      </c>
      <c r="E46" t="s">
        <v>14</v>
      </c>
      <c r="F46" t="s">
        <v>27</v>
      </c>
      <c r="G46" t="s">
        <v>22</v>
      </c>
      <c r="H46">
        <v>60000</v>
      </c>
      <c r="I46">
        <v>5</v>
      </c>
      <c r="J46" t="s">
        <v>28</v>
      </c>
      <c r="K46">
        <v>48000</v>
      </c>
    </row>
    <row r="47" spans="1:11" x14ac:dyDescent="0.25">
      <c r="A47" s="10">
        <v>45746</v>
      </c>
      <c r="B47" t="s">
        <v>18</v>
      </c>
      <c r="C47" t="s">
        <v>26</v>
      </c>
      <c r="D47" t="s">
        <v>23</v>
      </c>
      <c r="E47" t="s">
        <v>14</v>
      </c>
      <c r="F47" t="s">
        <v>36</v>
      </c>
      <c r="G47" t="s">
        <v>31</v>
      </c>
      <c r="H47">
        <v>150000</v>
      </c>
      <c r="I47">
        <v>3</v>
      </c>
      <c r="J47" t="s">
        <v>28</v>
      </c>
      <c r="K47">
        <v>120000</v>
      </c>
    </row>
    <row r="48" spans="1:11" x14ac:dyDescent="0.25">
      <c r="A48" s="10">
        <v>45751</v>
      </c>
      <c r="B48" t="s">
        <v>18</v>
      </c>
      <c r="C48" t="s">
        <v>19</v>
      </c>
      <c r="D48" t="s">
        <v>13</v>
      </c>
      <c r="E48" t="s">
        <v>14</v>
      </c>
      <c r="F48" t="s">
        <v>34</v>
      </c>
      <c r="G48" t="s">
        <v>16</v>
      </c>
      <c r="H48">
        <v>320000</v>
      </c>
      <c r="I48">
        <v>10</v>
      </c>
      <c r="J48" t="s">
        <v>28</v>
      </c>
      <c r="K48">
        <v>256000</v>
      </c>
    </row>
    <row r="49" spans="1:11" x14ac:dyDescent="0.25">
      <c r="A49" s="10">
        <v>45696</v>
      </c>
      <c r="B49" t="s">
        <v>18</v>
      </c>
      <c r="C49" t="s">
        <v>12</v>
      </c>
      <c r="D49" t="s">
        <v>23</v>
      </c>
      <c r="E49" t="s">
        <v>14</v>
      </c>
      <c r="F49" t="s">
        <v>41</v>
      </c>
      <c r="G49" t="s">
        <v>22</v>
      </c>
      <c r="H49">
        <v>220000</v>
      </c>
      <c r="I49">
        <v>6</v>
      </c>
      <c r="J49" t="s">
        <v>17</v>
      </c>
      <c r="K49">
        <v>176000</v>
      </c>
    </row>
    <row r="50" spans="1:11" x14ac:dyDescent="0.25">
      <c r="A50" s="10">
        <v>45732</v>
      </c>
      <c r="B50" t="s">
        <v>11</v>
      </c>
      <c r="C50" t="s">
        <v>32</v>
      </c>
      <c r="D50" t="s">
        <v>23</v>
      </c>
      <c r="E50" t="s">
        <v>14</v>
      </c>
      <c r="F50" t="s">
        <v>33</v>
      </c>
      <c r="G50" t="s">
        <v>22</v>
      </c>
      <c r="H50">
        <v>180000</v>
      </c>
      <c r="I50">
        <v>8</v>
      </c>
      <c r="J50" t="s">
        <v>28</v>
      </c>
      <c r="K50">
        <v>144000</v>
      </c>
    </row>
    <row r="51" spans="1:11" x14ac:dyDescent="0.25">
      <c r="A51" s="10">
        <v>45683</v>
      </c>
      <c r="B51" t="s">
        <v>11</v>
      </c>
      <c r="C51" t="s">
        <v>26</v>
      </c>
      <c r="D51" t="s">
        <v>13</v>
      </c>
      <c r="E51" t="s">
        <v>20</v>
      </c>
      <c r="F51" t="s">
        <v>34</v>
      </c>
      <c r="G51" t="s">
        <v>16</v>
      </c>
      <c r="H51">
        <v>320000</v>
      </c>
      <c r="I51">
        <v>2</v>
      </c>
      <c r="J51" t="s">
        <v>24</v>
      </c>
      <c r="K51">
        <v>256000</v>
      </c>
    </row>
    <row r="52" spans="1:11" x14ac:dyDescent="0.25">
      <c r="A52" s="10">
        <v>45694</v>
      </c>
      <c r="B52" t="s">
        <v>11</v>
      </c>
      <c r="C52" t="s">
        <v>19</v>
      </c>
      <c r="D52" t="s">
        <v>13</v>
      </c>
      <c r="E52" t="s">
        <v>20</v>
      </c>
      <c r="F52" t="s">
        <v>30</v>
      </c>
      <c r="G52" t="s">
        <v>31</v>
      </c>
      <c r="H52">
        <v>300000</v>
      </c>
      <c r="I52">
        <v>9</v>
      </c>
      <c r="J52" t="s">
        <v>35</v>
      </c>
      <c r="K52">
        <v>240000</v>
      </c>
    </row>
    <row r="53" spans="1:11" x14ac:dyDescent="0.25">
      <c r="A53" s="10">
        <v>45674</v>
      </c>
      <c r="B53" t="s">
        <v>29</v>
      </c>
      <c r="C53" t="s">
        <v>26</v>
      </c>
      <c r="D53" t="s">
        <v>13</v>
      </c>
      <c r="E53" t="s">
        <v>20</v>
      </c>
      <c r="F53" t="s">
        <v>38</v>
      </c>
      <c r="G53" t="s">
        <v>31</v>
      </c>
      <c r="H53">
        <v>420000</v>
      </c>
      <c r="I53">
        <v>1</v>
      </c>
      <c r="J53" t="s">
        <v>35</v>
      </c>
      <c r="K53">
        <v>336000</v>
      </c>
    </row>
    <row r="54" spans="1:11" x14ac:dyDescent="0.25">
      <c r="A54" s="10">
        <v>45753</v>
      </c>
      <c r="B54" t="s">
        <v>18</v>
      </c>
      <c r="C54" t="s">
        <v>26</v>
      </c>
      <c r="D54" t="s">
        <v>13</v>
      </c>
      <c r="E54" t="s">
        <v>14</v>
      </c>
      <c r="F54" t="s">
        <v>27</v>
      </c>
      <c r="G54" t="s">
        <v>22</v>
      </c>
      <c r="H54">
        <v>60000</v>
      </c>
      <c r="I54">
        <v>1</v>
      </c>
      <c r="J54" t="s">
        <v>28</v>
      </c>
      <c r="K54">
        <v>48000</v>
      </c>
    </row>
    <row r="55" spans="1:11" x14ac:dyDescent="0.25">
      <c r="A55" s="10">
        <v>45725</v>
      </c>
      <c r="B55" t="s">
        <v>18</v>
      </c>
      <c r="C55" t="s">
        <v>19</v>
      </c>
      <c r="D55" t="s">
        <v>23</v>
      </c>
      <c r="E55" t="s">
        <v>20</v>
      </c>
      <c r="F55" t="s">
        <v>30</v>
      </c>
      <c r="G55" t="s">
        <v>31</v>
      </c>
      <c r="H55">
        <v>300000</v>
      </c>
      <c r="I55">
        <v>9</v>
      </c>
      <c r="J55" t="s">
        <v>35</v>
      </c>
      <c r="K55">
        <v>240000</v>
      </c>
    </row>
    <row r="56" spans="1:11" x14ac:dyDescent="0.25">
      <c r="A56" s="10">
        <v>45663</v>
      </c>
      <c r="B56" t="s">
        <v>11</v>
      </c>
      <c r="C56" t="s">
        <v>26</v>
      </c>
      <c r="D56" t="s">
        <v>23</v>
      </c>
      <c r="E56" t="s">
        <v>14</v>
      </c>
      <c r="F56" t="s">
        <v>38</v>
      </c>
      <c r="G56" t="s">
        <v>31</v>
      </c>
      <c r="H56">
        <v>420000</v>
      </c>
      <c r="I56">
        <v>9</v>
      </c>
      <c r="J56" t="s">
        <v>24</v>
      </c>
      <c r="K56">
        <v>336000</v>
      </c>
    </row>
    <row r="57" spans="1:11" x14ac:dyDescent="0.25">
      <c r="A57" s="10">
        <v>45708</v>
      </c>
      <c r="B57" t="s">
        <v>18</v>
      </c>
      <c r="C57" t="s">
        <v>19</v>
      </c>
      <c r="D57" t="s">
        <v>13</v>
      </c>
      <c r="E57" t="s">
        <v>14</v>
      </c>
      <c r="F57" t="s">
        <v>41</v>
      </c>
      <c r="G57" t="s">
        <v>22</v>
      </c>
      <c r="H57">
        <v>220000</v>
      </c>
      <c r="I57">
        <v>8</v>
      </c>
      <c r="J57" t="s">
        <v>37</v>
      </c>
      <c r="K57">
        <v>176000</v>
      </c>
    </row>
    <row r="58" spans="1:11" x14ac:dyDescent="0.25">
      <c r="A58" s="10">
        <v>45659</v>
      </c>
      <c r="B58" t="s">
        <v>25</v>
      </c>
      <c r="C58" t="s">
        <v>12</v>
      </c>
      <c r="D58" t="s">
        <v>13</v>
      </c>
      <c r="E58" t="s">
        <v>14</v>
      </c>
      <c r="F58" t="s">
        <v>15</v>
      </c>
      <c r="G58" t="s">
        <v>16</v>
      </c>
      <c r="H58">
        <v>85000</v>
      </c>
      <c r="I58">
        <v>10</v>
      </c>
      <c r="J58" t="s">
        <v>35</v>
      </c>
      <c r="K58">
        <v>68000</v>
      </c>
    </row>
    <row r="59" spans="1:11" x14ac:dyDescent="0.25">
      <c r="A59" s="10">
        <v>45701</v>
      </c>
      <c r="B59" t="s">
        <v>11</v>
      </c>
      <c r="C59" t="s">
        <v>26</v>
      </c>
      <c r="D59" t="s">
        <v>23</v>
      </c>
      <c r="E59" t="s">
        <v>14</v>
      </c>
      <c r="F59" t="s">
        <v>36</v>
      </c>
      <c r="G59" t="s">
        <v>31</v>
      </c>
      <c r="H59">
        <v>150000</v>
      </c>
      <c r="I59">
        <v>4</v>
      </c>
      <c r="J59" t="s">
        <v>17</v>
      </c>
      <c r="K59">
        <v>120000</v>
      </c>
    </row>
    <row r="60" spans="1:11" x14ac:dyDescent="0.25">
      <c r="A60" s="10">
        <v>45677</v>
      </c>
      <c r="B60" t="s">
        <v>18</v>
      </c>
      <c r="C60" t="s">
        <v>19</v>
      </c>
      <c r="D60" t="s">
        <v>23</v>
      </c>
      <c r="E60" t="s">
        <v>20</v>
      </c>
      <c r="F60" t="s">
        <v>40</v>
      </c>
      <c r="G60" t="s">
        <v>31</v>
      </c>
      <c r="H60">
        <v>250000</v>
      </c>
      <c r="I60">
        <v>1</v>
      </c>
      <c r="J60" t="s">
        <v>28</v>
      </c>
      <c r="K60">
        <v>200000</v>
      </c>
    </row>
    <row r="61" spans="1:11" x14ac:dyDescent="0.25">
      <c r="A61" s="10">
        <v>45735</v>
      </c>
      <c r="B61" t="s">
        <v>25</v>
      </c>
      <c r="C61" t="s">
        <v>19</v>
      </c>
      <c r="D61" t="s">
        <v>13</v>
      </c>
      <c r="E61" t="s">
        <v>14</v>
      </c>
      <c r="F61" t="s">
        <v>21</v>
      </c>
      <c r="G61" t="s">
        <v>22</v>
      </c>
      <c r="H61">
        <v>30000</v>
      </c>
      <c r="I61">
        <v>10</v>
      </c>
      <c r="J61" t="s">
        <v>28</v>
      </c>
      <c r="K61">
        <v>24000</v>
      </c>
    </row>
    <row r="62" spans="1:11" x14ac:dyDescent="0.25">
      <c r="A62" s="10">
        <v>45721</v>
      </c>
      <c r="B62" t="s">
        <v>25</v>
      </c>
      <c r="C62" t="s">
        <v>19</v>
      </c>
      <c r="D62" t="s">
        <v>23</v>
      </c>
      <c r="E62" t="s">
        <v>14</v>
      </c>
      <c r="F62" t="s">
        <v>38</v>
      </c>
      <c r="G62" t="s">
        <v>31</v>
      </c>
      <c r="H62">
        <v>420000</v>
      </c>
      <c r="I62">
        <v>4</v>
      </c>
      <c r="J62" t="s">
        <v>24</v>
      </c>
      <c r="K62">
        <v>336000</v>
      </c>
    </row>
    <row r="63" spans="1:11" x14ac:dyDescent="0.25">
      <c r="A63" s="10">
        <v>45723</v>
      </c>
      <c r="B63" t="s">
        <v>18</v>
      </c>
      <c r="C63" t="s">
        <v>19</v>
      </c>
      <c r="D63" t="s">
        <v>13</v>
      </c>
      <c r="E63" t="s">
        <v>20</v>
      </c>
      <c r="F63" t="s">
        <v>15</v>
      </c>
      <c r="G63" t="s">
        <v>16</v>
      </c>
      <c r="H63">
        <v>85000</v>
      </c>
      <c r="I63">
        <v>2</v>
      </c>
      <c r="J63" t="s">
        <v>35</v>
      </c>
      <c r="K63">
        <v>68000</v>
      </c>
    </row>
    <row r="64" spans="1:11" x14ac:dyDescent="0.25">
      <c r="A64" s="10">
        <v>45744</v>
      </c>
      <c r="B64" t="s">
        <v>18</v>
      </c>
      <c r="C64" t="s">
        <v>19</v>
      </c>
      <c r="D64" t="s">
        <v>13</v>
      </c>
      <c r="E64" t="s">
        <v>14</v>
      </c>
      <c r="F64" t="s">
        <v>41</v>
      </c>
      <c r="G64" t="s">
        <v>22</v>
      </c>
      <c r="H64">
        <v>220000</v>
      </c>
      <c r="I64">
        <v>1</v>
      </c>
      <c r="J64" t="s">
        <v>28</v>
      </c>
      <c r="K64">
        <v>176000</v>
      </c>
    </row>
    <row r="65" spans="1:11" x14ac:dyDescent="0.25">
      <c r="A65" s="10">
        <v>45671</v>
      </c>
      <c r="B65" t="s">
        <v>11</v>
      </c>
      <c r="C65" t="s">
        <v>12</v>
      </c>
      <c r="D65" t="s">
        <v>13</v>
      </c>
      <c r="E65" t="s">
        <v>20</v>
      </c>
      <c r="F65" t="s">
        <v>33</v>
      </c>
      <c r="G65" t="s">
        <v>22</v>
      </c>
      <c r="H65">
        <v>180000</v>
      </c>
      <c r="I65">
        <v>9</v>
      </c>
      <c r="J65" t="s">
        <v>39</v>
      </c>
      <c r="K65">
        <v>144000</v>
      </c>
    </row>
    <row r="66" spans="1:11" x14ac:dyDescent="0.25">
      <c r="A66" s="10">
        <v>45762</v>
      </c>
      <c r="B66" t="s">
        <v>11</v>
      </c>
      <c r="C66" t="s">
        <v>26</v>
      </c>
      <c r="D66" t="s">
        <v>13</v>
      </c>
      <c r="E66" t="s">
        <v>20</v>
      </c>
      <c r="F66" t="s">
        <v>40</v>
      </c>
      <c r="G66" t="s">
        <v>31</v>
      </c>
      <c r="H66">
        <v>250000</v>
      </c>
      <c r="I66">
        <v>6</v>
      </c>
      <c r="J66" t="s">
        <v>17</v>
      </c>
      <c r="K66">
        <v>200000</v>
      </c>
    </row>
    <row r="67" spans="1:11" x14ac:dyDescent="0.25">
      <c r="A67" s="10">
        <v>45763</v>
      </c>
      <c r="B67" t="s">
        <v>11</v>
      </c>
      <c r="C67" t="s">
        <v>12</v>
      </c>
      <c r="D67" t="s">
        <v>13</v>
      </c>
      <c r="E67" t="s">
        <v>20</v>
      </c>
      <c r="F67" t="s">
        <v>33</v>
      </c>
      <c r="G67" t="s">
        <v>22</v>
      </c>
      <c r="H67">
        <v>180000</v>
      </c>
      <c r="I67">
        <v>3</v>
      </c>
      <c r="J67" t="s">
        <v>39</v>
      </c>
      <c r="K67">
        <v>144000</v>
      </c>
    </row>
    <row r="68" spans="1:11" x14ac:dyDescent="0.25">
      <c r="A68" s="10">
        <v>45693</v>
      </c>
      <c r="B68" t="s">
        <v>25</v>
      </c>
      <c r="C68" t="s">
        <v>12</v>
      </c>
      <c r="D68" t="s">
        <v>23</v>
      </c>
      <c r="E68" t="s">
        <v>14</v>
      </c>
      <c r="F68" t="s">
        <v>27</v>
      </c>
      <c r="G68" t="s">
        <v>22</v>
      </c>
      <c r="H68">
        <v>60000</v>
      </c>
      <c r="I68">
        <v>8</v>
      </c>
      <c r="J68" t="s">
        <v>35</v>
      </c>
      <c r="K68">
        <v>48000</v>
      </c>
    </row>
    <row r="69" spans="1:11" x14ac:dyDescent="0.25">
      <c r="A69" s="10">
        <v>45757</v>
      </c>
      <c r="B69" t="s">
        <v>29</v>
      </c>
      <c r="C69" t="s">
        <v>12</v>
      </c>
      <c r="D69" t="s">
        <v>13</v>
      </c>
      <c r="E69" t="s">
        <v>14</v>
      </c>
      <c r="F69" t="s">
        <v>27</v>
      </c>
      <c r="G69" t="s">
        <v>22</v>
      </c>
      <c r="H69">
        <v>60000</v>
      </c>
      <c r="I69">
        <v>3</v>
      </c>
      <c r="J69" t="s">
        <v>17</v>
      </c>
      <c r="K69">
        <v>48000</v>
      </c>
    </row>
    <row r="70" spans="1:11" x14ac:dyDescent="0.25">
      <c r="A70" s="10">
        <v>45747</v>
      </c>
      <c r="B70" t="s">
        <v>11</v>
      </c>
      <c r="C70" t="s">
        <v>26</v>
      </c>
      <c r="D70" t="s">
        <v>23</v>
      </c>
      <c r="E70" t="s">
        <v>14</v>
      </c>
      <c r="F70" t="s">
        <v>21</v>
      </c>
      <c r="G70" t="s">
        <v>22</v>
      </c>
      <c r="H70">
        <v>30000</v>
      </c>
      <c r="I70">
        <v>8</v>
      </c>
      <c r="J70" t="s">
        <v>28</v>
      </c>
      <c r="K70">
        <v>24000</v>
      </c>
    </row>
    <row r="71" spans="1:11" x14ac:dyDescent="0.25">
      <c r="A71" s="10">
        <v>45666</v>
      </c>
      <c r="B71" t="s">
        <v>25</v>
      </c>
      <c r="C71" t="s">
        <v>19</v>
      </c>
      <c r="D71" t="s">
        <v>13</v>
      </c>
      <c r="E71" t="s">
        <v>20</v>
      </c>
      <c r="F71" t="s">
        <v>27</v>
      </c>
      <c r="G71" t="s">
        <v>22</v>
      </c>
      <c r="H71">
        <v>60000</v>
      </c>
      <c r="I71">
        <v>4</v>
      </c>
      <c r="J71" t="s">
        <v>39</v>
      </c>
      <c r="K71">
        <v>48000</v>
      </c>
    </row>
    <row r="72" spans="1:11" x14ac:dyDescent="0.25">
      <c r="A72" s="10">
        <v>45707</v>
      </c>
      <c r="B72" t="s">
        <v>25</v>
      </c>
      <c r="C72" t="s">
        <v>12</v>
      </c>
      <c r="D72" t="s">
        <v>23</v>
      </c>
      <c r="E72" t="s">
        <v>20</v>
      </c>
      <c r="F72" t="s">
        <v>21</v>
      </c>
      <c r="G72" t="s">
        <v>22</v>
      </c>
      <c r="H72">
        <v>30000</v>
      </c>
      <c r="I72">
        <v>3</v>
      </c>
      <c r="J72" t="s">
        <v>24</v>
      </c>
      <c r="K72">
        <v>24000</v>
      </c>
    </row>
    <row r="73" spans="1:11" x14ac:dyDescent="0.25">
      <c r="A73" s="10">
        <v>45705</v>
      </c>
      <c r="B73" t="s">
        <v>18</v>
      </c>
      <c r="C73" t="s">
        <v>26</v>
      </c>
      <c r="D73" t="s">
        <v>13</v>
      </c>
      <c r="E73" t="s">
        <v>14</v>
      </c>
      <c r="F73" t="s">
        <v>33</v>
      </c>
      <c r="G73" t="s">
        <v>22</v>
      </c>
      <c r="H73">
        <v>180000</v>
      </c>
      <c r="I73">
        <v>5</v>
      </c>
      <c r="J73" t="s">
        <v>28</v>
      </c>
      <c r="K73">
        <v>144000</v>
      </c>
    </row>
    <row r="74" spans="1:11" x14ac:dyDescent="0.25">
      <c r="A74" s="10">
        <v>45768</v>
      </c>
      <c r="B74" t="s">
        <v>29</v>
      </c>
      <c r="C74" t="s">
        <v>12</v>
      </c>
      <c r="D74" t="s">
        <v>13</v>
      </c>
      <c r="E74" t="s">
        <v>20</v>
      </c>
      <c r="F74" t="s">
        <v>41</v>
      </c>
      <c r="G74" t="s">
        <v>22</v>
      </c>
      <c r="H74">
        <v>220000</v>
      </c>
      <c r="I74">
        <v>3</v>
      </c>
      <c r="J74" t="s">
        <v>39</v>
      </c>
      <c r="K74">
        <v>176000</v>
      </c>
    </row>
    <row r="75" spans="1:11" x14ac:dyDescent="0.25">
      <c r="A75" s="10">
        <v>45768</v>
      </c>
      <c r="B75" t="s">
        <v>11</v>
      </c>
      <c r="C75" t="s">
        <v>19</v>
      </c>
      <c r="D75" t="s">
        <v>13</v>
      </c>
      <c r="E75" t="s">
        <v>14</v>
      </c>
      <c r="F75" t="s">
        <v>27</v>
      </c>
      <c r="G75" t="s">
        <v>22</v>
      </c>
      <c r="H75">
        <v>60000</v>
      </c>
      <c r="I75">
        <v>4</v>
      </c>
      <c r="J75" t="s">
        <v>37</v>
      </c>
      <c r="K75">
        <v>48000</v>
      </c>
    </row>
    <row r="76" spans="1:11" x14ac:dyDescent="0.25">
      <c r="A76" s="10">
        <v>45760</v>
      </c>
      <c r="B76" t="s">
        <v>29</v>
      </c>
      <c r="C76" t="s">
        <v>12</v>
      </c>
      <c r="D76" t="s">
        <v>23</v>
      </c>
      <c r="E76" t="s">
        <v>14</v>
      </c>
      <c r="F76" t="s">
        <v>15</v>
      </c>
      <c r="G76" t="s">
        <v>16</v>
      </c>
      <c r="H76">
        <v>85000</v>
      </c>
      <c r="I76">
        <v>1</v>
      </c>
      <c r="J76" t="s">
        <v>37</v>
      </c>
      <c r="K76">
        <v>68000</v>
      </c>
    </row>
    <row r="77" spans="1:11" x14ac:dyDescent="0.25">
      <c r="A77" s="10">
        <v>45707</v>
      </c>
      <c r="B77" t="s">
        <v>18</v>
      </c>
      <c r="C77" t="s">
        <v>12</v>
      </c>
      <c r="D77" t="s">
        <v>13</v>
      </c>
      <c r="E77" t="s">
        <v>14</v>
      </c>
      <c r="F77" t="s">
        <v>21</v>
      </c>
      <c r="G77" t="s">
        <v>22</v>
      </c>
      <c r="H77">
        <v>30000</v>
      </c>
      <c r="I77">
        <v>5</v>
      </c>
      <c r="J77" t="s">
        <v>24</v>
      </c>
      <c r="K77">
        <v>24000</v>
      </c>
    </row>
    <row r="78" spans="1:11" x14ac:dyDescent="0.25">
      <c r="A78" s="10">
        <v>45706</v>
      </c>
      <c r="B78" t="s">
        <v>18</v>
      </c>
      <c r="C78" t="s">
        <v>32</v>
      </c>
      <c r="D78" t="s">
        <v>13</v>
      </c>
      <c r="E78" t="s">
        <v>20</v>
      </c>
      <c r="F78" t="s">
        <v>27</v>
      </c>
      <c r="G78" t="s">
        <v>22</v>
      </c>
      <c r="H78">
        <v>60000</v>
      </c>
      <c r="I78">
        <v>3</v>
      </c>
      <c r="J78" t="s">
        <v>37</v>
      </c>
      <c r="K78">
        <v>48000</v>
      </c>
    </row>
    <row r="79" spans="1:11" x14ac:dyDescent="0.25">
      <c r="A79" s="10">
        <v>45691</v>
      </c>
      <c r="B79" t="s">
        <v>11</v>
      </c>
      <c r="C79" t="s">
        <v>32</v>
      </c>
      <c r="D79" t="s">
        <v>13</v>
      </c>
      <c r="E79" t="s">
        <v>14</v>
      </c>
      <c r="F79" t="s">
        <v>27</v>
      </c>
      <c r="G79" t="s">
        <v>22</v>
      </c>
      <c r="H79">
        <v>60000</v>
      </c>
      <c r="I79">
        <v>6</v>
      </c>
      <c r="J79" t="s">
        <v>17</v>
      </c>
      <c r="K79">
        <v>48000</v>
      </c>
    </row>
    <row r="80" spans="1:11" x14ac:dyDescent="0.25">
      <c r="A80" s="10">
        <v>45671</v>
      </c>
      <c r="B80" t="s">
        <v>25</v>
      </c>
      <c r="C80" t="s">
        <v>26</v>
      </c>
      <c r="D80" t="s">
        <v>23</v>
      </c>
      <c r="E80" t="s">
        <v>14</v>
      </c>
      <c r="F80" t="s">
        <v>30</v>
      </c>
      <c r="G80" t="s">
        <v>31</v>
      </c>
      <c r="H80">
        <v>300000</v>
      </c>
      <c r="I80">
        <v>2</v>
      </c>
      <c r="J80" t="s">
        <v>17</v>
      </c>
      <c r="K80">
        <v>240000</v>
      </c>
    </row>
    <row r="81" spans="1:11" x14ac:dyDescent="0.25">
      <c r="A81" s="10">
        <v>45680</v>
      </c>
      <c r="B81" t="s">
        <v>11</v>
      </c>
      <c r="C81" t="s">
        <v>26</v>
      </c>
      <c r="D81" t="s">
        <v>13</v>
      </c>
      <c r="E81" t="s">
        <v>14</v>
      </c>
      <c r="F81" t="s">
        <v>36</v>
      </c>
      <c r="G81" t="s">
        <v>31</v>
      </c>
      <c r="H81">
        <v>150000</v>
      </c>
      <c r="I81">
        <v>7</v>
      </c>
      <c r="J81" t="s">
        <v>24</v>
      </c>
      <c r="K81">
        <v>120000</v>
      </c>
    </row>
    <row r="82" spans="1:11" x14ac:dyDescent="0.25">
      <c r="A82" s="10">
        <v>45766</v>
      </c>
      <c r="B82" t="s">
        <v>29</v>
      </c>
      <c r="C82" t="s">
        <v>26</v>
      </c>
      <c r="D82" t="s">
        <v>23</v>
      </c>
      <c r="E82" t="s">
        <v>20</v>
      </c>
      <c r="F82" t="s">
        <v>41</v>
      </c>
      <c r="G82" t="s">
        <v>22</v>
      </c>
      <c r="H82">
        <v>220000</v>
      </c>
      <c r="I82">
        <v>3</v>
      </c>
      <c r="J82" t="s">
        <v>28</v>
      </c>
      <c r="K82">
        <v>176000</v>
      </c>
    </row>
    <row r="83" spans="1:11" x14ac:dyDescent="0.25">
      <c r="A83" s="10">
        <v>45663</v>
      </c>
      <c r="B83" t="s">
        <v>11</v>
      </c>
      <c r="C83" t="s">
        <v>26</v>
      </c>
      <c r="D83" t="s">
        <v>13</v>
      </c>
      <c r="E83" t="s">
        <v>20</v>
      </c>
      <c r="F83" t="s">
        <v>27</v>
      </c>
      <c r="G83" t="s">
        <v>22</v>
      </c>
      <c r="H83">
        <v>60000</v>
      </c>
      <c r="I83">
        <v>9</v>
      </c>
      <c r="J83" t="s">
        <v>35</v>
      </c>
      <c r="K83">
        <v>48000</v>
      </c>
    </row>
    <row r="84" spans="1:11" x14ac:dyDescent="0.25">
      <c r="A84" s="10">
        <v>45714</v>
      </c>
      <c r="B84" t="s">
        <v>11</v>
      </c>
      <c r="C84" t="s">
        <v>19</v>
      </c>
      <c r="D84" t="s">
        <v>23</v>
      </c>
      <c r="E84" t="s">
        <v>20</v>
      </c>
      <c r="F84" t="s">
        <v>34</v>
      </c>
      <c r="G84" t="s">
        <v>16</v>
      </c>
      <c r="H84">
        <v>320000</v>
      </c>
      <c r="I84">
        <v>2</v>
      </c>
      <c r="J84" t="s">
        <v>28</v>
      </c>
      <c r="K84">
        <v>256000</v>
      </c>
    </row>
    <row r="85" spans="1:11" x14ac:dyDescent="0.25">
      <c r="A85" s="10">
        <v>45697</v>
      </c>
      <c r="B85" t="s">
        <v>11</v>
      </c>
      <c r="C85" t="s">
        <v>26</v>
      </c>
      <c r="D85" t="s">
        <v>23</v>
      </c>
      <c r="E85" t="s">
        <v>14</v>
      </c>
      <c r="F85" t="s">
        <v>41</v>
      </c>
      <c r="G85" t="s">
        <v>22</v>
      </c>
      <c r="H85">
        <v>220000</v>
      </c>
      <c r="I85">
        <v>5</v>
      </c>
      <c r="J85" t="s">
        <v>17</v>
      </c>
      <c r="K85">
        <v>176000</v>
      </c>
    </row>
    <row r="86" spans="1:11" x14ac:dyDescent="0.25">
      <c r="A86" s="10">
        <v>45680</v>
      </c>
      <c r="B86" t="s">
        <v>11</v>
      </c>
      <c r="C86" t="s">
        <v>12</v>
      </c>
      <c r="D86" t="s">
        <v>23</v>
      </c>
      <c r="E86" t="s">
        <v>14</v>
      </c>
      <c r="F86" t="s">
        <v>36</v>
      </c>
      <c r="G86" t="s">
        <v>31</v>
      </c>
      <c r="H86">
        <v>150000</v>
      </c>
      <c r="I86">
        <v>1</v>
      </c>
      <c r="J86" t="s">
        <v>39</v>
      </c>
      <c r="K86">
        <v>120000</v>
      </c>
    </row>
    <row r="87" spans="1:11" x14ac:dyDescent="0.25">
      <c r="A87" s="10">
        <v>45701</v>
      </c>
      <c r="B87" t="s">
        <v>25</v>
      </c>
      <c r="C87" t="s">
        <v>19</v>
      </c>
      <c r="D87" t="s">
        <v>13</v>
      </c>
      <c r="E87" t="s">
        <v>20</v>
      </c>
      <c r="F87" t="s">
        <v>30</v>
      </c>
      <c r="G87" t="s">
        <v>31</v>
      </c>
      <c r="H87">
        <v>300000</v>
      </c>
      <c r="I87">
        <v>8</v>
      </c>
      <c r="J87" t="s">
        <v>17</v>
      </c>
      <c r="K87">
        <v>240000</v>
      </c>
    </row>
    <row r="88" spans="1:11" x14ac:dyDescent="0.25">
      <c r="A88" s="10">
        <v>45708</v>
      </c>
      <c r="B88" t="s">
        <v>18</v>
      </c>
      <c r="C88" t="s">
        <v>32</v>
      </c>
      <c r="D88" t="s">
        <v>13</v>
      </c>
      <c r="E88" t="s">
        <v>14</v>
      </c>
      <c r="F88" t="s">
        <v>41</v>
      </c>
      <c r="G88" t="s">
        <v>22</v>
      </c>
      <c r="H88">
        <v>220000</v>
      </c>
      <c r="I88">
        <v>3</v>
      </c>
      <c r="J88" t="s">
        <v>37</v>
      </c>
      <c r="K88">
        <v>176000</v>
      </c>
    </row>
    <row r="89" spans="1:11" x14ac:dyDescent="0.25">
      <c r="A89" s="10">
        <v>45672</v>
      </c>
      <c r="B89" t="s">
        <v>11</v>
      </c>
      <c r="C89" t="s">
        <v>12</v>
      </c>
      <c r="D89" t="s">
        <v>13</v>
      </c>
      <c r="E89" t="s">
        <v>14</v>
      </c>
      <c r="F89" t="s">
        <v>40</v>
      </c>
      <c r="G89" t="s">
        <v>31</v>
      </c>
      <c r="H89">
        <v>250000</v>
      </c>
      <c r="I89">
        <v>8</v>
      </c>
      <c r="J89" t="s">
        <v>17</v>
      </c>
      <c r="K89">
        <v>200000</v>
      </c>
    </row>
    <row r="90" spans="1:11" x14ac:dyDescent="0.25">
      <c r="A90" s="10">
        <v>45766</v>
      </c>
      <c r="B90" t="s">
        <v>25</v>
      </c>
      <c r="C90" t="s">
        <v>19</v>
      </c>
      <c r="D90" t="s">
        <v>23</v>
      </c>
      <c r="E90" t="s">
        <v>14</v>
      </c>
      <c r="F90" t="s">
        <v>30</v>
      </c>
      <c r="G90" t="s">
        <v>31</v>
      </c>
      <c r="H90">
        <v>300000</v>
      </c>
      <c r="I90">
        <v>4</v>
      </c>
      <c r="J90" t="s">
        <v>28</v>
      </c>
      <c r="K90">
        <v>240000</v>
      </c>
    </row>
    <row r="91" spans="1:11" x14ac:dyDescent="0.25">
      <c r="A91" s="10">
        <v>45778</v>
      </c>
      <c r="B91" t="s">
        <v>25</v>
      </c>
      <c r="C91" t="s">
        <v>26</v>
      </c>
      <c r="D91" t="s">
        <v>23</v>
      </c>
      <c r="E91" t="s">
        <v>20</v>
      </c>
      <c r="F91" t="s">
        <v>30</v>
      </c>
      <c r="G91" t="s">
        <v>31</v>
      </c>
      <c r="H91">
        <v>300000</v>
      </c>
      <c r="I91">
        <v>1</v>
      </c>
      <c r="J91" t="s">
        <v>28</v>
      </c>
      <c r="K91">
        <v>240000</v>
      </c>
    </row>
    <row r="92" spans="1:11" x14ac:dyDescent="0.25">
      <c r="A92" s="10">
        <v>45774</v>
      </c>
      <c r="B92" t="s">
        <v>18</v>
      </c>
      <c r="C92" t="s">
        <v>32</v>
      </c>
      <c r="D92" t="s">
        <v>13</v>
      </c>
      <c r="E92" t="s">
        <v>14</v>
      </c>
      <c r="F92" t="s">
        <v>40</v>
      </c>
      <c r="G92" t="s">
        <v>31</v>
      </c>
      <c r="H92">
        <v>250000</v>
      </c>
      <c r="I92">
        <v>8</v>
      </c>
      <c r="J92" t="s">
        <v>28</v>
      </c>
      <c r="K92">
        <v>200000</v>
      </c>
    </row>
    <row r="93" spans="1:11" x14ac:dyDescent="0.25">
      <c r="A93" s="10">
        <v>45720</v>
      </c>
      <c r="B93" t="s">
        <v>11</v>
      </c>
      <c r="C93" t="s">
        <v>32</v>
      </c>
      <c r="D93" t="s">
        <v>23</v>
      </c>
      <c r="E93" t="s">
        <v>20</v>
      </c>
      <c r="F93" t="s">
        <v>33</v>
      </c>
      <c r="G93" t="s">
        <v>22</v>
      </c>
      <c r="H93">
        <v>180000</v>
      </c>
      <c r="I93">
        <v>2</v>
      </c>
      <c r="J93" t="s">
        <v>37</v>
      </c>
      <c r="K93">
        <v>144000</v>
      </c>
    </row>
    <row r="94" spans="1:11" x14ac:dyDescent="0.25">
      <c r="A94" s="10">
        <v>45691</v>
      </c>
      <c r="B94" t="s">
        <v>11</v>
      </c>
      <c r="C94" t="s">
        <v>32</v>
      </c>
      <c r="D94" t="s">
        <v>13</v>
      </c>
      <c r="E94" t="s">
        <v>20</v>
      </c>
      <c r="F94" t="s">
        <v>33</v>
      </c>
      <c r="G94" t="s">
        <v>22</v>
      </c>
      <c r="H94">
        <v>180000</v>
      </c>
      <c r="I94">
        <v>6</v>
      </c>
      <c r="J94" t="s">
        <v>28</v>
      </c>
      <c r="K94">
        <v>144000</v>
      </c>
    </row>
    <row r="95" spans="1:11" x14ac:dyDescent="0.25">
      <c r="A95" s="10">
        <v>45704</v>
      </c>
      <c r="B95" t="s">
        <v>29</v>
      </c>
      <c r="C95" t="s">
        <v>19</v>
      </c>
      <c r="D95" t="s">
        <v>23</v>
      </c>
      <c r="E95" t="s">
        <v>14</v>
      </c>
      <c r="F95" t="s">
        <v>30</v>
      </c>
      <c r="G95" t="s">
        <v>31</v>
      </c>
      <c r="H95">
        <v>300000</v>
      </c>
      <c r="I95">
        <v>2</v>
      </c>
      <c r="J95" t="s">
        <v>28</v>
      </c>
      <c r="K95">
        <v>240000</v>
      </c>
    </row>
    <row r="96" spans="1:11" x14ac:dyDescent="0.25">
      <c r="A96" s="10">
        <v>45776</v>
      </c>
      <c r="B96" t="s">
        <v>18</v>
      </c>
      <c r="C96" t="s">
        <v>12</v>
      </c>
      <c r="D96" t="s">
        <v>23</v>
      </c>
      <c r="E96" t="s">
        <v>20</v>
      </c>
      <c r="F96" t="s">
        <v>36</v>
      </c>
      <c r="G96" t="s">
        <v>31</v>
      </c>
      <c r="H96">
        <v>150000</v>
      </c>
      <c r="I96">
        <v>6</v>
      </c>
      <c r="J96" t="s">
        <v>17</v>
      </c>
      <c r="K96">
        <v>120000</v>
      </c>
    </row>
    <row r="97" spans="1:11" x14ac:dyDescent="0.25">
      <c r="A97" s="10">
        <v>45722</v>
      </c>
      <c r="B97" t="s">
        <v>25</v>
      </c>
      <c r="C97" t="s">
        <v>19</v>
      </c>
      <c r="D97" t="s">
        <v>23</v>
      </c>
      <c r="E97" t="s">
        <v>20</v>
      </c>
      <c r="F97" t="s">
        <v>38</v>
      </c>
      <c r="G97" t="s">
        <v>31</v>
      </c>
      <c r="H97">
        <v>420000</v>
      </c>
      <c r="I97">
        <v>10</v>
      </c>
      <c r="J97" t="s">
        <v>17</v>
      </c>
      <c r="K97">
        <v>336000</v>
      </c>
    </row>
    <row r="98" spans="1:11" x14ac:dyDescent="0.25">
      <c r="A98" s="10">
        <v>45777</v>
      </c>
      <c r="B98" t="s">
        <v>18</v>
      </c>
      <c r="C98" t="s">
        <v>26</v>
      </c>
      <c r="D98" t="s">
        <v>13</v>
      </c>
      <c r="E98" t="s">
        <v>14</v>
      </c>
      <c r="F98" t="s">
        <v>38</v>
      </c>
      <c r="G98" t="s">
        <v>31</v>
      </c>
      <c r="H98">
        <v>420000</v>
      </c>
      <c r="I98">
        <v>8</v>
      </c>
      <c r="J98" t="s">
        <v>28</v>
      </c>
      <c r="K98">
        <v>336000</v>
      </c>
    </row>
    <row r="99" spans="1:11" x14ac:dyDescent="0.25">
      <c r="A99" s="10">
        <v>45677</v>
      </c>
      <c r="B99" t="s">
        <v>25</v>
      </c>
      <c r="C99" t="s">
        <v>19</v>
      </c>
      <c r="D99" t="s">
        <v>13</v>
      </c>
      <c r="E99" t="s">
        <v>20</v>
      </c>
      <c r="F99" t="s">
        <v>33</v>
      </c>
      <c r="G99" t="s">
        <v>22</v>
      </c>
      <c r="H99">
        <v>180000</v>
      </c>
      <c r="I99">
        <v>8</v>
      </c>
      <c r="J99" t="s">
        <v>17</v>
      </c>
      <c r="K99">
        <v>144000</v>
      </c>
    </row>
    <row r="100" spans="1:11" x14ac:dyDescent="0.25">
      <c r="A100" s="10">
        <v>45660</v>
      </c>
      <c r="B100" t="s">
        <v>25</v>
      </c>
      <c r="C100" t="s">
        <v>26</v>
      </c>
      <c r="D100" t="s">
        <v>13</v>
      </c>
      <c r="E100" t="s">
        <v>20</v>
      </c>
      <c r="F100" t="s">
        <v>30</v>
      </c>
      <c r="G100" t="s">
        <v>31</v>
      </c>
      <c r="H100">
        <v>300000</v>
      </c>
      <c r="I100">
        <v>4</v>
      </c>
      <c r="J100" t="s">
        <v>37</v>
      </c>
      <c r="K100">
        <v>240000</v>
      </c>
    </row>
    <row r="101" spans="1:11" x14ac:dyDescent="0.25">
      <c r="A101" s="10">
        <v>45672</v>
      </c>
      <c r="B101" t="s">
        <v>25</v>
      </c>
      <c r="C101" t="s">
        <v>26</v>
      </c>
      <c r="D101" t="s">
        <v>13</v>
      </c>
      <c r="E101" t="s">
        <v>20</v>
      </c>
      <c r="F101" t="s">
        <v>38</v>
      </c>
      <c r="G101" t="s">
        <v>31</v>
      </c>
      <c r="H101">
        <v>420000</v>
      </c>
      <c r="I101">
        <v>1</v>
      </c>
      <c r="J101" t="s">
        <v>35</v>
      </c>
      <c r="K101">
        <v>336000</v>
      </c>
    </row>
    <row r="102" spans="1:11" x14ac:dyDescent="0.25">
      <c r="A102" s="10">
        <v>45736</v>
      </c>
      <c r="B102" t="s">
        <v>11</v>
      </c>
      <c r="C102" t="s">
        <v>26</v>
      </c>
      <c r="D102" t="s">
        <v>23</v>
      </c>
      <c r="E102" t="s">
        <v>14</v>
      </c>
      <c r="F102" t="s">
        <v>21</v>
      </c>
      <c r="G102" t="s">
        <v>22</v>
      </c>
      <c r="H102">
        <v>30000</v>
      </c>
      <c r="I102">
        <v>7</v>
      </c>
      <c r="J102" t="s">
        <v>28</v>
      </c>
      <c r="K102">
        <v>24000</v>
      </c>
    </row>
    <row r="103" spans="1:11" x14ac:dyDescent="0.25">
      <c r="A103" s="10">
        <v>45714</v>
      </c>
      <c r="B103" t="s">
        <v>25</v>
      </c>
      <c r="C103" t="s">
        <v>12</v>
      </c>
      <c r="D103" t="s">
        <v>13</v>
      </c>
      <c r="E103" t="s">
        <v>14</v>
      </c>
      <c r="F103" t="s">
        <v>38</v>
      </c>
      <c r="G103" t="s">
        <v>31</v>
      </c>
      <c r="H103">
        <v>420000</v>
      </c>
      <c r="I103">
        <v>3</v>
      </c>
      <c r="J103" t="s">
        <v>28</v>
      </c>
      <c r="K103">
        <v>336000</v>
      </c>
    </row>
    <row r="104" spans="1:11" x14ac:dyDescent="0.25">
      <c r="A104" s="10">
        <v>45775</v>
      </c>
      <c r="B104" t="s">
        <v>25</v>
      </c>
      <c r="C104" t="s">
        <v>12</v>
      </c>
      <c r="D104" t="s">
        <v>13</v>
      </c>
      <c r="E104" t="s">
        <v>20</v>
      </c>
      <c r="F104" t="s">
        <v>27</v>
      </c>
      <c r="G104" t="s">
        <v>22</v>
      </c>
      <c r="H104">
        <v>60000</v>
      </c>
      <c r="I104">
        <v>5</v>
      </c>
      <c r="J104" t="s">
        <v>39</v>
      </c>
      <c r="K104">
        <v>48000</v>
      </c>
    </row>
    <row r="105" spans="1:11" x14ac:dyDescent="0.25">
      <c r="A105" s="10">
        <v>45768</v>
      </c>
      <c r="B105" t="s">
        <v>11</v>
      </c>
      <c r="C105" t="s">
        <v>32</v>
      </c>
      <c r="D105" t="s">
        <v>23</v>
      </c>
      <c r="E105" t="s">
        <v>14</v>
      </c>
      <c r="F105" t="s">
        <v>30</v>
      </c>
      <c r="G105" t="s">
        <v>31</v>
      </c>
      <c r="H105">
        <v>300000</v>
      </c>
      <c r="I105">
        <v>9</v>
      </c>
      <c r="J105" t="s">
        <v>39</v>
      </c>
      <c r="K105">
        <v>240000</v>
      </c>
    </row>
    <row r="106" spans="1:11" x14ac:dyDescent="0.25">
      <c r="A106" s="10">
        <v>45773</v>
      </c>
      <c r="B106" t="s">
        <v>18</v>
      </c>
      <c r="C106" t="s">
        <v>26</v>
      </c>
      <c r="D106" t="s">
        <v>13</v>
      </c>
      <c r="E106" t="s">
        <v>20</v>
      </c>
      <c r="F106" t="s">
        <v>34</v>
      </c>
      <c r="G106" t="s">
        <v>16</v>
      </c>
      <c r="H106">
        <v>320000</v>
      </c>
      <c r="I106">
        <v>4</v>
      </c>
      <c r="J106" t="s">
        <v>35</v>
      </c>
      <c r="K106">
        <v>256000</v>
      </c>
    </row>
    <row r="107" spans="1:11" x14ac:dyDescent="0.25">
      <c r="A107" s="10">
        <v>45685</v>
      </c>
      <c r="B107" t="s">
        <v>29</v>
      </c>
      <c r="C107" t="s">
        <v>19</v>
      </c>
      <c r="D107" t="s">
        <v>13</v>
      </c>
      <c r="E107" t="s">
        <v>20</v>
      </c>
      <c r="F107" t="s">
        <v>33</v>
      </c>
      <c r="G107" t="s">
        <v>22</v>
      </c>
      <c r="H107">
        <v>180000</v>
      </c>
      <c r="I107">
        <v>2</v>
      </c>
      <c r="J107" t="s">
        <v>39</v>
      </c>
      <c r="K107">
        <v>144000</v>
      </c>
    </row>
    <row r="108" spans="1:11" x14ac:dyDescent="0.25">
      <c r="A108" s="10">
        <v>45712</v>
      </c>
      <c r="B108" t="s">
        <v>18</v>
      </c>
      <c r="C108" t="s">
        <v>19</v>
      </c>
      <c r="D108" t="s">
        <v>13</v>
      </c>
      <c r="E108" t="s">
        <v>14</v>
      </c>
      <c r="F108" t="s">
        <v>15</v>
      </c>
      <c r="G108" t="s">
        <v>16</v>
      </c>
      <c r="H108">
        <v>85000</v>
      </c>
      <c r="I108">
        <v>1</v>
      </c>
      <c r="J108" t="s">
        <v>35</v>
      </c>
      <c r="K108">
        <v>68000</v>
      </c>
    </row>
    <row r="109" spans="1:11" x14ac:dyDescent="0.25">
      <c r="A109" s="10">
        <v>45699</v>
      </c>
      <c r="B109" t="s">
        <v>29</v>
      </c>
      <c r="C109" t="s">
        <v>26</v>
      </c>
      <c r="D109" t="s">
        <v>23</v>
      </c>
      <c r="E109" t="s">
        <v>20</v>
      </c>
      <c r="F109" t="s">
        <v>34</v>
      </c>
      <c r="G109" t="s">
        <v>16</v>
      </c>
      <c r="H109">
        <v>320000</v>
      </c>
      <c r="I109">
        <v>7</v>
      </c>
      <c r="J109" t="s">
        <v>35</v>
      </c>
      <c r="K109">
        <v>256000</v>
      </c>
    </row>
    <row r="110" spans="1:11" x14ac:dyDescent="0.25">
      <c r="A110" s="10">
        <v>45696</v>
      </c>
      <c r="B110" t="s">
        <v>18</v>
      </c>
      <c r="C110" t="s">
        <v>32</v>
      </c>
      <c r="D110" t="s">
        <v>23</v>
      </c>
      <c r="E110" t="s">
        <v>14</v>
      </c>
      <c r="F110" t="s">
        <v>27</v>
      </c>
      <c r="G110" t="s">
        <v>22</v>
      </c>
      <c r="H110">
        <v>60000</v>
      </c>
      <c r="I110">
        <v>9</v>
      </c>
      <c r="J110" t="s">
        <v>17</v>
      </c>
      <c r="K110">
        <v>48000</v>
      </c>
    </row>
    <row r="111" spans="1:11" x14ac:dyDescent="0.25">
      <c r="A111" s="10">
        <v>45660</v>
      </c>
      <c r="B111" t="s">
        <v>29</v>
      </c>
      <c r="C111" t="s">
        <v>32</v>
      </c>
      <c r="D111" t="s">
        <v>23</v>
      </c>
      <c r="E111" t="s">
        <v>20</v>
      </c>
      <c r="F111" t="s">
        <v>15</v>
      </c>
      <c r="G111" t="s">
        <v>16</v>
      </c>
      <c r="H111">
        <v>85000</v>
      </c>
      <c r="I111">
        <v>1</v>
      </c>
      <c r="J111" t="s">
        <v>24</v>
      </c>
      <c r="K111">
        <v>68000</v>
      </c>
    </row>
    <row r="112" spans="1:11" x14ac:dyDescent="0.25">
      <c r="A112" s="10">
        <v>45742</v>
      </c>
      <c r="B112" t="s">
        <v>18</v>
      </c>
      <c r="C112" t="s">
        <v>19</v>
      </c>
      <c r="D112" t="s">
        <v>13</v>
      </c>
      <c r="E112" t="s">
        <v>14</v>
      </c>
      <c r="F112" t="s">
        <v>30</v>
      </c>
      <c r="G112" t="s">
        <v>31</v>
      </c>
      <c r="H112">
        <v>300000</v>
      </c>
      <c r="I112">
        <v>6</v>
      </c>
      <c r="J112" t="s">
        <v>39</v>
      </c>
      <c r="K112">
        <v>240000</v>
      </c>
    </row>
    <row r="113" spans="1:11" x14ac:dyDescent="0.25">
      <c r="A113" s="10">
        <v>45674</v>
      </c>
      <c r="B113" t="s">
        <v>29</v>
      </c>
      <c r="C113" t="s">
        <v>19</v>
      </c>
      <c r="D113" t="s">
        <v>23</v>
      </c>
      <c r="E113" t="s">
        <v>14</v>
      </c>
      <c r="F113" t="s">
        <v>21</v>
      </c>
      <c r="G113" t="s">
        <v>22</v>
      </c>
      <c r="H113">
        <v>30000</v>
      </c>
      <c r="I113">
        <v>5</v>
      </c>
      <c r="J113" t="s">
        <v>17</v>
      </c>
      <c r="K113">
        <v>24000</v>
      </c>
    </row>
    <row r="114" spans="1:11" x14ac:dyDescent="0.25">
      <c r="A114" s="10">
        <v>45725</v>
      </c>
      <c r="B114" t="s">
        <v>29</v>
      </c>
      <c r="C114" t="s">
        <v>12</v>
      </c>
      <c r="D114" t="s">
        <v>13</v>
      </c>
      <c r="E114" t="s">
        <v>20</v>
      </c>
      <c r="F114" t="s">
        <v>36</v>
      </c>
      <c r="G114" t="s">
        <v>31</v>
      </c>
      <c r="H114">
        <v>150000</v>
      </c>
      <c r="I114">
        <v>4</v>
      </c>
      <c r="J114" t="s">
        <v>37</v>
      </c>
      <c r="K114">
        <v>120000</v>
      </c>
    </row>
    <row r="115" spans="1:11" x14ac:dyDescent="0.25">
      <c r="A115" s="10">
        <v>45742</v>
      </c>
      <c r="B115" t="s">
        <v>25</v>
      </c>
      <c r="C115" t="s">
        <v>12</v>
      </c>
      <c r="D115" t="s">
        <v>23</v>
      </c>
      <c r="E115" t="s">
        <v>20</v>
      </c>
      <c r="F115" t="s">
        <v>36</v>
      </c>
      <c r="G115" t="s">
        <v>31</v>
      </c>
      <c r="H115">
        <v>150000</v>
      </c>
      <c r="I115">
        <v>6</v>
      </c>
      <c r="J115" t="s">
        <v>37</v>
      </c>
      <c r="K115">
        <v>120000</v>
      </c>
    </row>
    <row r="116" spans="1:11" x14ac:dyDescent="0.25">
      <c r="A116" s="10">
        <v>45766</v>
      </c>
      <c r="B116" t="s">
        <v>29</v>
      </c>
      <c r="C116" t="s">
        <v>19</v>
      </c>
      <c r="D116" t="s">
        <v>23</v>
      </c>
      <c r="E116" t="s">
        <v>20</v>
      </c>
      <c r="F116" t="s">
        <v>36</v>
      </c>
      <c r="G116" t="s">
        <v>31</v>
      </c>
      <c r="H116">
        <v>150000</v>
      </c>
      <c r="I116">
        <v>8</v>
      </c>
      <c r="J116" t="s">
        <v>37</v>
      </c>
      <c r="K116">
        <v>120000</v>
      </c>
    </row>
    <row r="117" spans="1:11" x14ac:dyDescent="0.25">
      <c r="A117" s="10">
        <v>45673</v>
      </c>
      <c r="B117" t="s">
        <v>25</v>
      </c>
      <c r="C117" t="s">
        <v>19</v>
      </c>
      <c r="D117" t="s">
        <v>13</v>
      </c>
      <c r="E117" t="s">
        <v>20</v>
      </c>
      <c r="F117" t="s">
        <v>21</v>
      </c>
      <c r="G117" t="s">
        <v>22</v>
      </c>
      <c r="H117">
        <v>30000</v>
      </c>
      <c r="I117">
        <v>6</v>
      </c>
      <c r="J117" t="s">
        <v>17</v>
      </c>
      <c r="K117">
        <v>24000</v>
      </c>
    </row>
    <row r="118" spans="1:11" x14ac:dyDescent="0.25">
      <c r="A118" s="10">
        <v>45678</v>
      </c>
      <c r="B118" t="s">
        <v>11</v>
      </c>
      <c r="C118" t="s">
        <v>19</v>
      </c>
      <c r="D118" t="s">
        <v>13</v>
      </c>
      <c r="E118" t="s">
        <v>14</v>
      </c>
      <c r="F118" t="s">
        <v>40</v>
      </c>
      <c r="G118" t="s">
        <v>31</v>
      </c>
      <c r="H118">
        <v>250000</v>
      </c>
      <c r="I118">
        <v>3</v>
      </c>
      <c r="J118" t="s">
        <v>35</v>
      </c>
      <c r="K118">
        <v>200000</v>
      </c>
    </row>
    <row r="119" spans="1:11" x14ac:dyDescent="0.25">
      <c r="A119" s="10">
        <v>45730</v>
      </c>
      <c r="B119" t="s">
        <v>25</v>
      </c>
      <c r="C119" t="s">
        <v>19</v>
      </c>
      <c r="D119" t="s">
        <v>23</v>
      </c>
      <c r="E119" t="s">
        <v>14</v>
      </c>
      <c r="F119" t="s">
        <v>36</v>
      </c>
      <c r="G119" t="s">
        <v>31</v>
      </c>
      <c r="H119">
        <v>150000</v>
      </c>
      <c r="I119">
        <v>5</v>
      </c>
      <c r="J119" t="s">
        <v>17</v>
      </c>
      <c r="K119">
        <v>120000</v>
      </c>
    </row>
    <row r="120" spans="1:11" x14ac:dyDescent="0.25">
      <c r="A120" s="10">
        <v>45734</v>
      </c>
      <c r="B120" t="s">
        <v>11</v>
      </c>
      <c r="C120" t="s">
        <v>19</v>
      </c>
      <c r="D120" t="s">
        <v>13</v>
      </c>
      <c r="E120" t="s">
        <v>14</v>
      </c>
      <c r="F120" t="s">
        <v>41</v>
      </c>
      <c r="G120" t="s">
        <v>22</v>
      </c>
      <c r="H120">
        <v>220000</v>
      </c>
      <c r="I120">
        <v>1</v>
      </c>
      <c r="J120" t="s">
        <v>37</v>
      </c>
      <c r="K120">
        <v>176000</v>
      </c>
    </row>
    <row r="121" spans="1:11" x14ac:dyDescent="0.25">
      <c r="A121" s="10">
        <v>45670</v>
      </c>
      <c r="B121" t="s">
        <v>29</v>
      </c>
      <c r="C121" t="s">
        <v>19</v>
      </c>
      <c r="D121" t="s">
        <v>13</v>
      </c>
      <c r="E121" t="s">
        <v>20</v>
      </c>
      <c r="F121" t="s">
        <v>34</v>
      </c>
      <c r="G121" t="s">
        <v>16</v>
      </c>
      <c r="H121">
        <v>320000</v>
      </c>
      <c r="I121">
        <v>10</v>
      </c>
      <c r="J121" t="s">
        <v>35</v>
      </c>
      <c r="K121">
        <v>256000</v>
      </c>
    </row>
    <row r="122" spans="1:11" x14ac:dyDescent="0.25">
      <c r="A122" s="10">
        <v>45683</v>
      </c>
      <c r="B122" t="s">
        <v>25</v>
      </c>
      <c r="C122" t="s">
        <v>12</v>
      </c>
      <c r="D122" t="s">
        <v>23</v>
      </c>
      <c r="E122" t="s">
        <v>20</v>
      </c>
      <c r="F122" t="s">
        <v>27</v>
      </c>
      <c r="G122" t="s">
        <v>22</v>
      </c>
      <c r="H122">
        <v>60000</v>
      </c>
      <c r="I122">
        <v>5</v>
      </c>
      <c r="J122" t="s">
        <v>24</v>
      </c>
      <c r="K122">
        <v>48000</v>
      </c>
    </row>
    <row r="123" spans="1:11" x14ac:dyDescent="0.25">
      <c r="A123" s="10">
        <v>45757</v>
      </c>
      <c r="B123" t="s">
        <v>18</v>
      </c>
      <c r="C123" t="s">
        <v>32</v>
      </c>
      <c r="D123" t="s">
        <v>13</v>
      </c>
      <c r="E123" t="s">
        <v>20</v>
      </c>
      <c r="F123" t="s">
        <v>36</v>
      </c>
      <c r="G123" t="s">
        <v>31</v>
      </c>
      <c r="H123">
        <v>150000</v>
      </c>
      <c r="I123">
        <v>7</v>
      </c>
      <c r="J123" t="s">
        <v>39</v>
      </c>
      <c r="K123">
        <v>120000</v>
      </c>
    </row>
    <row r="124" spans="1:11" x14ac:dyDescent="0.25">
      <c r="A124" s="10">
        <v>45774</v>
      </c>
      <c r="B124" t="s">
        <v>29</v>
      </c>
      <c r="C124" t="s">
        <v>26</v>
      </c>
      <c r="D124" t="s">
        <v>13</v>
      </c>
      <c r="E124" t="s">
        <v>14</v>
      </c>
      <c r="F124" t="s">
        <v>27</v>
      </c>
      <c r="G124" t="s">
        <v>22</v>
      </c>
      <c r="H124">
        <v>60000</v>
      </c>
      <c r="I124">
        <v>7</v>
      </c>
      <c r="J124" t="s">
        <v>28</v>
      </c>
      <c r="K124">
        <v>48000</v>
      </c>
    </row>
    <row r="125" spans="1:11" x14ac:dyDescent="0.25">
      <c r="A125" s="10">
        <v>45698</v>
      </c>
      <c r="B125" t="s">
        <v>29</v>
      </c>
      <c r="C125" t="s">
        <v>12</v>
      </c>
      <c r="D125" t="s">
        <v>23</v>
      </c>
      <c r="E125" t="s">
        <v>20</v>
      </c>
      <c r="F125" t="s">
        <v>41</v>
      </c>
      <c r="G125" t="s">
        <v>22</v>
      </c>
      <c r="H125">
        <v>220000</v>
      </c>
      <c r="I125">
        <v>4</v>
      </c>
      <c r="J125" t="s">
        <v>35</v>
      </c>
      <c r="K125">
        <v>176000</v>
      </c>
    </row>
    <row r="126" spans="1:11" x14ac:dyDescent="0.25">
      <c r="A126" s="10">
        <v>45709</v>
      </c>
      <c r="B126" t="s">
        <v>18</v>
      </c>
      <c r="C126" t="s">
        <v>26</v>
      </c>
      <c r="D126" t="s">
        <v>23</v>
      </c>
      <c r="E126" t="s">
        <v>20</v>
      </c>
      <c r="F126" t="s">
        <v>40</v>
      </c>
      <c r="G126" t="s">
        <v>31</v>
      </c>
      <c r="H126">
        <v>250000</v>
      </c>
      <c r="I126">
        <v>6</v>
      </c>
      <c r="J126" t="s">
        <v>24</v>
      </c>
      <c r="K126">
        <v>200000</v>
      </c>
    </row>
    <row r="127" spans="1:11" x14ac:dyDescent="0.25">
      <c r="A127" s="10">
        <v>45723</v>
      </c>
      <c r="B127" t="s">
        <v>29</v>
      </c>
      <c r="C127" t="s">
        <v>12</v>
      </c>
      <c r="D127" t="s">
        <v>23</v>
      </c>
      <c r="E127" t="s">
        <v>14</v>
      </c>
      <c r="F127" t="s">
        <v>38</v>
      </c>
      <c r="G127" t="s">
        <v>31</v>
      </c>
      <c r="H127">
        <v>420000</v>
      </c>
      <c r="I127">
        <v>10</v>
      </c>
      <c r="J127" t="s">
        <v>17</v>
      </c>
      <c r="K127">
        <v>336000</v>
      </c>
    </row>
    <row r="128" spans="1:11" x14ac:dyDescent="0.25">
      <c r="A128" s="10">
        <v>45746</v>
      </c>
      <c r="B128" t="s">
        <v>18</v>
      </c>
      <c r="C128" t="s">
        <v>12</v>
      </c>
      <c r="D128" t="s">
        <v>13</v>
      </c>
      <c r="E128" t="s">
        <v>14</v>
      </c>
      <c r="F128" t="s">
        <v>21</v>
      </c>
      <c r="G128" t="s">
        <v>22</v>
      </c>
      <c r="H128">
        <v>30000</v>
      </c>
      <c r="I128">
        <v>9</v>
      </c>
      <c r="J128" t="s">
        <v>39</v>
      </c>
      <c r="K128">
        <v>24000</v>
      </c>
    </row>
    <row r="129" spans="1:11" x14ac:dyDescent="0.25">
      <c r="A129" s="10">
        <v>45737</v>
      </c>
      <c r="B129" t="s">
        <v>11</v>
      </c>
      <c r="C129" t="s">
        <v>26</v>
      </c>
      <c r="D129" t="s">
        <v>13</v>
      </c>
      <c r="E129" t="s">
        <v>20</v>
      </c>
      <c r="F129" t="s">
        <v>33</v>
      </c>
      <c r="G129" t="s">
        <v>22</v>
      </c>
      <c r="H129">
        <v>180000</v>
      </c>
      <c r="I129">
        <v>8</v>
      </c>
      <c r="J129" t="s">
        <v>28</v>
      </c>
      <c r="K129">
        <v>144000</v>
      </c>
    </row>
    <row r="130" spans="1:11" x14ac:dyDescent="0.25">
      <c r="A130" s="10">
        <v>45680</v>
      </c>
      <c r="B130" t="s">
        <v>29</v>
      </c>
      <c r="C130" t="s">
        <v>19</v>
      </c>
      <c r="D130" t="s">
        <v>13</v>
      </c>
      <c r="E130" t="s">
        <v>14</v>
      </c>
      <c r="F130" t="s">
        <v>38</v>
      </c>
      <c r="G130" t="s">
        <v>31</v>
      </c>
      <c r="H130">
        <v>420000</v>
      </c>
      <c r="I130">
        <v>5</v>
      </c>
      <c r="J130" t="s">
        <v>37</v>
      </c>
      <c r="K130">
        <v>336000</v>
      </c>
    </row>
    <row r="131" spans="1:11" x14ac:dyDescent="0.25">
      <c r="A131" s="10">
        <v>45666</v>
      </c>
      <c r="B131" t="s">
        <v>11</v>
      </c>
      <c r="C131" t="s">
        <v>12</v>
      </c>
      <c r="D131" t="s">
        <v>23</v>
      </c>
      <c r="E131" t="s">
        <v>14</v>
      </c>
      <c r="F131" t="s">
        <v>27</v>
      </c>
      <c r="G131" t="s">
        <v>22</v>
      </c>
      <c r="H131">
        <v>60000</v>
      </c>
      <c r="I131">
        <v>9</v>
      </c>
      <c r="J131" t="s">
        <v>17</v>
      </c>
      <c r="K131">
        <v>48000</v>
      </c>
    </row>
    <row r="132" spans="1:11" x14ac:dyDescent="0.25">
      <c r="A132" s="10">
        <v>45700</v>
      </c>
      <c r="B132" t="s">
        <v>25</v>
      </c>
      <c r="C132" t="s">
        <v>26</v>
      </c>
      <c r="D132" t="s">
        <v>23</v>
      </c>
      <c r="E132" t="s">
        <v>20</v>
      </c>
      <c r="F132" t="s">
        <v>15</v>
      </c>
      <c r="G132" t="s">
        <v>16</v>
      </c>
      <c r="H132">
        <v>85000</v>
      </c>
      <c r="I132">
        <v>5</v>
      </c>
      <c r="J132" t="s">
        <v>24</v>
      </c>
      <c r="K132">
        <v>68000</v>
      </c>
    </row>
    <row r="133" spans="1:11" x14ac:dyDescent="0.25">
      <c r="A133" s="10">
        <v>45752</v>
      </c>
      <c r="B133" t="s">
        <v>25</v>
      </c>
      <c r="C133" t="s">
        <v>26</v>
      </c>
      <c r="D133" t="s">
        <v>23</v>
      </c>
      <c r="E133" t="s">
        <v>14</v>
      </c>
      <c r="F133" t="s">
        <v>15</v>
      </c>
      <c r="G133" t="s">
        <v>16</v>
      </c>
      <c r="H133">
        <v>85000</v>
      </c>
      <c r="I133">
        <v>1</v>
      </c>
      <c r="J133" t="s">
        <v>28</v>
      </c>
      <c r="K133">
        <v>68000</v>
      </c>
    </row>
    <row r="134" spans="1:11" x14ac:dyDescent="0.25">
      <c r="A134" s="10">
        <v>45683</v>
      </c>
      <c r="B134" t="s">
        <v>18</v>
      </c>
      <c r="C134" t="s">
        <v>19</v>
      </c>
      <c r="D134" t="s">
        <v>13</v>
      </c>
      <c r="E134" t="s">
        <v>20</v>
      </c>
      <c r="F134" t="s">
        <v>27</v>
      </c>
      <c r="G134" t="s">
        <v>22</v>
      </c>
      <c r="H134">
        <v>60000</v>
      </c>
      <c r="I134">
        <v>8</v>
      </c>
      <c r="J134" t="s">
        <v>35</v>
      </c>
      <c r="K134">
        <v>48000</v>
      </c>
    </row>
    <row r="135" spans="1:11" x14ac:dyDescent="0.25">
      <c r="A135" s="10">
        <v>45774</v>
      </c>
      <c r="B135" t="s">
        <v>11</v>
      </c>
      <c r="C135" t="s">
        <v>26</v>
      </c>
      <c r="D135" t="s">
        <v>23</v>
      </c>
      <c r="E135" t="s">
        <v>14</v>
      </c>
      <c r="F135" t="s">
        <v>36</v>
      </c>
      <c r="G135" t="s">
        <v>31</v>
      </c>
      <c r="H135">
        <v>150000</v>
      </c>
      <c r="I135">
        <v>5</v>
      </c>
      <c r="J135" t="s">
        <v>37</v>
      </c>
      <c r="K135">
        <v>120000</v>
      </c>
    </row>
    <row r="136" spans="1:11" x14ac:dyDescent="0.25">
      <c r="A136" s="10">
        <v>45746</v>
      </c>
      <c r="B136" t="s">
        <v>11</v>
      </c>
      <c r="C136" t="s">
        <v>32</v>
      </c>
      <c r="D136" t="s">
        <v>13</v>
      </c>
      <c r="E136" t="s">
        <v>14</v>
      </c>
      <c r="F136" t="s">
        <v>34</v>
      </c>
      <c r="G136" t="s">
        <v>16</v>
      </c>
      <c r="H136">
        <v>320000</v>
      </c>
      <c r="I136">
        <v>10</v>
      </c>
      <c r="J136" t="s">
        <v>35</v>
      </c>
      <c r="K136">
        <v>256000</v>
      </c>
    </row>
    <row r="137" spans="1:11" x14ac:dyDescent="0.25">
      <c r="A137" s="10">
        <v>45686</v>
      </c>
      <c r="B137" t="s">
        <v>11</v>
      </c>
      <c r="C137" t="s">
        <v>32</v>
      </c>
      <c r="D137" t="s">
        <v>23</v>
      </c>
      <c r="E137" t="s">
        <v>14</v>
      </c>
      <c r="F137" t="s">
        <v>40</v>
      </c>
      <c r="G137" t="s">
        <v>31</v>
      </c>
      <c r="H137">
        <v>250000</v>
      </c>
      <c r="I137">
        <v>6</v>
      </c>
      <c r="J137" t="s">
        <v>39</v>
      </c>
      <c r="K137">
        <v>200000</v>
      </c>
    </row>
    <row r="138" spans="1:11" x14ac:dyDescent="0.25">
      <c r="A138" s="10">
        <v>45678</v>
      </c>
      <c r="B138" t="s">
        <v>25</v>
      </c>
      <c r="C138" t="s">
        <v>26</v>
      </c>
      <c r="D138" t="s">
        <v>23</v>
      </c>
      <c r="E138" t="s">
        <v>14</v>
      </c>
      <c r="F138" t="s">
        <v>36</v>
      </c>
      <c r="G138" t="s">
        <v>31</v>
      </c>
      <c r="H138">
        <v>150000</v>
      </c>
      <c r="I138">
        <v>3</v>
      </c>
      <c r="J138" t="s">
        <v>17</v>
      </c>
      <c r="K138">
        <v>120000</v>
      </c>
    </row>
    <row r="139" spans="1:11" x14ac:dyDescent="0.25">
      <c r="A139" s="10">
        <v>45737</v>
      </c>
      <c r="B139" t="s">
        <v>11</v>
      </c>
      <c r="C139" t="s">
        <v>19</v>
      </c>
      <c r="D139" t="s">
        <v>23</v>
      </c>
      <c r="E139" t="s">
        <v>14</v>
      </c>
      <c r="F139" t="s">
        <v>27</v>
      </c>
      <c r="G139" t="s">
        <v>22</v>
      </c>
      <c r="H139">
        <v>60000</v>
      </c>
      <c r="I139">
        <v>10</v>
      </c>
      <c r="J139" t="s">
        <v>37</v>
      </c>
      <c r="K139">
        <v>48000</v>
      </c>
    </row>
    <row r="140" spans="1:11" x14ac:dyDescent="0.25">
      <c r="A140" s="10">
        <v>45758</v>
      </c>
      <c r="B140" t="s">
        <v>29</v>
      </c>
      <c r="C140" t="s">
        <v>26</v>
      </c>
      <c r="D140" t="s">
        <v>13</v>
      </c>
      <c r="E140" t="s">
        <v>14</v>
      </c>
      <c r="F140" t="s">
        <v>36</v>
      </c>
      <c r="G140" t="s">
        <v>31</v>
      </c>
      <c r="H140">
        <v>150000</v>
      </c>
      <c r="I140">
        <v>8</v>
      </c>
      <c r="J140" t="s">
        <v>28</v>
      </c>
      <c r="K140">
        <v>120000</v>
      </c>
    </row>
    <row r="141" spans="1:11" x14ac:dyDescent="0.25">
      <c r="A141" s="10">
        <v>45775</v>
      </c>
      <c r="B141" t="s">
        <v>25</v>
      </c>
      <c r="C141" t="s">
        <v>12</v>
      </c>
      <c r="D141" t="s">
        <v>13</v>
      </c>
      <c r="E141" t="s">
        <v>14</v>
      </c>
      <c r="F141" t="s">
        <v>40</v>
      </c>
      <c r="G141" t="s">
        <v>31</v>
      </c>
      <c r="H141">
        <v>250000</v>
      </c>
      <c r="I141">
        <v>7</v>
      </c>
      <c r="J141" t="s">
        <v>37</v>
      </c>
      <c r="K141">
        <v>200000</v>
      </c>
    </row>
    <row r="142" spans="1:11" x14ac:dyDescent="0.25">
      <c r="A142" s="10">
        <v>45774</v>
      </c>
      <c r="B142" t="s">
        <v>25</v>
      </c>
      <c r="C142" t="s">
        <v>32</v>
      </c>
      <c r="D142" t="s">
        <v>23</v>
      </c>
      <c r="E142" t="s">
        <v>14</v>
      </c>
      <c r="F142" t="s">
        <v>15</v>
      </c>
      <c r="G142" t="s">
        <v>16</v>
      </c>
      <c r="H142">
        <v>85000</v>
      </c>
      <c r="I142">
        <v>6</v>
      </c>
      <c r="J142" t="s">
        <v>35</v>
      </c>
      <c r="K142">
        <v>68000</v>
      </c>
    </row>
    <row r="143" spans="1:11" x14ac:dyDescent="0.25">
      <c r="A143" s="10">
        <v>45699</v>
      </c>
      <c r="B143" t="s">
        <v>29</v>
      </c>
      <c r="C143" t="s">
        <v>12</v>
      </c>
      <c r="D143" t="s">
        <v>23</v>
      </c>
      <c r="E143" t="s">
        <v>14</v>
      </c>
      <c r="F143" t="s">
        <v>33</v>
      </c>
      <c r="G143" t="s">
        <v>22</v>
      </c>
      <c r="H143">
        <v>180000</v>
      </c>
      <c r="I143">
        <v>9</v>
      </c>
      <c r="J143" t="s">
        <v>37</v>
      </c>
      <c r="K143">
        <v>144000</v>
      </c>
    </row>
    <row r="144" spans="1:11" x14ac:dyDescent="0.25">
      <c r="A144" s="10">
        <v>45740</v>
      </c>
      <c r="B144" t="s">
        <v>11</v>
      </c>
      <c r="C144" t="s">
        <v>32</v>
      </c>
      <c r="D144" t="s">
        <v>23</v>
      </c>
      <c r="E144" t="s">
        <v>14</v>
      </c>
      <c r="F144" t="s">
        <v>21</v>
      </c>
      <c r="G144" t="s">
        <v>22</v>
      </c>
      <c r="H144">
        <v>30000</v>
      </c>
      <c r="I144">
        <v>8</v>
      </c>
      <c r="J144" t="s">
        <v>37</v>
      </c>
      <c r="K144">
        <v>24000</v>
      </c>
    </row>
    <row r="145" spans="1:11" x14ac:dyDescent="0.25">
      <c r="A145" s="10">
        <v>45679</v>
      </c>
      <c r="B145" t="s">
        <v>25</v>
      </c>
      <c r="C145" t="s">
        <v>12</v>
      </c>
      <c r="D145" t="s">
        <v>23</v>
      </c>
      <c r="E145" t="s">
        <v>20</v>
      </c>
      <c r="F145" t="s">
        <v>15</v>
      </c>
      <c r="G145" t="s">
        <v>16</v>
      </c>
      <c r="H145">
        <v>85000</v>
      </c>
      <c r="I145">
        <v>1</v>
      </c>
      <c r="J145" t="s">
        <v>24</v>
      </c>
      <c r="K145">
        <v>68000</v>
      </c>
    </row>
    <row r="146" spans="1:11" x14ac:dyDescent="0.25">
      <c r="A146" s="10">
        <v>45693</v>
      </c>
      <c r="B146" t="s">
        <v>11</v>
      </c>
      <c r="C146" t="s">
        <v>32</v>
      </c>
      <c r="D146" t="s">
        <v>23</v>
      </c>
      <c r="E146" t="s">
        <v>14</v>
      </c>
      <c r="F146" t="s">
        <v>21</v>
      </c>
      <c r="G146" t="s">
        <v>22</v>
      </c>
      <c r="H146">
        <v>30000</v>
      </c>
      <c r="I146">
        <v>8</v>
      </c>
      <c r="J146" t="s">
        <v>39</v>
      </c>
      <c r="K146">
        <v>24000</v>
      </c>
    </row>
    <row r="147" spans="1:11" x14ac:dyDescent="0.25">
      <c r="A147" s="10">
        <v>45673</v>
      </c>
      <c r="B147" t="s">
        <v>29</v>
      </c>
      <c r="C147" t="s">
        <v>26</v>
      </c>
      <c r="D147" t="s">
        <v>13</v>
      </c>
      <c r="E147" t="s">
        <v>14</v>
      </c>
      <c r="F147" t="s">
        <v>34</v>
      </c>
      <c r="G147" t="s">
        <v>16</v>
      </c>
      <c r="H147">
        <v>320000</v>
      </c>
      <c r="I147">
        <v>2</v>
      </c>
      <c r="J147" t="s">
        <v>37</v>
      </c>
      <c r="K147">
        <v>256000</v>
      </c>
    </row>
    <row r="148" spans="1:11" x14ac:dyDescent="0.25">
      <c r="A148" s="10">
        <v>45731</v>
      </c>
      <c r="B148" t="s">
        <v>18</v>
      </c>
      <c r="C148" t="s">
        <v>12</v>
      </c>
      <c r="D148" t="s">
        <v>13</v>
      </c>
      <c r="E148" t="s">
        <v>14</v>
      </c>
      <c r="F148" t="s">
        <v>36</v>
      </c>
      <c r="G148" t="s">
        <v>31</v>
      </c>
      <c r="H148">
        <v>150000</v>
      </c>
      <c r="I148">
        <v>5</v>
      </c>
      <c r="J148" t="s">
        <v>37</v>
      </c>
      <c r="K148">
        <v>120000</v>
      </c>
    </row>
    <row r="149" spans="1:11" x14ac:dyDescent="0.25">
      <c r="A149" s="10">
        <v>45739</v>
      </c>
      <c r="B149" t="s">
        <v>18</v>
      </c>
      <c r="C149" t="s">
        <v>26</v>
      </c>
      <c r="D149" t="s">
        <v>23</v>
      </c>
      <c r="E149" t="s">
        <v>14</v>
      </c>
      <c r="F149" t="s">
        <v>40</v>
      </c>
      <c r="G149" t="s">
        <v>31</v>
      </c>
      <c r="H149">
        <v>250000</v>
      </c>
      <c r="I149">
        <v>5</v>
      </c>
      <c r="J149" t="s">
        <v>39</v>
      </c>
      <c r="K149">
        <v>200000</v>
      </c>
    </row>
    <row r="150" spans="1:11" x14ac:dyDescent="0.25">
      <c r="A150" s="10">
        <v>45676</v>
      </c>
      <c r="B150" t="s">
        <v>29</v>
      </c>
      <c r="C150" t="s">
        <v>32</v>
      </c>
      <c r="D150" t="s">
        <v>23</v>
      </c>
      <c r="E150" t="s">
        <v>14</v>
      </c>
      <c r="F150" t="s">
        <v>41</v>
      </c>
      <c r="G150" t="s">
        <v>22</v>
      </c>
      <c r="H150">
        <v>220000</v>
      </c>
      <c r="I150">
        <v>10</v>
      </c>
      <c r="J150" t="s">
        <v>24</v>
      </c>
      <c r="K150">
        <v>176000</v>
      </c>
    </row>
    <row r="151" spans="1:11" x14ac:dyDescent="0.25">
      <c r="A151" s="10">
        <v>45760</v>
      </c>
      <c r="B151" t="s">
        <v>29</v>
      </c>
      <c r="C151" t="s">
        <v>26</v>
      </c>
      <c r="D151" t="s">
        <v>23</v>
      </c>
      <c r="E151" t="s">
        <v>14</v>
      </c>
      <c r="F151" t="s">
        <v>27</v>
      </c>
      <c r="G151" t="s">
        <v>22</v>
      </c>
      <c r="H151">
        <v>60000</v>
      </c>
      <c r="I151">
        <v>2</v>
      </c>
      <c r="J151" t="s">
        <v>35</v>
      </c>
      <c r="K151">
        <v>48000</v>
      </c>
    </row>
    <row r="152" spans="1:11" x14ac:dyDescent="0.25">
      <c r="A152" s="10">
        <v>45673</v>
      </c>
      <c r="B152" t="s">
        <v>29</v>
      </c>
      <c r="C152" t="s">
        <v>26</v>
      </c>
      <c r="D152" t="s">
        <v>23</v>
      </c>
      <c r="E152" t="s">
        <v>20</v>
      </c>
      <c r="F152" t="s">
        <v>40</v>
      </c>
      <c r="G152" t="s">
        <v>31</v>
      </c>
      <c r="H152">
        <v>250000</v>
      </c>
      <c r="I152">
        <v>1</v>
      </c>
      <c r="J152" t="s">
        <v>37</v>
      </c>
      <c r="K152">
        <v>200000</v>
      </c>
    </row>
    <row r="153" spans="1:11" x14ac:dyDescent="0.25">
      <c r="A153" s="10">
        <v>45672</v>
      </c>
      <c r="B153" t="s">
        <v>11</v>
      </c>
      <c r="C153" t="s">
        <v>12</v>
      </c>
      <c r="D153" t="s">
        <v>13</v>
      </c>
      <c r="E153" t="s">
        <v>14</v>
      </c>
      <c r="F153" t="s">
        <v>33</v>
      </c>
      <c r="G153" t="s">
        <v>22</v>
      </c>
      <c r="H153">
        <v>180000</v>
      </c>
      <c r="I153">
        <v>8</v>
      </c>
      <c r="J153" t="s">
        <v>39</v>
      </c>
      <c r="K153">
        <v>144000</v>
      </c>
    </row>
    <row r="154" spans="1:11" x14ac:dyDescent="0.25">
      <c r="A154" s="10">
        <v>45658</v>
      </c>
      <c r="B154" t="s">
        <v>29</v>
      </c>
      <c r="C154" t="s">
        <v>19</v>
      </c>
      <c r="D154" t="s">
        <v>13</v>
      </c>
      <c r="E154" t="s">
        <v>14</v>
      </c>
      <c r="F154" t="s">
        <v>36</v>
      </c>
      <c r="G154" t="s">
        <v>31</v>
      </c>
      <c r="H154">
        <v>150000</v>
      </c>
      <c r="I154">
        <v>1</v>
      </c>
      <c r="J154" t="s">
        <v>17</v>
      </c>
      <c r="K154">
        <v>120000</v>
      </c>
    </row>
    <row r="155" spans="1:11" x14ac:dyDescent="0.25">
      <c r="A155" s="10">
        <v>45689</v>
      </c>
      <c r="B155" t="s">
        <v>29</v>
      </c>
      <c r="C155" t="s">
        <v>32</v>
      </c>
      <c r="D155" t="s">
        <v>13</v>
      </c>
      <c r="E155" t="s">
        <v>14</v>
      </c>
      <c r="F155" t="s">
        <v>21</v>
      </c>
      <c r="G155" t="s">
        <v>22</v>
      </c>
      <c r="H155">
        <v>30000</v>
      </c>
      <c r="I155">
        <v>6</v>
      </c>
      <c r="J155" t="s">
        <v>24</v>
      </c>
      <c r="K155">
        <v>24000</v>
      </c>
    </row>
    <row r="156" spans="1:11" x14ac:dyDescent="0.25">
      <c r="A156" s="10">
        <v>45678</v>
      </c>
      <c r="B156" t="s">
        <v>11</v>
      </c>
      <c r="C156" t="s">
        <v>12</v>
      </c>
      <c r="D156" t="s">
        <v>23</v>
      </c>
      <c r="E156" t="s">
        <v>14</v>
      </c>
      <c r="F156" t="s">
        <v>41</v>
      </c>
      <c r="G156" t="s">
        <v>22</v>
      </c>
      <c r="H156">
        <v>220000</v>
      </c>
      <c r="I156">
        <v>10</v>
      </c>
      <c r="J156" t="s">
        <v>39</v>
      </c>
      <c r="K156">
        <v>176000</v>
      </c>
    </row>
    <row r="157" spans="1:11" x14ac:dyDescent="0.25">
      <c r="A157" s="10">
        <v>45674</v>
      </c>
      <c r="B157" t="s">
        <v>11</v>
      </c>
      <c r="C157" t="s">
        <v>12</v>
      </c>
      <c r="D157" t="s">
        <v>13</v>
      </c>
      <c r="E157" t="s">
        <v>20</v>
      </c>
      <c r="F157" t="s">
        <v>38</v>
      </c>
      <c r="G157" t="s">
        <v>31</v>
      </c>
      <c r="H157">
        <v>420000</v>
      </c>
      <c r="I157">
        <v>1</v>
      </c>
      <c r="J157" t="s">
        <v>24</v>
      </c>
      <c r="K157">
        <v>336000</v>
      </c>
    </row>
    <row r="158" spans="1:11" x14ac:dyDescent="0.25">
      <c r="A158" s="10">
        <v>45671</v>
      </c>
      <c r="B158" t="s">
        <v>11</v>
      </c>
      <c r="C158" t="s">
        <v>19</v>
      </c>
      <c r="D158" t="s">
        <v>23</v>
      </c>
      <c r="E158" t="s">
        <v>20</v>
      </c>
      <c r="F158" t="s">
        <v>30</v>
      </c>
      <c r="G158" t="s">
        <v>31</v>
      </c>
      <c r="H158">
        <v>300000</v>
      </c>
      <c r="I158">
        <v>8</v>
      </c>
      <c r="J158" t="s">
        <v>24</v>
      </c>
      <c r="K158">
        <v>240000</v>
      </c>
    </row>
    <row r="159" spans="1:11" x14ac:dyDescent="0.25">
      <c r="A159" s="10">
        <v>45714</v>
      </c>
      <c r="B159" t="s">
        <v>29</v>
      </c>
      <c r="C159" t="s">
        <v>32</v>
      </c>
      <c r="D159" t="s">
        <v>23</v>
      </c>
      <c r="E159" t="s">
        <v>14</v>
      </c>
      <c r="F159" t="s">
        <v>40</v>
      </c>
      <c r="G159" t="s">
        <v>31</v>
      </c>
      <c r="H159">
        <v>250000</v>
      </c>
      <c r="I159">
        <v>3</v>
      </c>
      <c r="J159" t="s">
        <v>17</v>
      </c>
      <c r="K159">
        <v>200000</v>
      </c>
    </row>
    <row r="160" spans="1:11" x14ac:dyDescent="0.25">
      <c r="A160" s="10">
        <v>45729</v>
      </c>
      <c r="B160" t="s">
        <v>11</v>
      </c>
      <c r="C160" t="s">
        <v>32</v>
      </c>
      <c r="D160" t="s">
        <v>23</v>
      </c>
      <c r="E160" t="s">
        <v>14</v>
      </c>
      <c r="F160" t="s">
        <v>30</v>
      </c>
      <c r="G160" t="s">
        <v>31</v>
      </c>
      <c r="H160">
        <v>300000</v>
      </c>
      <c r="I160">
        <v>4</v>
      </c>
      <c r="J160" t="s">
        <v>35</v>
      </c>
      <c r="K160">
        <v>240000</v>
      </c>
    </row>
    <row r="161" spans="1:11" x14ac:dyDescent="0.25">
      <c r="A161" s="10">
        <v>45749</v>
      </c>
      <c r="B161" t="s">
        <v>11</v>
      </c>
      <c r="C161" t="s">
        <v>26</v>
      </c>
      <c r="D161" t="s">
        <v>13</v>
      </c>
      <c r="E161" t="s">
        <v>14</v>
      </c>
      <c r="F161" t="s">
        <v>36</v>
      </c>
      <c r="G161" t="s">
        <v>31</v>
      </c>
      <c r="H161">
        <v>150000</v>
      </c>
      <c r="I161">
        <v>6</v>
      </c>
      <c r="J161" t="s">
        <v>35</v>
      </c>
      <c r="K161">
        <v>120000</v>
      </c>
    </row>
    <row r="162" spans="1:11" x14ac:dyDescent="0.25">
      <c r="A162" s="10">
        <v>45761</v>
      </c>
      <c r="B162" t="s">
        <v>11</v>
      </c>
      <c r="C162" t="s">
        <v>32</v>
      </c>
      <c r="D162" t="s">
        <v>13</v>
      </c>
      <c r="E162" t="s">
        <v>14</v>
      </c>
      <c r="F162" t="s">
        <v>38</v>
      </c>
      <c r="G162" t="s">
        <v>31</v>
      </c>
      <c r="H162">
        <v>420000</v>
      </c>
      <c r="I162">
        <v>2</v>
      </c>
      <c r="J162" t="s">
        <v>17</v>
      </c>
      <c r="K162">
        <v>336000</v>
      </c>
    </row>
    <row r="163" spans="1:11" x14ac:dyDescent="0.25">
      <c r="A163" s="10">
        <v>45684</v>
      </c>
      <c r="B163" t="s">
        <v>25</v>
      </c>
      <c r="C163" t="s">
        <v>19</v>
      </c>
      <c r="D163" t="s">
        <v>13</v>
      </c>
      <c r="E163" t="s">
        <v>14</v>
      </c>
      <c r="F163" t="s">
        <v>41</v>
      </c>
      <c r="G163" t="s">
        <v>22</v>
      </c>
      <c r="H163">
        <v>220000</v>
      </c>
      <c r="I163">
        <v>1</v>
      </c>
      <c r="J163" t="s">
        <v>24</v>
      </c>
      <c r="K163">
        <v>176000</v>
      </c>
    </row>
    <row r="164" spans="1:11" x14ac:dyDescent="0.25">
      <c r="A164" s="10">
        <v>45764</v>
      </c>
      <c r="B164" t="s">
        <v>25</v>
      </c>
      <c r="C164" t="s">
        <v>32</v>
      </c>
      <c r="D164" t="s">
        <v>13</v>
      </c>
      <c r="E164" t="s">
        <v>20</v>
      </c>
      <c r="F164" t="s">
        <v>41</v>
      </c>
      <c r="G164" t="s">
        <v>22</v>
      </c>
      <c r="H164">
        <v>220000</v>
      </c>
      <c r="I164">
        <v>8</v>
      </c>
      <c r="J164" t="s">
        <v>37</v>
      </c>
      <c r="K164">
        <v>176000</v>
      </c>
    </row>
    <row r="165" spans="1:11" x14ac:dyDescent="0.25">
      <c r="A165" s="10">
        <v>45735</v>
      </c>
      <c r="B165" t="s">
        <v>29</v>
      </c>
      <c r="C165" t="s">
        <v>26</v>
      </c>
      <c r="D165" t="s">
        <v>13</v>
      </c>
      <c r="E165" t="s">
        <v>20</v>
      </c>
      <c r="F165" t="s">
        <v>21</v>
      </c>
      <c r="G165" t="s">
        <v>22</v>
      </c>
      <c r="H165">
        <v>30000</v>
      </c>
      <c r="I165">
        <v>10</v>
      </c>
      <c r="J165" t="s">
        <v>39</v>
      </c>
      <c r="K165">
        <v>24000</v>
      </c>
    </row>
    <row r="166" spans="1:11" x14ac:dyDescent="0.25">
      <c r="A166" s="10">
        <v>45718</v>
      </c>
      <c r="B166" t="s">
        <v>29</v>
      </c>
      <c r="C166" t="s">
        <v>19</v>
      </c>
      <c r="D166" t="s">
        <v>23</v>
      </c>
      <c r="E166" t="s">
        <v>14</v>
      </c>
      <c r="F166" t="s">
        <v>21</v>
      </c>
      <c r="G166" t="s">
        <v>22</v>
      </c>
      <c r="H166">
        <v>30000</v>
      </c>
      <c r="I166">
        <v>4</v>
      </c>
      <c r="J166" t="s">
        <v>39</v>
      </c>
      <c r="K166">
        <v>24000</v>
      </c>
    </row>
    <row r="167" spans="1:11" x14ac:dyDescent="0.25">
      <c r="A167" s="10">
        <v>45754</v>
      </c>
      <c r="B167" t="s">
        <v>11</v>
      </c>
      <c r="C167" t="s">
        <v>12</v>
      </c>
      <c r="D167" t="s">
        <v>23</v>
      </c>
      <c r="E167" t="s">
        <v>14</v>
      </c>
      <c r="F167" t="s">
        <v>33</v>
      </c>
      <c r="G167" t="s">
        <v>22</v>
      </c>
      <c r="H167">
        <v>180000</v>
      </c>
      <c r="I167">
        <v>6</v>
      </c>
      <c r="J167" t="s">
        <v>17</v>
      </c>
      <c r="K167">
        <v>144000</v>
      </c>
    </row>
    <row r="168" spans="1:11" x14ac:dyDescent="0.25">
      <c r="A168" s="10">
        <v>45750</v>
      </c>
      <c r="B168" t="s">
        <v>11</v>
      </c>
      <c r="C168" t="s">
        <v>32</v>
      </c>
      <c r="D168" t="s">
        <v>23</v>
      </c>
      <c r="E168" t="s">
        <v>14</v>
      </c>
      <c r="F168" t="s">
        <v>30</v>
      </c>
      <c r="G168" t="s">
        <v>31</v>
      </c>
      <c r="H168">
        <v>300000</v>
      </c>
      <c r="I168">
        <v>2</v>
      </c>
      <c r="J168" t="s">
        <v>39</v>
      </c>
      <c r="K168">
        <v>240000</v>
      </c>
    </row>
    <row r="169" spans="1:11" x14ac:dyDescent="0.25">
      <c r="A169" s="10">
        <v>45684</v>
      </c>
      <c r="B169" t="s">
        <v>18</v>
      </c>
      <c r="C169" t="s">
        <v>19</v>
      </c>
      <c r="D169" t="s">
        <v>13</v>
      </c>
      <c r="E169" t="s">
        <v>14</v>
      </c>
      <c r="F169" t="s">
        <v>36</v>
      </c>
      <c r="G169" t="s">
        <v>31</v>
      </c>
      <c r="H169">
        <v>150000</v>
      </c>
      <c r="I169">
        <v>9</v>
      </c>
      <c r="J169" t="s">
        <v>17</v>
      </c>
      <c r="K169">
        <v>120000</v>
      </c>
    </row>
    <row r="170" spans="1:11" x14ac:dyDescent="0.25">
      <c r="A170" s="10">
        <v>45746</v>
      </c>
      <c r="B170" t="s">
        <v>29</v>
      </c>
      <c r="C170" t="s">
        <v>12</v>
      </c>
      <c r="D170" t="s">
        <v>13</v>
      </c>
      <c r="E170" t="s">
        <v>20</v>
      </c>
      <c r="F170" t="s">
        <v>36</v>
      </c>
      <c r="G170" t="s">
        <v>31</v>
      </c>
      <c r="H170">
        <v>150000</v>
      </c>
      <c r="I170">
        <v>9</v>
      </c>
      <c r="J170" t="s">
        <v>24</v>
      </c>
      <c r="K170">
        <v>120000</v>
      </c>
    </row>
    <row r="171" spans="1:11" x14ac:dyDescent="0.25">
      <c r="A171" s="10">
        <v>45695</v>
      </c>
      <c r="B171" t="s">
        <v>11</v>
      </c>
      <c r="C171" t="s">
        <v>12</v>
      </c>
      <c r="D171" t="s">
        <v>13</v>
      </c>
      <c r="E171" t="s">
        <v>14</v>
      </c>
      <c r="F171" t="s">
        <v>21</v>
      </c>
      <c r="G171" t="s">
        <v>22</v>
      </c>
      <c r="H171">
        <v>30000</v>
      </c>
      <c r="I171">
        <v>4</v>
      </c>
      <c r="J171" t="s">
        <v>17</v>
      </c>
      <c r="K171">
        <v>24000</v>
      </c>
    </row>
    <row r="172" spans="1:11" x14ac:dyDescent="0.25">
      <c r="A172" s="10">
        <v>45778</v>
      </c>
      <c r="B172" t="s">
        <v>18</v>
      </c>
      <c r="C172" t="s">
        <v>26</v>
      </c>
      <c r="D172" t="s">
        <v>23</v>
      </c>
      <c r="E172" t="s">
        <v>14</v>
      </c>
      <c r="F172" t="s">
        <v>27</v>
      </c>
      <c r="G172" t="s">
        <v>22</v>
      </c>
      <c r="H172">
        <v>60000</v>
      </c>
      <c r="I172">
        <v>9</v>
      </c>
      <c r="J172" t="s">
        <v>28</v>
      </c>
      <c r="K172">
        <v>48000</v>
      </c>
    </row>
    <row r="173" spans="1:11" x14ac:dyDescent="0.25">
      <c r="A173" s="10">
        <v>45667</v>
      </c>
      <c r="B173" t="s">
        <v>25</v>
      </c>
      <c r="C173" t="s">
        <v>19</v>
      </c>
      <c r="D173" t="s">
        <v>13</v>
      </c>
      <c r="E173" t="s">
        <v>20</v>
      </c>
      <c r="F173" t="s">
        <v>30</v>
      </c>
      <c r="G173" t="s">
        <v>31</v>
      </c>
      <c r="H173">
        <v>300000</v>
      </c>
      <c r="I173">
        <v>9</v>
      </c>
      <c r="J173" t="s">
        <v>28</v>
      </c>
      <c r="K173">
        <v>240000</v>
      </c>
    </row>
    <row r="174" spans="1:11" x14ac:dyDescent="0.25">
      <c r="A174" s="10">
        <v>45768</v>
      </c>
      <c r="B174" t="s">
        <v>29</v>
      </c>
      <c r="C174" t="s">
        <v>32</v>
      </c>
      <c r="D174" t="s">
        <v>13</v>
      </c>
      <c r="E174" t="s">
        <v>14</v>
      </c>
      <c r="F174" t="s">
        <v>34</v>
      </c>
      <c r="G174" t="s">
        <v>16</v>
      </c>
      <c r="H174">
        <v>320000</v>
      </c>
      <c r="I174">
        <v>3</v>
      </c>
      <c r="J174" t="s">
        <v>39</v>
      </c>
      <c r="K174">
        <v>256000</v>
      </c>
    </row>
    <row r="175" spans="1:11" x14ac:dyDescent="0.25">
      <c r="A175" s="10">
        <v>45772</v>
      </c>
      <c r="B175" t="s">
        <v>11</v>
      </c>
      <c r="C175" t="s">
        <v>12</v>
      </c>
      <c r="D175" t="s">
        <v>13</v>
      </c>
      <c r="E175" t="s">
        <v>14</v>
      </c>
      <c r="F175" t="s">
        <v>36</v>
      </c>
      <c r="G175" t="s">
        <v>31</v>
      </c>
      <c r="H175">
        <v>150000</v>
      </c>
      <c r="I175">
        <v>1</v>
      </c>
      <c r="J175" t="s">
        <v>17</v>
      </c>
      <c r="K175">
        <v>120000</v>
      </c>
    </row>
    <row r="176" spans="1:11" x14ac:dyDescent="0.25">
      <c r="A176" s="10">
        <v>45749</v>
      </c>
      <c r="B176" t="s">
        <v>29</v>
      </c>
      <c r="C176" t="s">
        <v>19</v>
      </c>
      <c r="D176" t="s">
        <v>23</v>
      </c>
      <c r="E176" t="s">
        <v>14</v>
      </c>
      <c r="F176" t="s">
        <v>30</v>
      </c>
      <c r="G176" t="s">
        <v>31</v>
      </c>
      <c r="H176">
        <v>300000</v>
      </c>
      <c r="I176">
        <v>9</v>
      </c>
      <c r="J176" t="s">
        <v>28</v>
      </c>
      <c r="K176">
        <v>240000</v>
      </c>
    </row>
    <row r="177" spans="1:11" x14ac:dyDescent="0.25">
      <c r="A177" s="10">
        <v>45671</v>
      </c>
      <c r="B177" t="s">
        <v>18</v>
      </c>
      <c r="C177" t="s">
        <v>19</v>
      </c>
      <c r="D177" t="s">
        <v>13</v>
      </c>
      <c r="E177" t="s">
        <v>14</v>
      </c>
      <c r="F177" t="s">
        <v>41</v>
      </c>
      <c r="G177" t="s">
        <v>22</v>
      </c>
      <c r="H177">
        <v>220000</v>
      </c>
      <c r="I177">
        <v>3</v>
      </c>
      <c r="J177" t="s">
        <v>24</v>
      </c>
      <c r="K177">
        <v>176000</v>
      </c>
    </row>
    <row r="178" spans="1:11" x14ac:dyDescent="0.25">
      <c r="A178" s="10">
        <v>45766</v>
      </c>
      <c r="B178" t="s">
        <v>11</v>
      </c>
      <c r="C178" t="s">
        <v>26</v>
      </c>
      <c r="D178" t="s">
        <v>23</v>
      </c>
      <c r="E178" t="s">
        <v>14</v>
      </c>
      <c r="F178" t="s">
        <v>41</v>
      </c>
      <c r="G178" t="s">
        <v>22</v>
      </c>
      <c r="H178">
        <v>220000</v>
      </c>
      <c r="I178">
        <v>9</v>
      </c>
      <c r="J178" t="s">
        <v>39</v>
      </c>
      <c r="K178">
        <v>176000</v>
      </c>
    </row>
    <row r="179" spans="1:11" x14ac:dyDescent="0.25">
      <c r="A179" s="10">
        <v>45664</v>
      </c>
      <c r="B179" t="s">
        <v>18</v>
      </c>
      <c r="C179" t="s">
        <v>26</v>
      </c>
      <c r="D179" t="s">
        <v>23</v>
      </c>
      <c r="E179" t="s">
        <v>20</v>
      </c>
      <c r="F179" t="s">
        <v>27</v>
      </c>
      <c r="G179" t="s">
        <v>22</v>
      </c>
      <c r="H179">
        <v>60000</v>
      </c>
      <c r="I179">
        <v>6</v>
      </c>
      <c r="J179" t="s">
        <v>39</v>
      </c>
      <c r="K179">
        <v>48000</v>
      </c>
    </row>
    <row r="180" spans="1:11" x14ac:dyDescent="0.25">
      <c r="A180" s="10">
        <v>45692</v>
      </c>
      <c r="B180" t="s">
        <v>29</v>
      </c>
      <c r="C180" t="s">
        <v>26</v>
      </c>
      <c r="D180" t="s">
        <v>13</v>
      </c>
      <c r="E180" t="s">
        <v>20</v>
      </c>
      <c r="F180" t="s">
        <v>21</v>
      </c>
      <c r="G180" t="s">
        <v>22</v>
      </c>
      <c r="H180">
        <v>30000</v>
      </c>
      <c r="I180">
        <v>10</v>
      </c>
      <c r="J180" t="s">
        <v>35</v>
      </c>
      <c r="K180">
        <v>24000</v>
      </c>
    </row>
    <row r="181" spans="1:11" x14ac:dyDescent="0.25">
      <c r="A181" s="10">
        <v>45659</v>
      </c>
      <c r="B181" t="s">
        <v>25</v>
      </c>
      <c r="C181" t="s">
        <v>26</v>
      </c>
      <c r="D181" t="s">
        <v>23</v>
      </c>
      <c r="E181" t="s">
        <v>20</v>
      </c>
      <c r="F181" t="s">
        <v>38</v>
      </c>
      <c r="G181" t="s">
        <v>31</v>
      </c>
      <c r="H181">
        <v>420000</v>
      </c>
      <c r="I181">
        <v>8</v>
      </c>
      <c r="J181" t="s">
        <v>39</v>
      </c>
      <c r="K181">
        <v>336000</v>
      </c>
    </row>
    <row r="182" spans="1:11" x14ac:dyDescent="0.25">
      <c r="A182" s="10">
        <v>45742</v>
      </c>
      <c r="B182" t="s">
        <v>25</v>
      </c>
      <c r="C182" t="s">
        <v>26</v>
      </c>
      <c r="D182" t="s">
        <v>23</v>
      </c>
      <c r="E182" t="s">
        <v>14</v>
      </c>
      <c r="F182" t="s">
        <v>27</v>
      </c>
      <c r="G182" t="s">
        <v>22</v>
      </c>
      <c r="H182">
        <v>60000</v>
      </c>
      <c r="I182">
        <v>9</v>
      </c>
      <c r="J182" t="s">
        <v>17</v>
      </c>
      <c r="K182">
        <v>48000</v>
      </c>
    </row>
    <row r="183" spans="1:11" x14ac:dyDescent="0.25">
      <c r="A183" s="10">
        <v>45675</v>
      </c>
      <c r="B183" t="s">
        <v>18</v>
      </c>
      <c r="C183" t="s">
        <v>26</v>
      </c>
      <c r="D183" t="s">
        <v>23</v>
      </c>
      <c r="E183" t="s">
        <v>14</v>
      </c>
      <c r="F183" t="s">
        <v>40</v>
      </c>
      <c r="G183" t="s">
        <v>31</v>
      </c>
      <c r="H183">
        <v>250000</v>
      </c>
      <c r="I183">
        <v>1</v>
      </c>
      <c r="J183" t="s">
        <v>35</v>
      </c>
      <c r="K183">
        <v>200000</v>
      </c>
    </row>
    <row r="184" spans="1:11" x14ac:dyDescent="0.25">
      <c r="A184" s="10">
        <v>45711</v>
      </c>
      <c r="B184" t="s">
        <v>25</v>
      </c>
      <c r="C184" t="s">
        <v>26</v>
      </c>
      <c r="D184" t="s">
        <v>13</v>
      </c>
      <c r="E184" t="s">
        <v>14</v>
      </c>
      <c r="F184" t="s">
        <v>27</v>
      </c>
      <c r="G184" t="s">
        <v>22</v>
      </c>
      <c r="H184">
        <v>60000</v>
      </c>
      <c r="I184">
        <v>1</v>
      </c>
      <c r="J184" t="s">
        <v>39</v>
      </c>
      <c r="K184">
        <v>48000</v>
      </c>
    </row>
    <row r="185" spans="1:11" x14ac:dyDescent="0.25">
      <c r="A185" s="10">
        <v>45763</v>
      </c>
      <c r="B185" t="s">
        <v>25</v>
      </c>
      <c r="C185" t="s">
        <v>32</v>
      </c>
      <c r="D185" t="s">
        <v>13</v>
      </c>
      <c r="E185" t="s">
        <v>14</v>
      </c>
      <c r="F185" t="s">
        <v>38</v>
      </c>
      <c r="G185" t="s">
        <v>31</v>
      </c>
      <c r="H185">
        <v>420000</v>
      </c>
      <c r="I185">
        <v>8</v>
      </c>
      <c r="J185" t="s">
        <v>39</v>
      </c>
      <c r="K185">
        <v>336000</v>
      </c>
    </row>
    <row r="186" spans="1:11" x14ac:dyDescent="0.25">
      <c r="A186" s="10">
        <v>45691</v>
      </c>
      <c r="B186" t="s">
        <v>25</v>
      </c>
      <c r="C186" t="s">
        <v>12</v>
      </c>
      <c r="D186" t="s">
        <v>23</v>
      </c>
      <c r="E186" t="s">
        <v>20</v>
      </c>
      <c r="F186" t="s">
        <v>33</v>
      </c>
      <c r="G186" t="s">
        <v>22</v>
      </c>
      <c r="H186">
        <v>180000</v>
      </c>
      <c r="I186">
        <v>4</v>
      </c>
      <c r="J186" t="s">
        <v>39</v>
      </c>
      <c r="K186">
        <v>144000</v>
      </c>
    </row>
    <row r="187" spans="1:11" x14ac:dyDescent="0.25">
      <c r="A187" s="10">
        <v>45733</v>
      </c>
      <c r="B187" t="s">
        <v>18</v>
      </c>
      <c r="C187" t="s">
        <v>26</v>
      </c>
      <c r="D187" t="s">
        <v>13</v>
      </c>
      <c r="E187" t="s">
        <v>20</v>
      </c>
      <c r="F187" t="s">
        <v>33</v>
      </c>
      <c r="G187" t="s">
        <v>22</v>
      </c>
      <c r="H187">
        <v>180000</v>
      </c>
      <c r="I187">
        <v>7</v>
      </c>
      <c r="J187" t="s">
        <v>39</v>
      </c>
      <c r="K187">
        <v>144000</v>
      </c>
    </row>
    <row r="188" spans="1:11" x14ac:dyDescent="0.25">
      <c r="A188" s="10">
        <v>45660</v>
      </c>
      <c r="B188" t="s">
        <v>29</v>
      </c>
      <c r="C188" t="s">
        <v>26</v>
      </c>
      <c r="D188" t="s">
        <v>13</v>
      </c>
      <c r="E188" t="s">
        <v>14</v>
      </c>
      <c r="F188" t="s">
        <v>21</v>
      </c>
      <c r="G188" t="s">
        <v>22</v>
      </c>
      <c r="H188">
        <v>30000</v>
      </c>
      <c r="I188">
        <v>6</v>
      </c>
      <c r="J188" t="s">
        <v>37</v>
      </c>
      <c r="K188">
        <v>24000</v>
      </c>
    </row>
    <row r="189" spans="1:11" x14ac:dyDescent="0.25">
      <c r="A189" s="10">
        <v>45708</v>
      </c>
      <c r="B189" t="s">
        <v>18</v>
      </c>
      <c r="C189" t="s">
        <v>12</v>
      </c>
      <c r="D189" t="s">
        <v>13</v>
      </c>
      <c r="E189" t="s">
        <v>14</v>
      </c>
      <c r="F189" t="s">
        <v>33</v>
      </c>
      <c r="G189" t="s">
        <v>22</v>
      </c>
      <c r="H189">
        <v>180000</v>
      </c>
      <c r="I189">
        <v>4</v>
      </c>
      <c r="J189" t="s">
        <v>24</v>
      </c>
      <c r="K189">
        <v>144000</v>
      </c>
    </row>
    <row r="190" spans="1:11" x14ac:dyDescent="0.25">
      <c r="A190" s="10">
        <v>45772</v>
      </c>
      <c r="B190" t="s">
        <v>18</v>
      </c>
      <c r="C190" t="s">
        <v>32</v>
      </c>
      <c r="D190" t="s">
        <v>23</v>
      </c>
      <c r="E190" t="s">
        <v>20</v>
      </c>
      <c r="F190" t="s">
        <v>30</v>
      </c>
      <c r="G190" t="s">
        <v>31</v>
      </c>
      <c r="H190">
        <v>300000</v>
      </c>
      <c r="I190">
        <v>3</v>
      </c>
      <c r="J190" t="s">
        <v>28</v>
      </c>
      <c r="K190">
        <v>240000</v>
      </c>
    </row>
    <row r="191" spans="1:11" x14ac:dyDescent="0.25">
      <c r="A191" s="10">
        <v>45678</v>
      </c>
      <c r="B191" t="s">
        <v>11</v>
      </c>
      <c r="C191" t="s">
        <v>19</v>
      </c>
      <c r="D191" t="s">
        <v>13</v>
      </c>
      <c r="E191" t="s">
        <v>14</v>
      </c>
      <c r="F191" t="s">
        <v>27</v>
      </c>
      <c r="G191" t="s">
        <v>22</v>
      </c>
      <c r="H191">
        <v>60000</v>
      </c>
      <c r="I191">
        <v>3</v>
      </c>
      <c r="J191" t="s">
        <v>17</v>
      </c>
      <c r="K191">
        <v>48000</v>
      </c>
    </row>
    <row r="192" spans="1:11" x14ac:dyDescent="0.25">
      <c r="A192" s="10">
        <v>45708</v>
      </c>
      <c r="B192" t="s">
        <v>18</v>
      </c>
      <c r="C192" t="s">
        <v>12</v>
      </c>
      <c r="D192" t="s">
        <v>23</v>
      </c>
      <c r="E192" t="s">
        <v>14</v>
      </c>
      <c r="F192" t="s">
        <v>41</v>
      </c>
      <c r="G192" t="s">
        <v>22</v>
      </c>
      <c r="H192">
        <v>220000</v>
      </c>
      <c r="I192">
        <v>1</v>
      </c>
      <c r="J192" t="s">
        <v>28</v>
      </c>
      <c r="K192">
        <v>176000</v>
      </c>
    </row>
    <row r="193" spans="1:11" x14ac:dyDescent="0.25">
      <c r="A193" s="10">
        <v>45693</v>
      </c>
      <c r="B193" t="s">
        <v>29</v>
      </c>
      <c r="C193" t="s">
        <v>19</v>
      </c>
      <c r="D193" t="s">
        <v>13</v>
      </c>
      <c r="E193" t="s">
        <v>14</v>
      </c>
      <c r="F193" t="s">
        <v>30</v>
      </c>
      <c r="G193" t="s">
        <v>31</v>
      </c>
      <c r="H193">
        <v>300000</v>
      </c>
      <c r="I193">
        <v>2</v>
      </c>
      <c r="J193" t="s">
        <v>24</v>
      </c>
      <c r="K193">
        <v>240000</v>
      </c>
    </row>
    <row r="194" spans="1:11" x14ac:dyDescent="0.25">
      <c r="A194" s="10">
        <v>45721</v>
      </c>
      <c r="B194" t="s">
        <v>25</v>
      </c>
      <c r="C194" t="s">
        <v>26</v>
      </c>
      <c r="D194" t="s">
        <v>13</v>
      </c>
      <c r="E194" t="s">
        <v>14</v>
      </c>
      <c r="F194" t="s">
        <v>36</v>
      </c>
      <c r="G194" t="s">
        <v>31</v>
      </c>
      <c r="H194">
        <v>150000</v>
      </c>
      <c r="I194">
        <v>3</v>
      </c>
      <c r="J194" t="s">
        <v>24</v>
      </c>
      <c r="K194">
        <v>120000</v>
      </c>
    </row>
    <row r="195" spans="1:11" x14ac:dyDescent="0.25">
      <c r="A195" s="10">
        <v>45692</v>
      </c>
      <c r="B195" t="s">
        <v>29</v>
      </c>
      <c r="C195" t="s">
        <v>19</v>
      </c>
      <c r="D195" t="s">
        <v>23</v>
      </c>
      <c r="E195" t="s">
        <v>14</v>
      </c>
      <c r="F195" t="s">
        <v>15</v>
      </c>
      <c r="G195" t="s">
        <v>16</v>
      </c>
      <c r="H195">
        <v>85000</v>
      </c>
      <c r="I195">
        <v>1</v>
      </c>
      <c r="J195" t="s">
        <v>24</v>
      </c>
      <c r="K195">
        <v>68000</v>
      </c>
    </row>
    <row r="196" spans="1:11" x14ac:dyDescent="0.25">
      <c r="A196" s="10">
        <v>45659</v>
      </c>
      <c r="B196" t="s">
        <v>25</v>
      </c>
      <c r="C196" t="s">
        <v>19</v>
      </c>
      <c r="D196" t="s">
        <v>13</v>
      </c>
      <c r="E196" t="s">
        <v>20</v>
      </c>
      <c r="F196" t="s">
        <v>21</v>
      </c>
      <c r="G196" t="s">
        <v>22</v>
      </c>
      <c r="H196">
        <v>30000</v>
      </c>
      <c r="I196">
        <v>6</v>
      </c>
      <c r="J196" t="s">
        <v>17</v>
      </c>
      <c r="K196">
        <v>24000</v>
      </c>
    </row>
    <row r="197" spans="1:11" x14ac:dyDescent="0.25">
      <c r="A197" s="10">
        <v>45718</v>
      </c>
      <c r="B197" t="s">
        <v>11</v>
      </c>
      <c r="C197" t="s">
        <v>26</v>
      </c>
      <c r="D197" t="s">
        <v>23</v>
      </c>
      <c r="E197" t="s">
        <v>14</v>
      </c>
      <c r="F197" t="s">
        <v>36</v>
      </c>
      <c r="G197" t="s">
        <v>31</v>
      </c>
      <c r="H197">
        <v>150000</v>
      </c>
      <c r="I197">
        <v>5</v>
      </c>
      <c r="J197" t="s">
        <v>28</v>
      </c>
      <c r="K197">
        <v>120000</v>
      </c>
    </row>
    <row r="198" spans="1:11" x14ac:dyDescent="0.25">
      <c r="A198" s="10">
        <v>45766</v>
      </c>
      <c r="B198" t="s">
        <v>11</v>
      </c>
      <c r="C198" t="s">
        <v>19</v>
      </c>
      <c r="D198" t="s">
        <v>13</v>
      </c>
      <c r="E198" t="s">
        <v>20</v>
      </c>
      <c r="F198" t="s">
        <v>21</v>
      </c>
      <c r="G198" t="s">
        <v>22</v>
      </c>
      <c r="H198">
        <v>30000</v>
      </c>
      <c r="I198">
        <v>5</v>
      </c>
      <c r="J198" t="s">
        <v>37</v>
      </c>
      <c r="K198">
        <v>24000</v>
      </c>
    </row>
    <row r="199" spans="1:11" x14ac:dyDescent="0.25">
      <c r="A199" s="10">
        <v>45759</v>
      </c>
      <c r="B199" t="s">
        <v>18</v>
      </c>
      <c r="C199" t="s">
        <v>19</v>
      </c>
      <c r="D199" t="s">
        <v>13</v>
      </c>
      <c r="E199" t="s">
        <v>20</v>
      </c>
      <c r="F199" t="s">
        <v>33</v>
      </c>
      <c r="G199" t="s">
        <v>22</v>
      </c>
      <c r="H199">
        <v>180000</v>
      </c>
      <c r="I199">
        <v>9</v>
      </c>
      <c r="J199" t="s">
        <v>39</v>
      </c>
      <c r="K199">
        <v>144000</v>
      </c>
    </row>
    <row r="200" spans="1:11" x14ac:dyDescent="0.25">
      <c r="A200" s="10">
        <v>45693</v>
      </c>
      <c r="B200" t="s">
        <v>29</v>
      </c>
      <c r="C200" t="s">
        <v>26</v>
      </c>
      <c r="D200" t="s">
        <v>23</v>
      </c>
      <c r="E200" t="s">
        <v>20</v>
      </c>
      <c r="F200" t="s">
        <v>27</v>
      </c>
      <c r="G200" t="s">
        <v>22</v>
      </c>
      <c r="H200">
        <v>60000</v>
      </c>
      <c r="I200">
        <v>6</v>
      </c>
      <c r="J200" t="s">
        <v>28</v>
      </c>
      <c r="K200">
        <v>48000</v>
      </c>
    </row>
    <row r="201" spans="1:11" x14ac:dyDescent="0.25">
      <c r="A201" s="10">
        <v>45735</v>
      </c>
      <c r="B201" t="s">
        <v>29</v>
      </c>
      <c r="C201" t="s">
        <v>19</v>
      </c>
      <c r="D201" t="s">
        <v>13</v>
      </c>
      <c r="E201" t="s">
        <v>20</v>
      </c>
      <c r="F201" t="s">
        <v>40</v>
      </c>
      <c r="G201" t="s">
        <v>31</v>
      </c>
      <c r="H201">
        <v>250000</v>
      </c>
      <c r="I201">
        <v>10</v>
      </c>
      <c r="J201" t="s">
        <v>24</v>
      </c>
      <c r="K201">
        <v>200000</v>
      </c>
    </row>
    <row r="202" spans="1:11" x14ac:dyDescent="0.25">
      <c r="A202" s="10">
        <v>45692</v>
      </c>
      <c r="B202" t="s">
        <v>25</v>
      </c>
      <c r="C202" t="s">
        <v>26</v>
      </c>
      <c r="D202" t="s">
        <v>13</v>
      </c>
      <c r="E202" t="s">
        <v>20</v>
      </c>
      <c r="F202" t="s">
        <v>38</v>
      </c>
      <c r="G202" t="s">
        <v>31</v>
      </c>
      <c r="H202">
        <v>420000</v>
      </c>
      <c r="I202">
        <v>3</v>
      </c>
      <c r="J202" t="s">
        <v>24</v>
      </c>
      <c r="K202">
        <v>336000</v>
      </c>
    </row>
    <row r="203" spans="1:11" x14ac:dyDescent="0.25">
      <c r="A203" s="10">
        <v>45669</v>
      </c>
      <c r="B203" t="s">
        <v>29</v>
      </c>
      <c r="C203" t="s">
        <v>12</v>
      </c>
      <c r="D203" t="s">
        <v>23</v>
      </c>
      <c r="E203" t="s">
        <v>20</v>
      </c>
      <c r="F203" t="s">
        <v>36</v>
      </c>
      <c r="G203" t="s">
        <v>31</v>
      </c>
      <c r="H203">
        <v>150000</v>
      </c>
      <c r="I203">
        <v>3</v>
      </c>
      <c r="J203" t="s">
        <v>24</v>
      </c>
      <c r="K203">
        <v>120000</v>
      </c>
    </row>
    <row r="204" spans="1:11" x14ac:dyDescent="0.25">
      <c r="A204" s="10">
        <v>45747</v>
      </c>
      <c r="B204" t="s">
        <v>25</v>
      </c>
      <c r="C204" t="s">
        <v>32</v>
      </c>
      <c r="D204" t="s">
        <v>23</v>
      </c>
      <c r="E204" t="s">
        <v>20</v>
      </c>
      <c r="F204" t="s">
        <v>41</v>
      </c>
      <c r="G204" t="s">
        <v>22</v>
      </c>
      <c r="H204">
        <v>220000</v>
      </c>
      <c r="I204">
        <v>4</v>
      </c>
      <c r="J204" t="s">
        <v>24</v>
      </c>
      <c r="K204">
        <v>176000</v>
      </c>
    </row>
    <row r="205" spans="1:11" x14ac:dyDescent="0.25">
      <c r="A205" s="10">
        <v>45658</v>
      </c>
      <c r="B205" t="s">
        <v>25</v>
      </c>
      <c r="C205" t="s">
        <v>19</v>
      </c>
      <c r="D205" t="s">
        <v>23</v>
      </c>
      <c r="E205" t="s">
        <v>20</v>
      </c>
      <c r="F205" t="s">
        <v>15</v>
      </c>
      <c r="G205" t="s">
        <v>16</v>
      </c>
      <c r="H205">
        <v>85000</v>
      </c>
      <c r="I205">
        <v>10</v>
      </c>
      <c r="J205" t="s">
        <v>24</v>
      </c>
      <c r="K205">
        <v>68000</v>
      </c>
    </row>
    <row r="206" spans="1:11" x14ac:dyDescent="0.25">
      <c r="A206" s="10">
        <v>45736</v>
      </c>
      <c r="B206" t="s">
        <v>29</v>
      </c>
      <c r="C206" t="s">
        <v>26</v>
      </c>
      <c r="D206" t="s">
        <v>13</v>
      </c>
      <c r="E206" t="s">
        <v>20</v>
      </c>
      <c r="F206" t="s">
        <v>30</v>
      </c>
      <c r="G206" t="s">
        <v>31</v>
      </c>
      <c r="H206">
        <v>300000</v>
      </c>
      <c r="I206">
        <v>6</v>
      </c>
      <c r="J206" t="s">
        <v>39</v>
      </c>
      <c r="K206">
        <v>240000</v>
      </c>
    </row>
    <row r="207" spans="1:11" x14ac:dyDescent="0.25">
      <c r="A207" s="10">
        <v>45713</v>
      </c>
      <c r="B207" t="s">
        <v>11</v>
      </c>
      <c r="C207" t="s">
        <v>12</v>
      </c>
      <c r="D207" t="s">
        <v>13</v>
      </c>
      <c r="E207" t="s">
        <v>14</v>
      </c>
      <c r="F207" t="s">
        <v>30</v>
      </c>
      <c r="G207" t="s">
        <v>31</v>
      </c>
      <c r="H207">
        <v>300000</v>
      </c>
      <c r="I207">
        <v>8</v>
      </c>
      <c r="J207" t="s">
        <v>37</v>
      </c>
      <c r="K207">
        <v>240000</v>
      </c>
    </row>
    <row r="208" spans="1:11" x14ac:dyDescent="0.25">
      <c r="A208" s="10">
        <v>45691</v>
      </c>
      <c r="B208" t="s">
        <v>25</v>
      </c>
      <c r="C208" t="s">
        <v>32</v>
      </c>
      <c r="D208" t="s">
        <v>23</v>
      </c>
      <c r="E208" t="s">
        <v>20</v>
      </c>
      <c r="F208" t="s">
        <v>34</v>
      </c>
      <c r="G208" t="s">
        <v>16</v>
      </c>
      <c r="H208">
        <v>320000</v>
      </c>
      <c r="I208">
        <v>4</v>
      </c>
      <c r="J208" t="s">
        <v>28</v>
      </c>
      <c r="K208">
        <v>256000</v>
      </c>
    </row>
    <row r="209" spans="1:11" x14ac:dyDescent="0.25">
      <c r="A209" s="10">
        <v>45753</v>
      </c>
      <c r="B209" t="s">
        <v>25</v>
      </c>
      <c r="C209" t="s">
        <v>19</v>
      </c>
      <c r="D209" t="s">
        <v>23</v>
      </c>
      <c r="E209" t="s">
        <v>14</v>
      </c>
      <c r="F209" t="s">
        <v>33</v>
      </c>
      <c r="G209" t="s">
        <v>22</v>
      </c>
      <c r="H209">
        <v>180000</v>
      </c>
      <c r="I209">
        <v>5</v>
      </c>
      <c r="J209" t="s">
        <v>39</v>
      </c>
      <c r="K209">
        <v>144000</v>
      </c>
    </row>
    <row r="210" spans="1:11" x14ac:dyDescent="0.25">
      <c r="A210" s="10">
        <v>45658</v>
      </c>
      <c r="B210" t="s">
        <v>11</v>
      </c>
      <c r="C210" t="s">
        <v>12</v>
      </c>
      <c r="D210" t="s">
        <v>13</v>
      </c>
      <c r="E210" t="s">
        <v>20</v>
      </c>
      <c r="F210" t="s">
        <v>33</v>
      </c>
      <c r="G210" t="s">
        <v>22</v>
      </c>
      <c r="H210">
        <v>180000</v>
      </c>
      <c r="I210">
        <v>6</v>
      </c>
      <c r="J210" t="s">
        <v>35</v>
      </c>
      <c r="K210">
        <v>144000</v>
      </c>
    </row>
    <row r="211" spans="1:11" x14ac:dyDescent="0.25">
      <c r="A211" s="10">
        <v>45731</v>
      </c>
      <c r="B211" t="s">
        <v>18</v>
      </c>
      <c r="C211" t="s">
        <v>26</v>
      </c>
      <c r="D211" t="s">
        <v>23</v>
      </c>
      <c r="E211" t="s">
        <v>20</v>
      </c>
      <c r="F211" t="s">
        <v>36</v>
      </c>
      <c r="G211" t="s">
        <v>31</v>
      </c>
      <c r="H211">
        <v>150000</v>
      </c>
      <c r="I211">
        <v>9</v>
      </c>
      <c r="J211" t="s">
        <v>28</v>
      </c>
      <c r="K211">
        <v>120000</v>
      </c>
    </row>
    <row r="212" spans="1:11" x14ac:dyDescent="0.25">
      <c r="A212" s="10">
        <v>45688</v>
      </c>
      <c r="B212" t="s">
        <v>11</v>
      </c>
      <c r="C212" t="s">
        <v>12</v>
      </c>
      <c r="D212" t="s">
        <v>13</v>
      </c>
      <c r="E212" t="s">
        <v>14</v>
      </c>
      <c r="F212" t="s">
        <v>36</v>
      </c>
      <c r="G212" t="s">
        <v>31</v>
      </c>
      <c r="H212">
        <v>150000</v>
      </c>
      <c r="I212">
        <v>1</v>
      </c>
      <c r="J212" t="s">
        <v>35</v>
      </c>
      <c r="K212">
        <v>120000</v>
      </c>
    </row>
    <row r="213" spans="1:11" x14ac:dyDescent="0.25">
      <c r="A213" s="10">
        <v>45669</v>
      </c>
      <c r="B213" t="s">
        <v>18</v>
      </c>
      <c r="C213" t="s">
        <v>26</v>
      </c>
      <c r="D213" t="s">
        <v>13</v>
      </c>
      <c r="E213" t="s">
        <v>14</v>
      </c>
      <c r="F213" t="s">
        <v>33</v>
      </c>
      <c r="G213" t="s">
        <v>22</v>
      </c>
      <c r="H213">
        <v>180000</v>
      </c>
      <c r="I213">
        <v>8</v>
      </c>
      <c r="J213" t="s">
        <v>35</v>
      </c>
      <c r="K213">
        <v>144000</v>
      </c>
    </row>
    <row r="214" spans="1:11" x14ac:dyDescent="0.25">
      <c r="A214" s="10">
        <v>45727</v>
      </c>
      <c r="B214" t="s">
        <v>11</v>
      </c>
      <c r="C214" t="s">
        <v>12</v>
      </c>
      <c r="D214" t="s">
        <v>13</v>
      </c>
      <c r="E214" t="s">
        <v>20</v>
      </c>
      <c r="F214" t="s">
        <v>33</v>
      </c>
      <c r="G214" t="s">
        <v>22</v>
      </c>
      <c r="H214">
        <v>180000</v>
      </c>
      <c r="I214">
        <v>6</v>
      </c>
      <c r="J214" t="s">
        <v>28</v>
      </c>
      <c r="K214">
        <v>144000</v>
      </c>
    </row>
    <row r="215" spans="1:11" x14ac:dyDescent="0.25">
      <c r="A215" s="10">
        <v>45758</v>
      </c>
      <c r="B215" t="s">
        <v>29</v>
      </c>
      <c r="C215" t="s">
        <v>32</v>
      </c>
      <c r="D215" t="s">
        <v>23</v>
      </c>
      <c r="E215" t="s">
        <v>14</v>
      </c>
      <c r="F215" t="s">
        <v>33</v>
      </c>
      <c r="G215" t="s">
        <v>22</v>
      </c>
      <c r="H215">
        <v>180000</v>
      </c>
      <c r="I215">
        <v>3</v>
      </c>
      <c r="J215" t="s">
        <v>37</v>
      </c>
      <c r="K215">
        <v>144000</v>
      </c>
    </row>
    <row r="216" spans="1:11" x14ac:dyDescent="0.25">
      <c r="A216" s="10">
        <v>45730</v>
      </c>
      <c r="B216" t="s">
        <v>29</v>
      </c>
      <c r="C216" t="s">
        <v>26</v>
      </c>
      <c r="D216" t="s">
        <v>13</v>
      </c>
      <c r="E216" t="s">
        <v>14</v>
      </c>
      <c r="F216" t="s">
        <v>36</v>
      </c>
      <c r="G216" t="s">
        <v>31</v>
      </c>
      <c r="H216">
        <v>150000</v>
      </c>
      <c r="I216">
        <v>10</v>
      </c>
      <c r="J216" t="s">
        <v>17</v>
      </c>
      <c r="K216">
        <v>120000</v>
      </c>
    </row>
    <row r="217" spans="1:11" x14ac:dyDescent="0.25">
      <c r="A217" s="10">
        <v>45759</v>
      </c>
      <c r="B217" t="s">
        <v>25</v>
      </c>
      <c r="C217" t="s">
        <v>26</v>
      </c>
      <c r="D217" t="s">
        <v>13</v>
      </c>
      <c r="E217" t="s">
        <v>20</v>
      </c>
      <c r="F217" t="s">
        <v>33</v>
      </c>
      <c r="G217" t="s">
        <v>22</v>
      </c>
      <c r="H217">
        <v>180000</v>
      </c>
      <c r="I217">
        <v>8</v>
      </c>
      <c r="J217" t="s">
        <v>37</v>
      </c>
      <c r="K217">
        <v>144000</v>
      </c>
    </row>
    <row r="218" spans="1:11" x14ac:dyDescent="0.25">
      <c r="A218" s="10">
        <v>45708</v>
      </c>
      <c r="B218" t="s">
        <v>11</v>
      </c>
      <c r="C218" t="s">
        <v>26</v>
      </c>
      <c r="D218" t="s">
        <v>13</v>
      </c>
      <c r="E218" t="s">
        <v>20</v>
      </c>
      <c r="F218" t="s">
        <v>30</v>
      </c>
      <c r="G218" t="s">
        <v>31</v>
      </c>
      <c r="H218">
        <v>300000</v>
      </c>
      <c r="I218">
        <v>8</v>
      </c>
      <c r="J218" t="s">
        <v>28</v>
      </c>
      <c r="K218">
        <v>240000</v>
      </c>
    </row>
    <row r="219" spans="1:11" x14ac:dyDescent="0.25">
      <c r="A219" s="10">
        <v>45693</v>
      </c>
      <c r="B219" t="s">
        <v>11</v>
      </c>
      <c r="C219" t="s">
        <v>26</v>
      </c>
      <c r="D219" t="s">
        <v>13</v>
      </c>
      <c r="E219" t="s">
        <v>20</v>
      </c>
      <c r="F219" t="s">
        <v>34</v>
      </c>
      <c r="G219" t="s">
        <v>16</v>
      </c>
      <c r="H219">
        <v>320000</v>
      </c>
      <c r="I219">
        <v>9</v>
      </c>
      <c r="J219" t="s">
        <v>35</v>
      </c>
      <c r="K219">
        <v>256000</v>
      </c>
    </row>
    <row r="220" spans="1:11" x14ac:dyDescent="0.25">
      <c r="A220" s="10">
        <v>45675</v>
      </c>
      <c r="B220" t="s">
        <v>25</v>
      </c>
      <c r="C220" t="s">
        <v>26</v>
      </c>
      <c r="D220" t="s">
        <v>13</v>
      </c>
      <c r="E220" t="s">
        <v>14</v>
      </c>
      <c r="F220" t="s">
        <v>34</v>
      </c>
      <c r="G220" t="s">
        <v>16</v>
      </c>
      <c r="H220">
        <v>320000</v>
      </c>
      <c r="I220">
        <v>7</v>
      </c>
      <c r="J220" t="s">
        <v>39</v>
      </c>
      <c r="K220">
        <v>256000</v>
      </c>
    </row>
    <row r="221" spans="1:11" x14ac:dyDescent="0.25">
      <c r="A221" s="10">
        <v>45773</v>
      </c>
      <c r="B221" t="s">
        <v>18</v>
      </c>
      <c r="C221" t="s">
        <v>32</v>
      </c>
      <c r="D221" t="s">
        <v>13</v>
      </c>
      <c r="E221" t="s">
        <v>14</v>
      </c>
      <c r="F221" t="s">
        <v>36</v>
      </c>
      <c r="G221" t="s">
        <v>31</v>
      </c>
      <c r="H221">
        <v>150000</v>
      </c>
      <c r="I221">
        <v>7</v>
      </c>
      <c r="J221" t="s">
        <v>24</v>
      </c>
      <c r="K221">
        <v>120000</v>
      </c>
    </row>
    <row r="222" spans="1:11" x14ac:dyDescent="0.25">
      <c r="A222" s="10">
        <v>45678</v>
      </c>
      <c r="B222" t="s">
        <v>18</v>
      </c>
      <c r="C222" t="s">
        <v>32</v>
      </c>
      <c r="D222" t="s">
        <v>13</v>
      </c>
      <c r="E222" t="s">
        <v>20</v>
      </c>
      <c r="F222" t="s">
        <v>41</v>
      </c>
      <c r="G222" t="s">
        <v>22</v>
      </c>
      <c r="H222">
        <v>220000</v>
      </c>
      <c r="I222">
        <v>6</v>
      </c>
      <c r="J222" t="s">
        <v>39</v>
      </c>
      <c r="K222">
        <v>176000</v>
      </c>
    </row>
    <row r="223" spans="1:11" x14ac:dyDescent="0.25">
      <c r="A223" s="10">
        <v>45732</v>
      </c>
      <c r="B223" t="s">
        <v>29</v>
      </c>
      <c r="C223" t="s">
        <v>19</v>
      </c>
      <c r="D223" t="s">
        <v>13</v>
      </c>
      <c r="E223" t="s">
        <v>14</v>
      </c>
      <c r="F223" t="s">
        <v>40</v>
      </c>
      <c r="G223" t="s">
        <v>31</v>
      </c>
      <c r="H223">
        <v>250000</v>
      </c>
      <c r="I223">
        <v>1</v>
      </c>
      <c r="J223" t="s">
        <v>35</v>
      </c>
      <c r="K223">
        <v>200000</v>
      </c>
    </row>
    <row r="224" spans="1:11" x14ac:dyDescent="0.25">
      <c r="A224" s="10">
        <v>45734</v>
      </c>
      <c r="B224" t="s">
        <v>11</v>
      </c>
      <c r="C224" t="s">
        <v>19</v>
      </c>
      <c r="D224" t="s">
        <v>13</v>
      </c>
      <c r="E224" t="s">
        <v>14</v>
      </c>
      <c r="F224" t="s">
        <v>27</v>
      </c>
      <c r="G224" t="s">
        <v>22</v>
      </c>
      <c r="H224">
        <v>60000</v>
      </c>
      <c r="I224">
        <v>4</v>
      </c>
      <c r="J224" t="s">
        <v>24</v>
      </c>
      <c r="K224">
        <v>48000</v>
      </c>
    </row>
    <row r="225" spans="1:11" x14ac:dyDescent="0.25">
      <c r="A225" s="10">
        <v>45659</v>
      </c>
      <c r="B225" t="s">
        <v>29</v>
      </c>
      <c r="C225" t="s">
        <v>19</v>
      </c>
      <c r="D225" t="s">
        <v>13</v>
      </c>
      <c r="E225" t="s">
        <v>14</v>
      </c>
      <c r="F225" t="s">
        <v>15</v>
      </c>
      <c r="G225" t="s">
        <v>16</v>
      </c>
      <c r="H225">
        <v>85000</v>
      </c>
      <c r="I225">
        <v>9</v>
      </c>
      <c r="J225" t="s">
        <v>24</v>
      </c>
      <c r="K225">
        <v>68000</v>
      </c>
    </row>
    <row r="226" spans="1:11" x14ac:dyDescent="0.25">
      <c r="A226" s="10">
        <v>45718</v>
      </c>
      <c r="B226" t="s">
        <v>11</v>
      </c>
      <c r="C226" t="s">
        <v>12</v>
      </c>
      <c r="D226" t="s">
        <v>13</v>
      </c>
      <c r="E226" t="s">
        <v>14</v>
      </c>
      <c r="F226" t="s">
        <v>33</v>
      </c>
      <c r="G226" t="s">
        <v>22</v>
      </c>
      <c r="H226">
        <v>180000</v>
      </c>
      <c r="I226">
        <v>5</v>
      </c>
      <c r="J226" t="s">
        <v>17</v>
      </c>
      <c r="K226">
        <v>144000</v>
      </c>
    </row>
    <row r="227" spans="1:11" x14ac:dyDescent="0.25">
      <c r="A227" s="10">
        <v>45681</v>
      </c>
      <c r="B227" t="s">
        <v>11</v>
      </c>
      <c r="C227" t="s">
        <v>19</v>
      </c>
      <c r="D227" t="s">
        <v>13</v>
      </c>
      <c r="E227" t="s">
        <v>20</v>
      </c>
      <c r="F227" t="s">
        <v>36</v>
      </c>
      <c r="G227" t="s">
        <v>31</v>
      </c>
      <c r="H227">
        <v>150000</v>
      </c>
      <c r="I227">
        <v>4</v>
      </c>
      <c r="J227" t="s">
        <v>17</v>
      </c>
      <c r="K227">
        <v>120000</v>
      </c>
    </row>
    <row r="228" spans="1:11" x14ac:dyDescent="0.25">
      <c r="A228" s="10">
        <v>45703</v>
      </c>
      <c r="B228" t="s">
        <v>29</v>
      </c>
      <c r="C228" t="s">
        <v>19</v>
      </c>
      <c r="D228" t="s">
        <v>13</v>
      </c>
      <c r="E228" t="s">
        <v>14</v>
      </c>
      <c r="F228" t="s">
        <v>36</v>
      </c>
      <c r="G228" t="s">
        <v>31</v>
      </c>
      <c r="H228">
        <v>150000</v>
      </c>
      <c r="I228">
        <v>4</v>
      </c>
      <c r="J228" t="s">
        <v>28</v>
      </c>
      <c r="K228">
        <v>120000</v>
      </c>
    </row>
    <row r="229" spans="1:11" x14ac:dyDescent="0.25">
      <c r="A229" s="10">
        <v>45763</v>
      </c>
      <c r="B229" t="s">
        <v>18</v>
      </c>
      <c r="C229" t="s">
        <v>19</v>
      </c>
      <c r="D229" t="s">
        <v>23</v>
      </c>
      <c r="E229" t="s">
        <v>14</v>
      </c>
      <c r="F229" t="s">
        <v>21</v>
      </c>
      <c r="G229" t="s">
        <v>22</v>
      </c>
      <c r="H229">
        <v>30000</v>
      </c>
      <c r="I229">
        <v>2</v>
      </c>
      <c r="J229" t="s">
        <v>28</v>
      </c>
      <c r="K229">
        <v>24000</v>
      </c>
    </row>
    <row r="230" spans="1:11" x14ac:dyDescent="0.25">
      <c r="A230" s="10">
        <v>45771</v>
      </c>
      <c r="B230" t="s">
        <v>25</v>
      </c>
      <c r="C230" t="s">
        <v>32</v>
      </c>
      <c r="D230" t="s">
        <v>23</v>
      </c>
      <c r="E230" t="s">
        <v>14</v>
      </c>
      <c r="F230" t="s">
        <v>33</v>
      </c>
      <c r="G230" t="s">
        <v>22</v>
      </c>
      <c r="H230">
        <v>180000</v>
      </c>
      <c r="I230">
        <v>6</v>
      </c>
      <c r="J230" t="s">
        <v>37</v>
      </c>
      <c r="K230">
        <v>144000</v>
      </c>
    </row>
    <row r="231" spans="1:11" x14ac:dyDescent="0.25">
      <c r="A231" s="10">
        <v>45757</v>
      </c>
      <c r="B231" t="s">
        <v>29</v>
      </c>
      <c r="C231" t="s">
        <v>26</v>
      </c>
      <c r="D231" t="s">
        <v>23</v>
      </c>
      <c r="E231" t="s">
        <v>20</v>
      </c>
      <c r="F231" t="s">
        <v>27</v>
      </c>
      <c r="G231" t="s">
        <v>22</v>
      </c>
      <c r="H231">
        <v>60000</v>
      </c>
      <c r="I231">
        <v>9</v>
      </c>
      <c r="J231" t="s">
        <v>39</v>
      </c>
      <c r="K231">
        <v>48000</v>
      </c>
    </row>
    <row r="232" spans="1:11" x14ac:dyDescent="0.25">
      <c r="A232" s="10">
        <v>45719</v>
      </c>
      <c r="B232" t="s">
        <v>25</v>
      </c>
      <c r="C232" t="s">
        <v>12</v>
      </c>
      <c r="D232" t="s">
        <v>13</v>
      </c>
      <c r="E232" t="s">
        <v>14</v>
      </c>
      <c r="F232" t="s">
        <v>36</v>
      </c>
      <c r="G232" t="s">
        <v>31</v>
      </c>
      <c r="H232">
        <v>150000</v>
      </c>
      <c r="I232">
        <v>3</v>
      </c>
      <c r="J232" t="s">
        <v>24</v>
      </c>
      <c r="K232">
        <v>120000</v>
      </c>
    </row>
    <row r="233" spans="1:11" x14ac:dyDescent="0.25">
      <c r="A233" s="10">
        <v>45765</v>
      </c>
      <c r="B233" t="s">
        <v>29</v>
      </c>
      <c r="C233" t="s">
        <v>19</v>
      </c>
      <c r="D233" t="s">
        <v>13</v>
      </c>
      <c r="E233" t="s">
        <v>14</v>
      </c>
      <c r="F233" t="s">
        <v>15</v>
      </c>
      <c r="G233" t="s">
        <v>16</v>
      </c>
      <c r="H233">
        <v>85000</v>
      </c>
      <c r="I233">
        <v>3</v>
      </c>
      <c r="J233" t="s">
        <v>28</v>
      </c>
      <c r="K233">
        <v>68000</v>
      </c>
    </row>
    <row r="234" spans="1:11" x14ac:dyDescent="0.25">
      <c r="A234" s="10">
        <v>45750</v>
      </c>
      <c r="B234" t="s">
        <v>18</v>
      </c>
      <c r="C234" t="s">
        <v>12</v>
      </c>
      <c r="D234" t="s">
        <v>23</v>
      </c>
      <c r="E234" t="s">
        <v>20</v>
      </c>
      <c r="F234" t="s">
        <v>21</v>
      </c>
      <c r="G234" t="s">
        <v>22</v>
      </c>
      <c r="H234">
        <v>30000</v>
      </c>
      <c r="I234">
        <v>3</v>
      </c>
      <c r="J234" t="s">
        <v>35</v>
      </c>
      <c r="K234">
        <v>24000</v>
      </c>
    </row>
    <row r="235" spans="1:11" x14ac:dyDescent="0.25">
      <c r="A235" s="10">
        <v>45724</v>
      </c>
      <c r="B235" t="s">
        <v>18</v>
      </c>
      <c r="C235" t="s">
        <v>26</v>
      </c>
      <c r="D235" t="s">
        <v>23</v>
      </c>
      <c r="E235" t="s">
        <v>14</v>
      </c>
      <c r="F235" t="s">
        <v>15</v>
      </c>
      <c r="G235" t="s">
        <v>16</v>
      </c>
      <c r="H235">
        <v>85000</v>
      </c>
      <c r="I235">
        <v>2</v>
      </c>
      <c r="J235" t="s">
        <v>17</v>
      </c>
      <c r="K235">
        <v>68000</v>
      </c>
    </row>
    <row r="236" spans="1:11" x14ac:dyDescent="0.25">
      <c r="A236" s="10">
        <v>45667</v>
      </c>
      <c r="B236" t="s">
        <v>11</v>
      </c>
      <c r="C236" t="s">
        <v>32</v>
      </c>
      <c r="D236" t="s">
        <v>23</v>
      </c>
      <c r="E236" t="s">
        <v>14</v>
      </c>
      <c r="F236" t="s">
        <v>21</v>
      </c>
      <c r="G236" t="s">
        <v>22</v>
      </c>
      <c r="H236">
        <v>30000</v>
      </c>
      <c r="I236">
        <v>6</v>
      </c>
      <c r="J236" t="s">
        <v>17</v>
      </c>
      <c r="K236">
        <v>24000</v>
      </c>
    </row>
    <row r="237" spans="1:11" x14ac:dyDescent="0.25">
      <c r="A237" s="10">
        <v>45775</v>
      </c>
      <c r="B237" t="s">
        <v>11</v>
      </c>
      <c r="C237" t="s">
        <v>32</v>
      </c>
      <c r="D237" t="s">
        <v>23</v>
      </c>
      <c r="E237" t="s">
        <v>14</v>
      </c>
      <c r="F237" t="s">
        <v>34</v>
      </c>
      <c r="G237" t="s">
        <v>16</v>
      </c>
      <c r="H237">
        <v>320000</v>
      </c>
      <c r="I237">
        <v>1</v>
      </c>
      <c r="J237" t="s">
        <v>17</v>
      </c>
      <c r="K237">
        <v>256000</v>
      </c>
    </row>
    <row r="238" spans="1:11" x14ac:dyDescent="0.25">
      <c r="A238" s="10">
        <v>45766</v>
      </c>
      <c r="B238" t="s">
        <v>25</v>
      </c>
      <c r="C238" t="s">
        <v>19</v>
      </c>
      <c r="D238" t="s">
        <v>13</v>
      </c>
      <c r="E238" t="s">
        <v>20</v>
      </c>
      <c r="F238" t="s">
        <v>38</v>
      </c>
      <c r="G238" t="s">
        <v>31</v>
      </c>
      <c r="H238">
        <v>420000</v>
      </c>
      <c r="I238">
        <v>5</v>
      </c>
      <c r="J238" t="s">
        <v>37</v>
      </c>
      <c r="K238">
        <v>336000</v>
      </c>
    </row>
    <row r="239" spans="1:11" x14ac:dyDescent="0.25">
      <c r="A239" s="10">
        <v>45749</v>
      </c>
      <c r="B239" t="s">
        <v>11</v>
      </c>
      <c r="C239" t="s">
        <v>32</v>
      </c>
      <c r="D239" t="s">
        <v>13</v>
      </c>
      <c r="E239" t="s">
        <v>20</v>
      </c>
      <c r="F239" t="s">
        <v>21</v>
      </c>
      <c r="G239" t="s">
        <v>22</v>
      </c>
      <c r="H239">
        <v>30000</v>
      </c>
      <c r="I239">
        <v>9</v>
      </c>
      <c r="J239" t="s">
        <v>39</v>
      </c>
      <c r="K239">
        <v>24000</v>
      </c>
    </row>
    <row r="240" spans="1:11" x14ac:dyDescent="0.25">
      <c r="A240" s="10">
        <v>45675</v>
      </c>
      <c r="B240" t="s">
        <v>25</v>
      </c>
      <c r="C240" t="s">
        <v>32</v>
      </c>
      <c r="D240" t="s">
        <v>13</v>
      </c>
      <c r="E240" t="s">
        <v>14</v>
      </c>
      <c r="F240" t="s">
        <v>27</v>
      </c>
      <c r="G240" t="s">
        <v>22</v>
      </c>
      <c r="H240">
        <v>60000</v>
      </c>
      <c r="I240">
        <v>8</v>
      </c>
      <c r="J240" t="s">
        <v>37</v>
      </c>
      <c r="K240">
        <v>48000</v>
      </c>
    </row>
    <row r="241" spans="1:11" x14ac:dyDescent="0.25">
      <c r="A241" s="10">
        <v>45667</v>
      </c>
      <c r="B241" t="s">
        <v>11</v>
      </c>
      <c r="C241" t="s">
        <v>26</v>
      </c>
      <c r="D241" t="s">
        <v>13</v>
      </c>
      <c r="E241" t="s">
        <v>14</v>
      </c>
      <c r="F241" t="s">
        <v>30</v>
      </c>
      <c r="G241" t="s">
        <v>31</v>
      </c>
      <c r="H241">
        <v>300000</v>
      </c>
      <c r="I241">
        <v>2</v>
      </c>
      <c r="J241" t="s">
        <v>28</v>
      </c>
      <c r="K241">
        <v>240000</v>
      </c>
    </row>
    <row r="242" spans="1:11" x14ac:dyDescent="0.25">
      <c r="A242" s="10">
        <v>45732</v>
      </c>
      <c r="B242" t="s">
        <v>25</v>
      </c>
      <c r="C242" t="s">
        <v>12</v>
      </c>
      <c r="D242" t="s">
        <v>13</v>
      </c>
      <c r="E242" t="s">
        <v>14</v>
      </c>
      <c r="F242" t="s">
        <v>41</v>
      </c>
      <c r="G242" t="s">
        <v>22</v>
      </c>
      <c r="H242">
        <v>220000</v>
      </c>
      <c r="I242">
        <v>7</v>
      </c>
      <c r="J242" t="s">
        <v>28</v>
      </c>
      <c r="K242">
        <v>176000</v>
      </c>
    </row>
    <row r="243" spans="1:11" x14ac:dyDescent="0.25">
      <c r="A243" s="10">
        <v>45696</v>
      </c>
      <c r="B243" t="s">
        <v>29</v>
      </c>
      <c r="C243" t="s">
        <v>19</v>
      </c>
      <c r="D243" t="s">
        <v>23</v>
      </c>
      <c r="E243" t="s">
        <v>20</v>
      </c>
      <c r="F243" t="s">
        <v>30</v>
      </c>
      <c r="G243" t="s">
        <v>31</v>
      </c>
      <c r="H243">
        <v>300000</v>
      </c>
      <c r="I243">
        <v>8</v>
      </c>
      <c r="J243" t="s">
        <v>17</v>
      </c>
      <c r="K243">
        <v>240000</v>
      </c>
    </row>
    <row r="244" spans="1:11" x14ac:dyDescent="0.25">
      <c r="A244" s="10">
        <v>45700</v>
      </c>
      <c r="B244" t="s">
        <v>18</v>
      </c>
      <c r="C244" t="s">
        <v>19</v>
      </c>
      <c r="D244" t="s">
        <v>23</v>
      </c>
      <c r="E244" t="s">
        <v>20</v>
      </c>
      <c r="F244" t="s">
        <v>38</v>
      </c>
      <c r="G244" t="s">
        <v>31</v>
      </c>
      <c r="H244">
        <v>420000</v>
      </c>
      <c r="I244">
        <v>10</v>
      </c>
      <c r="J244" t="s">
        <v>35</v>
      </c>
      <c r="K244">
        <v>336000</v>
      </c>
    </row>
    <row r="245" spans="1:11" x14ac:dyDescent="0.25">
      <c r="A245" s="10">
        <v>45757</v>
      </c>
      <c r="B245" t="s">
        <v>18</v>
      </c>
      <c r="C245" t="s">
        <v>32</v>
      </c>
      <c r="D245" t="s">
        <v>23</v>
      </c>
      <c r="E245" t="s">
        <v>14</v>
      </c>
      <c r="F245" t="s">
        <v>30</v>
      </c>
      <c r="G245" t="s">
        <v>31</v>
      </c>
      <c r="H245">
        <v>300000</v>
      </c>
      <c r="I245">
        <v>2</v>
      </c>
      <c r="J245" t="s">
        <v>35</v>
      </c>
      <c r="K245">
        <v>240000</v>
      </c>
    </row>
    <row r="246" spans="1:11" x14ac:dyDescent="0.25">
      <c r="A246" s="10">
        <v>45695</v>
      </c>
      <c r="B246" t="s">
        <v>18</v>
      </c>
      <c r="C246" t="s">
        <v>19</v>
      </c>
      <c r="D246" t="s">
        <v>23</v>
      </c>
      <c r="E246" t="s">
        <v>14</v>
      </c>
      <c r="F246" t="s">
        <v>41</v>
      </c>
      <c r="G246" t="s">
        <v>22</v>
      </c>
      <c r="H246">
        <v>220000</v>
      </c>
      <c r="I246">
        <v>3</v>
      </c>
      <c r="J246" t="s">
        <v>28</v>
      </c>
      <c r="K246">
        <v>176000</v>
      </c>
    </row>
    <row r="247" spans="1:11" x14ac:dyDescent="0.25">
      <c r="A247" s="10">
        <v>45691</v>
      </c>
      <c r="B247" t="s">
        <v>18</v>
      </c>
      <c r="C247" t="s">
        <v>26</v>
      </c>
      <c r="D247" t="s">
        <v>23</v>
      </c>
      <c r="E247" t="s">
        <v>20</v>
      </c>
      <c r="F247" t="s">
        <v>15</v>
      </c>
      <c r="G247" t="s">
        <v>16</v>
      </c>
      <c r="H247">
        <v>85000</v>
      </c>
      <c r="I247">
        <v>6</v>
      </c>
      <c r="J247" t="s">
        <v>24</v>
      </c>
      <c r="K247">
        <v>68000</v>
      </c>
    </row>
    <row r="248" spans="1:11" x14ac:dyDescent="0.25">
      <c r="A248" s="10">
        <v>45712</v>
      </c>
      <c r="B248" t="s">
        <v>29</v>
      </c>
      <c r="C248" t="s">
        <v>32</v>
      </c>
      <c r="D248" t="s">
        <v>23</v>
      </c>
      <c r="E248" t="s">
        <v>14</v>
      </c>
      <c r="F248" t="s">
        <v>34</v>
      </c>
      <c r="G248" t="s">
        <v>16</v>
      </c>
      <c r="H248">
        <v>320000</v>
      </c>
      <c r="I248">
        <v>10</v>
      </c>
      <c r="J248" t="s">
        <v>39</v>
      </c>
      <c r="K248">
        <v>256000</v>
      </c>
    </row>
    <row r="249" spans="1:11" x14ac:dyDescent="0.25">
      <c r="A249" s="10">
        <v>45660</v>
      </c>
      <c r="B249" t="s">
        <v>18</v>
      </c>
      <c r="C249" t="s">
        <v>12</v>
      </c>
      <c r="D249" t="s">
        <v>23</v>
      </c>
      <c r="E249" t="s">
        <v>14</v>
      </c>
      <c r="F249" t="s">
        <v>30</v>
      </c>
      <c r="G249" t="s">
        <v>31</v>
      </c>
      <c r="H249">
        <v>300000</v>
      </c>
      <c r="I249">
        <v>2</v>
      </c>
      <c r="J249" t="s">
        <v>24</v>
      </c>
      <c r="K249">
        <v>240000</v>
      </c>
    </row>
    <row r="250" spans="1:11" x14ac:dyDescent="0.25">
      <c r="A250" s="10">
        <v>45735</v>
      </c>
      <c r="B250" t="s">
        <v>25</v>
      </c>
      <c r="C250" t="s">
        <v>12</v>
      </c>
      <c r="D250" t="s">
        <v>23</v>
      </c>
      <c r="E250" t="s">
        <v>20</v>
      </c>
      <c r="F250" t="s">
        <v>21</v>
      </c>
      <c r="G250" t="s">
        <v>22</v>
      </c>
      <c r="H250">
        <v>30000</v>
      </c>
      <c r="I250">
        <v>6</v>
      </c>
      <c r="J250" t="s">
        <v>39</v>
      </c>
      <c r="K250">
        <v>24000</v>
      </c>
    </row>
    <row r="251" spans="1:11" x14ac:dyDescent="0.25">
      <c r="A251" s="10">
        <v>45702</v>
      </c>
      <c r="B251" t="s">
        <v>25</v>
      </c>
      <c r="C251" t="s">
        <v>12</v>
      </c>
      <c r="D251" t="s">
        <v>23</v>
      </c>
      <c r="E251" t="s">
        <v>20</v>
      </c>
      <c r="F251" t="s">
        <v>27</v>
      </c>
      <c r="G251" t="s">
        <v>22</v>
      </c>
      <c r="H251">
        <v>60000</v>
      </c>
      <c r="I251">
        <v>2</v>
      </c>
      <c r="J251" t="s">
        <v>28</v>
      </c>
      <c r="K251">
        <v>48000</v>
      </c>
    </row>
    <row r="252" spans="1:11" x14ac:dyDescent="0.25">
      <c r="A252" s="10">
        <v>45660</v>
      </c>
      <c r="B252" t="s">
        <v>29</v>
      </c>
      <c r="C252" t="s">
        <v>26</v>
      </c>
      <c r="D252" t="s">
        <v>13</v>
      </c>
      <c r="E252" t="s">
        <v>14</v>
      </c>
      <c r="F252" t="s">
        <v>41</v>
      </c>
      <c r="G252" t="s">
        <v>22</v>
      </c>
      <c r="H252">
        <v>220000</v>
      </c>
      <c r="I252">
        <v>5</v>
      </c>
      <c r="J252" t="s">
        <v>17</v>
      </c>
      <c r="K252">
        <v>176000</v>
      </c>
    </row>
    <row r="253" spans="1:11" x14ac:dyDescent="0.25">
      <c r="A253" s="10">
        <v>45693</v>
      </c>
      <c r="B253" t="s">
        <v>11</v>
      </c>
      <c r="C253" t="s">
        <v>32</v>
      </c>
      <c r="D253" t="s">
        <v>13</v>
      </c>
      <c r="E253" t="s">
        <v>20</v>
      </c>
      <c r="F253" t="s">
        <v>33</v>
      </c>
      <c r="G253" t="s">
        <v>22</v>
      </c>
      <c r="H253">
        <v>180000</v>
      </c>
      <c r="I253">
        <v>6</v>
      </c>
      <c r="J253" t="s">
        <v>39</v>
      </c>
      <c r="K253">
        <v>144000</v>
      </c>
    </row>
    <row r="254" spans="1:11" x14ac:dyDescent="0.25">
      <c r="A254" s="10">
        <v>45762</v>
      </c>
      <c r="B254" t="s">
        <v>29</v>
      </c>
      <c r="C254" t="s">
        <v>12</v>
      </c>
      <c r="D254" t="s">
        <v>13</v>
      </c>
      <c r="E254" t="s">
        <v>14</v>
      </c>
      <c r="F254" t="s">
        <v>40</v>
      </c>
      <c r="G254" t="s">
        <v>31</v>
      </c>
      <c r="H254">
        <v>250000</v>
      </c>
      <c r="I254">
        <v>4</v>
      </c>
      <c r="J254" t="s">
        <v>35</v>
      </c>
      <c r="K254">
        <v>200000</v>
      </c>
    </row>
    <row r="255" spans="1:11" x14ac:dyDescent="0.25">
      <c r="A255" s="10">
        <v>45725</v>
      </c>
      <c r="B255" t="s">
        <v>29</v>
      </c>
      <c r="C255" t="s">
        <v>26</v>
      </c>
      <c r="D255" t="s">
        <v>23</v>
      </c>
      <c r="E255" t="s">
        <v>14</v>
      </c>
      <c r="F255" t="s">
        <v>15</v>
      </c>
      <c r="G255" t="s">
        <v>16</v>
      </c>
      <c r="H255">
        <v>85000</v>
      </c>
      <c r="I255">
        <v>10</v>
      </c>
      <c r="J255" t="s">
        <v>24</v>
      </c>
      <c r="K255">
        <v>68000</v>
      </c>
    </row>
    <row r="256" spans="1:11" x14ac:dyDescent="0.25">
      <c r="A256" s="10">
        <v>45734</v>
      </c>
      <c r="B256" t="s">
        <v>11</v>
      </c>
      <c r="C256" t="s">
        <v>19</v>
      </c>
      <c r="D256" t="s">
        <v>13</v>
      </c>
      <c r="E256" t="s">
        <v>14</v>
      </c>
      <c r="F256" t="s">
        <v>30</v>
      </c>
      <c r="G256" t="s">
        <v>31</v>
      </c>
      <c r="H256">
        <v>300000</v>
      </c>
      <c r="I256">
        <v>6</v>
      </c>
      <c r="J256" t="s">
        <v>24</v>
      </c>
      <c r="K256">
        <v>240000</v>
      </c>
    </row>
    <row r="257" spans="1:11" x14ac:dyDescent="0.25">
      <c r="A257" s="10">
        <v>45672</v>
      </c>
      <c r="B257" t="s">
        <v>29</v>
      </c>
      <c r="C257" t="s">
        <v>19</v>
      </c>
      <c r="D257" t="s">
        <v>23</v>
      </c>
      <c r="E257" t="s">
        <v>20</v>
      </c>
      <c r="F257" t="s">
        <v>41</v>
      </c>
      <c r="G257" t="s">
        <v>22</v>
      </c>
      <c r="H257">
        <v>220000</v>
      </c>
      <c r="I257">
        <v>3</v>
      </c>
      <c r="J257" t="s">
        <v>17</v>
      </c>
      <c r="K257">
        <v>176000</v>
      </c>
    </row>
    <row r="258" spans="1:11" x14ac:dyDescent="0.25">
      <c r="A258" s="10">
        <v>45663</v>
      </c>
      <c r="B258" t="s">
        <v>29</v>
      </c>
      <c r="C258" t="s">
        <v>26</v>
      </c>
      <c r="D258" t="s">
        <v>13</v>
      </c>
      <c r="E258" t="s">
        <v>20</v>
      </c>
      <c r="F258" t="s">
        <v>21</v>
      </c>
      <c r="G258" t="s">
        <v>22</v>
      </c>
      <c r="H258">
        <v>30000</v>
      </c>
      <c r="I258">
        <v>8</v>
      </c>
      <c r="J258" t="s">
        <v>39</v>
      </c>
      <c r="K258">
        <v>24000</v>
      </c>
    </row>
    <row r="259" spans="1:11" x14ac:dyDescent="0.25">
      <c r="A259" s="10">
        <v>45727</v>
      </c>
      <c r="B259" t="s">
        <v>29</v>
      </c>
      <c r="C259" t="s">
        <v>12</v>
      </c>
      <c r="D259" t="s">
        <v>23</v>
      </c>
      <c r="E259" t="s">
        <v>14</v>
      </c>
      <c r="F259" t="s">
        <v>15</v>
      </c>
      <c r="G259" t="s">
        <v>16</v>
      </c>
      <c r="H259">
        <v>85000</v>
      </c>
      <c r="I259">
        <v>2</v>
      </c>
      <c r="J259" t="s">
        <v>17</v>
      </c>
      <c r="K259">
        <v>68000</v>
      </c>
    </row>
    <row r="260" spans="1:11" x14ac:dyDescent="0.25">
      <c r="A260" s="10">
        <v>45689</v>
      </c>
      <c r="B260" t="s">
        <v>25</v>
      </c>
      <c r="C260" t="s">
        <v>32</v>
      </c>
      <c r="D260" t="s">
        <v>13</v>
      </c>
      <c r="E260" t="s">
        <v>20</v>
      </c>
      <c r="F260" t="s">
        <v>36</v>
      </c>
      <c r="G260" t="s">
        <v>31</v>
      </c>
      <c r="H260">
        <v>150000</v>
      </c>
      <c r="I260">
        <v>3</v>
      </c>
      <c r="J260" t="s">
        <v>35</v>
      </c>
      <c r="K260">
        <v>120000</v>
      </c>
    </row>
    <row r="261" spans="1:11" x14ac:dyDescent="0.25">
      <c r="A261" s="10">
        <v>45742</v>
      </c>
      <c r="B261" t="s">
        <v>18</v>
      </c>
      <c r="C261" t="s">
        <v>32</v>
      </c>
      <c r="D261" t="s">
        <v>13</v>
      </c>
      <c r="E261" t="s">
        <v>20</v>
      </c>
      <c r="F261" t="s">
        <v>15</v>
      </c>
      <c r="G261" t="s">
        <v>16</v>
      </c>
      <c r="H261">
        <v>85000</v>
      </c>
      <c r="I261">
        <v>1</v>
      </c>
      <c r="J261" t="s">
        <v>37</v>
      </c>
      <c r="K261">
        <v>68000</v>
      </c>
    </row>
    <row r="262" spans="1:11" x14ac:dyDescent="0.25">
      <c r="A262" s="10">
        <v>45712</v>
      </c>
      <c r="B262" t="s">
        <v>25</v>
      </c>
      <c r="C262" t="s">
        <v>12</v>
      </c>
      <c r="D262" t="s">
        <v>23</v>
      </c>
      <c r="E262" t="s">
        <v>20</v>
      </c>
      <c r="F262" t="s">
        <v>40</v>
      </c>
      <c r="G262" t="s">
        <v>31</v>
      </c>
      <c r="H262">
        <v>250000</v>
      </c>
      <c r="I262">
        <v>3</v>
      </c>
      <c r="J262" t="s">
        <v>39</v>
      </c>
      <c r="K262">
        <v>200000</v>
      </c>
    </row>
    <row r="263" spans="1:11" x14ac:dyDescent="0.25">
      <c r="A263" s="10">
        <v>45748</v>
      </c>
      <c r="B263" t="s">
        <v>18</v>
      </c>
      <c r="C263" t="s">
        <v>12</v>
      </c>
      <c r="D263" t="s">
        <v>23</v>
      </c>
      <c r="E263" t="s">
        <v>20</v>
      </c>
      <c r="F263" t="s">
        <v>38</v>
      </c>
      <c r="G263" t="s">
        <v>31</v>
      </c>
      <c r="H263">
        <v>420000</v>
      </c>
      <c r="I263">
        <v>2</v>
      </c>
      <c r="J263" t="s">
        <v>17</v>
      </c>
      <c r="K263">
        <v>336000</v>
      </c>
    </row>
    <row r="264" spans="1:11" x14ac:dyDescent="0.25">
      <c r="A264" s="10">
        <v>45724</v>
      </c>
      <c r="B264" t="s">
        <v>11</v>
      </c>
      <c r="C264" t="s">
        <v>26</v>
      </c>
      <c r="D264" t="s">
        <v>13</v>
      </c>
      <c r="E264" t="s">
        <v>14</v>
      </c>
      <c r="F264" t="s">
        <v>36</v>
      </c>
      <c r="G264" t="s">
        <v>31</v>
      </c>
      <c r="H264">
        <v>150000</v>
      </c>
      <c r="I264">
        <v>9</v>
      </c>
      <c r="J264" t="s">
        <v>28</v>
      </c>
      <c r="K264">
        <v>120000</v>
      </c>
    </row>
    <row r="265" spans="1:11" x14ac:dyDescent="0.25">
      <c r="A265" s="10">
        <v>45673</v>
      </c>
      <c r="B265" t="s">
        <v>29</v>
      </c>
      <c r="C265" t="s">
        <v>32</v>
      </c>
      <c r="D265" t="s">
        <v>13</v>
      </c>
      <c r="E265" t="s">
        <v>20</v>
      </c>
      <c r="F265" t="s">
        <v>21</v>
      </c>
      <c r="G265" t="s">
        <v>22</v>
      </c>
      <c r="H265">
        <v>30000</v>
      </c>
      <c r="I265">
        <v>9</v>
      </c>
      <c r="J265" t="s">
        <v>24</v>
      </c>
      <c r="K265">
        <v>24000</v>
      </c>
    </row>
    <row r="266" spans="1:11" x14ac:dyDescent="0.25">
      <c r="A266" s="10">
        <v>45750</v>
      </c>
      <c r="B266" t="s">
        <v>18</v>
      </c>
      <c r="C266" t="s">
        <v>19</v>
      </c>
      <c r="D266" t="s">
        <v>23</v>
      </c>
      <c r="E266" t="s">
        <v>20</v>
      </c>
      <c r="F266" t="s">
        <v>41</v>
      </c>
      <c r="G266" t="s">
        <v>22</v>
      </c>
      <c r="H266">
        <v>220000</v>
      </c>
      <c r="I266">
        <v>6</v>
      </c>
      <c r="J266" t="s">
        <v>39</v>
      </c>
      <c r="K266">
        <v>176000</v>
      </c>
    </row>
    <row r="267" spans="1:11" x14ac:dyDescent="0.25">
      <c r="A267" s="10">
        <v>45749</v>
      </c>
      <c r="B267" t="s">
        <v>29</v>
      </c>
      <c r="C267" t="s">
        <v>26</v>
      </c>
      <c r="D267" t="s">
        <v>23</v>
      </c>
      <c r="E267" t="s">
        <v>20</v>
      </c>
      <c r="F267" t="s">
        <v>21</v>
      </c>
      <c r="G267" t="s">
        <v>22</v>
      </c>
      <c r="H267">
        <v>30000</v>
      </c>
      <c r="I267">
        <v>3</v>
      </c>
      <c r="J267" t="s">
        <v>39</v>
      </c>
      <c r="K267">
        <v>24000</v>
      </c>
    </row>
    <row r="268" spans="1:11" x14ac:dyDescent="0.25">
      <c r="A268" s="10">
        <v>45689</v>
      </c>
      <c r="B268" t="s">
        <v>11</v>
      </c>
      <c r="C268" t="s">
        <v>26</v>
      </c>
      <c r="D268" t="s">
        <v>13</v>
      </c>
      <c r="E268" t="s">
        <v>14</v>
      </c>
      <c r="F268" t="s">
        <v>38</v>
      </c>
      <c r="G268" t="s">
        <v>31</v>
      </c>
      <c r="H268">
        <v>420000</v>
      </c>
      <c r="I268">
        <v>10</v>
      </c>
      <c r="J268" t="s">
        <v>24</v>
      </c>
      <c r="K268">
        <v>336000</v>
      </c>
    </row>
    <row r="269" spans="1:11" x14ac:dyDescent="0.25">
      <c r="A269" s="10">
        <v>45759</v>
      </c>
      <c r="B269" t="s">
        <v>29</v>
      </c>
      <c r="C269" t="s">
        <v>32</v>
      </c>
      <c r="D269" t="s">
        <v>23</v>
      </c>
      <c r="E269" t="s">
        <v>14</v>
      </c>
      <c r="F269" t="s">
        <v>21</v>
      </c>
      <c r="G269" t="s">
        <v>22</v>
      </c>
      <c r="H269">
        <v>30000</v>
      </c>
      <c r="I269">
        <v>2</v>
      </c>
      <c r="J269" t="s">
        <v>37</v>
      </c>
      <c r="K269">
        <v>24000</v>
      </c>
    </row>
    <row r="270" spans="1:11" x14ac:dyDescent="0.25">
      <c r="A270" s="10">
        <v>45691</v>
      </c>
      <c r="B270" t="s">
        <v>18</v>
      </c>
      <c r="C270" t="s">
        <v>12</v>
      </c>
      <c r="D270" t="s">
        <v>23</v>
      </c>
      <c r="E270" t="s">
        <v>20</v>
      </c>
      <c r="F270" t="s">
        <v>36</v>
      </c>
      <c r="G270" t="s">
        <v>31</v>
      </c>
      <c r="H270">
        <v>150000</v>
      </c>
      <c r="I270">
        <v>5</v>
      </c>
      <c r="J270" t="s">
        <v>24</v>
      </c>
      <c r="K270">
        <v>120000</v>
      </c>
    </row>
    <row r="271" spans="1:11" x14ac:dyDescent="0.25">
      <c r="A271" s="10">
        <v>45763</v>
      </c>
      <c r="B271" t="s">
        <v>25</v>
      </c>
      <c r="C271" t="s">
        <v>32</v>
      </c>
      <c r="D271" t="s">
        <v>13</v>
      </c>
      <c r="E271" t="s">
        <v>20</v>
      </c>
      <c r="F271" t="s">
        <v>36</v>
      </c>
      <c r="G271" t="s">
        <v>31</v>
      </c>
      <c r="H271">
        <v>150000</v>
      </c>
      <c r="I271">
        <v>10</v>
      </c>
      <c r="J271" t="s">
        <v>37</v>
      </c>
      <c r="K271">
        <v>120000</v>
      </c>
    </row>
    <row r="272" spans="1:11" x14ac:dyDescent="0.25">
      <c r="A272" s="10">
        <v>45668</v>
      </c>
      <c r="B272" t="s">
        <v>11</v>
      </c>
      <c r="C272" t="s">
        <v>32</v>
      </c>
      <c r="D272" t="s">
        <v>23</v>
      </c>
      <c r="E272" t="s">
        <v>14</v>
      </c>
      <c r="F272" t="s">
        <v>33</v>
      </c>
      <c r="G272" t="s">
        <v>22</v>
      </c>
      <c r="H272">
        <v>180000</v>
      </c>
      <c r="I272">
        <v>3</v>
      </c>
      <c r="J272" t="s">
        <v>24</v>
      </c>
      <c r="K272">
        <v>144000</v>
      </c>
    </row>
    <row r="273" spans="1:11" x14ac:dyDescent="0.25">
      <c r="A273" s="10">
        <v>45690</v>
      </c>
      <c r="B273" t="s">
        <v>18</v>
      </c>
      <c r="C273" t="s">
        <v>26</v>
      </c>
      <c r="D273" t="s">
        <v>23</v>
      </c>
      <c r="E273" t="s">
        <v>14</v>
      </c>
      <c r="F273" t="s">
        <v>21</v>
      </c>
      <c r="G273" t="s">
        <v>22</v>
      </c>
      <c r="H273">
        <v>30000</v>
      </c>
      <c r="I273">
        <v>10</v>
      </c>
      <c r="J273" t="s">
        <v>28</v>
      </c>
      <c r="K273">
        <v>24000</v>
      </c>
    </row>
    <row r="274" spans="1:11" x14ac:dyDescent="0.25">
      <c r="A274" s="10">
        <v>45661</v>
      </c>
      <c r="B274" t="s">
        <v>18</v>
      </c>
      <c r="C274" t="s">
        <v>12</v>
      </c>
      <c r="D274" t="s">
        <v>13</v>
      </c>
      <c r="E274" t="s">
        <v>14</v>
      </c>
      <c r="F274" t="s">
        <v>38</v>
      </c>
      <c r="G274" t="s">
        <v>31</v>
      </c>
      <c r="H274">
        <v>420000</v>
      </c>
      <c r="I274">
        <v>2</v>
      </c>
      <c r="J274" t="s">
        <v>28</v>
      </c>
      <c r="K274">
        <v>336000</v>
      </c>
    </row>
    <row r="275" spans="1:11" x14ac:dyDescent="0.25">
      <c r="A275" s="10">
        <v>45730</v>
      </c>
      <c r="B275" t="s">
        <v>25</v>
      </c>
      <c r="C275" t="s">
        <v>12</v>
      </c>
      <c r="D275" t="s">
        <v>23</v>
      </c>
      <c r="E275" t="s">
        <v>14</v>
      </c>
      <c r="F275" t="s">
        <v>34</v>
      </c>
      <c r="G275" t="s">
        <v>16</v>
      </c>
      <c r="H275">
        <v>320000</v>
      </c>
      <c r="I275">
        <v>1</v>
      </c>
      <c r="J275" t="s">
        <v>35</v>
      </c>
      <c r="K275">
        <v>256000</v>
      </c>
    </row>
    <row r="276" spans="1:11" x14ac:dyDescent="0.25">
      <c r="A276" s="10">
        <v>45743</v>
      </c>
      <c r="B276" t="s">
        <v>29</v>
      </c>
      <c r="C276" t="s">
        <v>19</v>
      </c>
      <c r="D276" t="s">
        <v>13</v>
      </c>
      <c r="E276" t="s">
        <v>14</v>
      </c>
      <c r="F276" t="s">
        <v>36</v>
      </c>
      <c r="G276" t="s">
        <v>31</v>
      </c>
      <c r="H276">
        <v>150000</v>
      </c>
      <c r="I276">
        <v>2</v>
      </c>
      <c r="J276" t="s">
        <v>28</v>
      </c>
      <c r="K276">
        <v>120000</v>
      </c>
    </row>
    <row r="277" spans="1:11" x14ac:dyDescent="0.25">
      <c r="A277" s="10">
        <v>45772</v>
      </c>
      <c r="B277" t="s">
        <v>18</v>
      </c>
      <c r="C277" t="s">
        <v>19</v>
      </c>
      <c r="D277" t="s">
        <v>23</v>
      </c>
      <c r="E277" t="s">
        <v>20</v>
      </c>
      <c r="F277" t="s">
        <v>21</v>
      </c>
      <c r="G277" t="s">
        <v>22</v>
      </c>
      <c r="H277">
        <v>30000</v>
      </c>
      <c r="I277">
        <v>9</v>
      </c>
      <c r="J277" t="s">
        <v>39</v>
      </c>
      <c r="K277">
        <v>24000</v>
      </c>
    </row>
    <row r="278" spans="1:11" x14ac:dyDescent="0.25">
      <c r="A278" s="10">
        <v>45714</v>
      </c>
      <c r="B278" t="s">
        <v>11</v>
      </c>
      <c r="C278" t="s">
        <v>19</v>
      </c>
      <c r="D278" t="s">
        <v>13</v>
      </c>
      <c r="E278" t="s">
        <v>14</v>
      </c>
      <c r="F278" t="s">
        <v>15</v>
      </c>
      <c r="G278" t="s">
        <v>16</v>
      </c>
      <c r="H278">
        <v>85000</v>
      </c>
      <c r="I278">
        <v>7</v>
      </c>
      <c r="J278" t="s">
        <v>35</v>
      </c>
      <c r="K278">
        <v>68000</v>
      </c>
    </row>
    <row r="279" spans="1:11" x14ac:dyDescent="0.25">
      <c r="A279" s="10">
        <v>45690</v>
      </c>
      <c r="B279" t="s">
        <v>29</v>
      </c>
      <c r="C279" t="s">
        <v>12</v>
      </c>
      <c r="D279" t="s">
        <v>23</v>
      </c>
      <c r="E279" t="s">
        <v>14</v>
      </c>
      <c r="F279" t="s">
        <v>36</v>
      </c>
      <c r="G279" t="s">
        <v>31</v>
      </c>
      <c r="H279">
        <v>150000</v>
      </c>
      <c r="I279">
        <v>5</v>
      </c>
      <c r="J279" t="s">
        <v>24</v>
      </c>
      <c r="K279">
        <v>120000</v>
      </c>
    </row>
    <row r="280" spans="1:11" x14ac:dyDescent="0.25">
      <c r="A280" s="10">
        <v>45658</v>
      </c>
      <c r="B280" t="s">
        <v>11</v>
      </c>
      <c r="C280" t="s">
        <v>26</v>
      </c>
      <c r="D280" t="s">
        <v>13</v>
      </c>
      <c r="E280" t="s">
        <v>20</v>
      </c>
      <c r="F280" t="s">
        <v>34</v>
      </c>
      <c r="G280" t="s">
        <v>16</v>
      </c>
      <c r="H280">
        <v>320000</v>
      </c>
      <c r="I280">
        <v>9</v>
      </c>
      <c r="J280" t="s">
        <v>17</v>
      </c>
      <c r="K280">
        <v>256000</v>
      </c>
    </row>
    <row r="281" spans="1:11" x14ac:dyDescent="0.25">
      <c r="A281" s="10">
        <v>45722</v>
      </c>
      <c r="B281" t="s">
        <v>29</v>
      </c>
      <c r="C281" t="s">
        <v>19</v>
      </c>
      <c r="D281" t="s">
        <v>13</v>
      </c>
      <c r="E281" t="s">
        <v>14</v>
      </c>
      <c r="F281" t="s">
        <v>34</v>
      </c>
      <c r="G281" t="s">
        <v>16</v>
      </c>
      <c r="H281">
        <v>320000</v>
      </c>
      <c r="I281">
        <v>10</v>
      </c>
      <c r="J281" t="s">
        <v>35</v>
      </c>
      <c r="K281">
        <v>256000</v>
      </c>
    </row>
    <row r="282" spans="1:11" x14ac:dyDescent="0.25">
      <c r="A282" s="10">
        <v>45660</v>
      </c>
      <c r="B282" t="s">
        <v>29</v>
      </c>
      <c r="C282" t="s">
        <v>26</v>
      </c>
      <c r="D282" t="s">
        <v>23</v>
      </c>
      <c r="E282" t="s">
        <v>14</v>
      </c>
      <c r="F282" t="s">
        <v>15</v>
      </c>
      <c r="G282" t="s">
        <v>16</v>
      </c>
      <c r="H282">
        <v>85000</v>
      </c>
      <c r="I282">
        <v>7</v>
      </c>
      <c r="J282" t="s">
        <v>35</v>
      </c>
      <c r="K282">
        <v>68000</v>
      </c>
    </row>
    <row r="283" spans="1:11" x14ac:dyDescent="0.25">
      <c r="A283" s="10">
        <v>45768</v>
      </c>
      <c r="B283" t="s">
        <v>25</v>
      </c>
      <c r="C283" t="s">
        <v>26</v>
      </c>
      <c r="D283" t="s">
        <v>13</v>
      </c>
      <c r="E283" t="s">
        <v>14</v>
      </c>
      <c r="F283" t="s">
        <v>27</v>
      </c>
      <c r="G283" t="s">
        <v>22</v>
      </c>
      <c r="H283">
        <v>60000</v>
      </c>
      <c r="I283">
        <v>4</v>
      </c>
      <c r="J283" t="s">
        <v>35</v>
      </c>
      <c r="K283">
        <v>48000</v>
      </c>
    </row>
    <row r="284" spans="1:11" x14ac:dyDescent="0.25">
      <c r="A284" s="10">
        <v>45751</v>
      </c>
      <c r="B284" t="s">
        <v>18</v>
      </c>
      <c r="C284" t="s">
        <v>26</v>
      </c>
      <c r="D284" t="s">
        <v>13</v>
      </c>
      <c r="E284" t="s">
        <v>20</v>
      </c>
      <c r="F284" t="s">
        <v>27</v>
      </c>
      <c r="G284" t="s">
        <v>22</v>
      </c>
      <c r="H284">
        <v>60000</v>
      </c>
      <c r="I284">
        <v>7</v>
      </c>
      <c r="J284" t="s">
        <v>24</v>
      </c>
      <c r="K284">
        <v>48000</v>
      </c>
    </row>
    <row r="285" spans="1:11" x14ac:dyDescent="0.25">
      <c r="A285" s="10">
        <v>45755</v>
      </c>
      <c r="B285" t="s">
        <v>25</v>
      </c>
      <c r="C285" t="s">
        <v>19</v>
      </c>
      <c r="D285" t="s">
        <v>23</v>
      </c>
      <c r="E285" t="s">
        <v>14</v>
      </c>
      <c r="F285" t="s">
        <v>36</v>
      </c>
      <c r="G285" t="s">
        <v>31</v>
      </c>
      <c r="H285">
        <v>150000</v>
      </c>
      <c r="I285">
        <v>7</v>
      </c>
      <c r="J285" t="s">
        <v>39</v>
      </c>
      <c r="K285">
        <v>120000</v>
      </c>
    </row>
    <row r="286" spans="1:11" x14ac:dyDescent="0.25">
      <c r="A286" s="10">
        <v>45769</v>
      </c>
      <c r="B286" t="s">
        <v>11</v>
      </c>
      <c r="C286" t="s">
        <v>19</v>
      </c>
      <c r="D286" t="s">
        <v>13</v>
      </c>
      <c r="E286" t="s">
        <v>14</v>
      </c>
      <c r="F286" t="s">
        <v>15</v>
      </c>
      <c r="G286" t="s">
        <v>16</v>
      </c>
      <c r="H286">
        <v>85000</v>
      </c>
      <c r="I286">
        <v>3</v>
      </c>
      <c r="J286" t="s">
        <v>24</v>
      </c>
      <c r="K286">
        <v>68000</v>
      </c>
    </row>
    <row r="287" spans="1:11" x14ac:dyDescent="0.25">
      <c r="A287" s="10">
        <v>45735</v>
      </c>
      <c r="B287" t="s">
        <v>25</v>
      </c>
      <c r="C287" t="s">
        <v>32</v>
      </c>
      <c r="D287" t="s">
        <v>13</v>
      </c>
      <c r="E287" t="s">
        <v>14</v>
      </c>
      <c r="F287" t="s">
        <v>15</v>
      </c>
      <c r="G287" t="s">
        <v>16</v>
      </c>
      <c r="H287">
        <v>85000</v>
      </c>
      <c r="I287">
        <v>10</v>
      </c>
      <c r="J287" t="s">
        <v>28</v>
      </c>
      <c r="K287">
        <v>68000</v>
      </c>
    </row>
    <row r="288" spans="1:11" x14ac:dyDescent="0.25">
      <c r="A288" s="10">
        <v>45769</v>
      </c>
      <c r="B288" t="s">
        <v>18</v>
      </c>
      <c r="C288" t="s">
        <v>19</v>
      </c>
      <c r="D288" t="s">
        <v>23</v>
      </c>
      <c r="E288" t="s">
        <v>20</v>
      </c>
      <c r="F288" t="s">
        <v>30</v>
      </c>
      <c r="G288" t="s">
        <v>31</v>
      </c>
      <c r="H288">
        <v>300000</v>
      </c>
      <c r="I288">
        <v>10</v>
      </c>
      <c r="J288" t="s">
        <v>24</v>
      </c>
      <c r="K288">
        <v>240000</v>
      </c>
    </row>
    <row r="289" spans="1:11" x14ac:dyDescent="0.25">
      <c r="A289" s="10">
        <v>45736</v>
      </c>
      <c r="B289" t="s">
        <v>25</v>
      </c>
      <c r="C289" t="s">
        <v>32</v>
      </c>
      <c r="D289" t="s">
        <v>13</v>
      </c>
      <c r="E289" t="s">
        <v>20</v>
      </c>
      <c r="F289" t="s">
        <v>27</v>
      </c>
      <c r="G289" t="s">
        <v>22</v>
      </c>
      <c r="H289">
        <v>60000</v>
      </c>
      <c r="I289">
        <v>3</v>
      </c>
      <c r="J289" t="s">
        <v>17</v>
      </c>
      <c r="K289">
        <v>48000</v>
      </c>
    </row>
    <row r="290" spans="1:11" x14ac:dyDescent="0.25">
      <c r="A290" s="10">
        <v>45715</v>
      </c>
      <c r="B290" t="s">
        <v>18</v>
      </c>
      <c r="C290" t="s">
        <v>12</v>
      </c>
      <c r="D290" t="s">
        <v>23</v>
      </c>
      <c r="E290" t="s">
        <v>14</v>
      </c>
      <c r="F290" t="s">
        <v>27</v>
      </c>
      <c r="G290" t="s">
        <v>22</v>
      </c>
      <c r="H290">
        <v>60000</v>
      </c>
      <c r="I290">
        <v>3</v>
      </c>
      <c r="J290" t="s">
        <v>24</v>
      </c>
      <c r="K290">
        <v>48000</v>
      </c>
    </row>
    <row r="291" spans="1:11" x14ac:dyDescent="0.25">
      <c r="A291" s="10">
        <v>45677</v>
      </c>
      <c r="B291" t="s">
        <v>11</v>
      </c>
      <c r="C291" t="s">
        <v>19</v>
      </c>
      <c r="D291" t="s">
        <v>13</v>
      </c>
      <c r="E291" t="s">
        <v>14</v>
      </c>
      <c r="F291" t="s">
        <v>15</v>
      </c>
      <c r="G291" t="s">
        <v>16</v>
      </c>
      <c r="H291">
        <v>85000</v>
      </c>
      <c r="I291">
        <v>6</v>
      </c>
      <c r="J291" t="s">
        <v>24</v>
      </c>
      <c r="K291">
        <v>68000</v>
      </c>
    </row>
    <row r="292" spans="1:11" x14ac:dyDescent="0.25">
      <c r="A292" s="10">
        <v>45771</v>
      </c>
      <c r="B292" t="s">
        <v>18</v>
      </c>
      <c r="C292" t="s">
        <v>26</v>
      </c>
      <c r="D292" t="s">
        <v>23</v>
      </c>
      <c r="E292" t="s">
        <v>20</v>
      </c>
      <c r="F292" t="s">
        <v>38</v>
      </c>
      <c r="G292" t="s">
        <v>31</v>
      </c>
      <c r="H292">
        <v>420000</v>
      </c>
      <c r="I292">
        <v>2</v>
      </c>
      <c r="J292" t="s">
        <v>37</v>
      </c>
      <c r="K292">
        <v>336000</v>
      </c>
    </row>
    <row r="293" spans="1:11" x14ac:dyDescent="0.25">
      <c r="A293" s="10">
        <v>45703</v>
      </c>
      <c r="B293" t="s">
        <v>29</v>
      </c>
      <c r="C293" t="s">
        <v>32</v>
      </c>
      <c r="D293" t="s">
        <v>13</v>
      </c>
      <c r="E293" t="s">
        <v>20</v>
      </c>
      <c r="F293" t="s">
        <v>40</v>
      </c>
      <c r="G293" t="s">
        <v>31</v>
      </c>
      <c r="H293">
        <v>250000</v>
      </c>
      <c r="I293">
        <v>6</v>
      </c>
      <c r="J293" t="s">
        <v>39</v>
      </c>
      <c r="K293">
        <v>200000</v>
      </c>
    </row>
    <row r="294" spans="1:11" x14ac:dyDescent="0.25">
      <c r="A294" s="10">
        <v>45727</v>
      </c>
      <c r="B294" t="s">
        <v>29</v>
      </c>
      <c r="C294" t="s">
        <v>12</v>
      </c>
      <c r="D294" t="s">
        <v>13</v>
      </c>
      <c r="E294" t="s">
        <v>14</v>
      </c>
      <c r="F294" t="s">
        <v>36</v>
      </c>
      <c r="G294" t="s">
        <v>31</v>
      </c>
      <c r="H294">
        <v>150000</v>
      </c>
      <c r="I294">
        <v>8</v>
      </c>
      <c r="J294" t="s">
        <v>24</v>
      </c>
      <c r="K294">
        <v>120000</v>
      </c>
    </row>
    <row r="295" spans="1:11" x14ac:dyDescent="0.25">
      <c r="A295" s="10">
        <v>45775</v>
      </c>
      <c r="B295" t="s">
        <v>18</v>
      </c>
      <c r="C295" t="s">
        <v>26</v>
      </c>
      <c r="D295" t="s">
        <v>23</v>
      </c>
      <c r="E295" t="s">
        <v>14</v>
      </c>
      <c r="F295" t="s">
        <v>36</v>
      </c>
      <c r="G295" t="s">
        <v>31</v>
      </c>
      <c r="H295">
        <v>150000</v>
      </c>
      <c r="I295">
        <v>10</v>
      </c>
      <c r="J295" t="s">
        <v>24</v>
      </c>
      <c r="K295">
        <v>120000</v>
      </c>
    </row>
    <row r="296" spans="1:11" x14ac:dyDescent="0.25">
      <c r="A296" s="10">
        <v>45769</v>
      </c>
      <c r="B296" t="s">
        <v>18</v>
      </c>
      <c r="C296" t="s">
        <v>26</v>
      </c>
      <c r="D296" t="s">
        <v>13</v>
      </c>
      <c r="E296" t="s">
        <v>14</v>
      </c>
      <c r="F296" t="s">
        <v>40</v>
      </c>
      <c r="G296" t="s">
        <v>31</v>
      </c>
      <c r="H296">
        <v>250000</v>
      </c>
      <c r="I296">
        <v>5</v>
      </c>
      <c r="J296" t="s">
        <v>39</v>
      </c>
      <c r="K296">
        <v>200000</v>
      </c>
    </row>
    <row r="297" spans="1:11" x14ac:dyDescent="0.25">
      <c r="A297" s="10">
        <v>45704</v>
      </c>
      <c r="B297" t="s">
        <v>11</v>
      </c>
      <c r="C297" t="s">
        <v>26</v>
      </c>
      <c r="D297" t="s">
        <v>13</v>
      </c>
      <c r="E297" t="s">
        <v>20</v>
      </c>
      <c r="F297" t="s">
        <v>34</v>
      </c>
      <c r="G297" t="s">
        <v>16</v>
      </c>
      <c r="H297">
        <v>320000</v>
      </c>
      <c r="I297">
        <v>9</v>
      </c>
      <c r="J297" t="s">
        <v>17</v>
      </c>
      <c r="K297">
        <v>256000</v>
      </c>
    </row>
    <row r="298" spans="1:11" x14ac:dyDescent="0.25">
      <c r="A298" s="10">
        <v>45735</v>
      </c>
      <c r="B298" t="s">
        <v>11</v>
      </c>
      <c r="C298" t="s">
        <v>12</v>
      </c>
      <c r="D298" t="s">
        <v>23</v>
      </c>
      <c r="E298" t="s">
        <v>20</v>
      </c>
      <c r="F298" t="s">
        <v>33</v>
      </c>
      <c r="G298" t="s">
        <v>22</v>
      </c>
      <c r="H298">
        <v>180000</v>
      </c>
      <c r="I298">
        <v>10</v>
      </c>
      <c r="J298" t="s">
        <v>39</v>
      </c>
      <c r="K298">
        <v>144000</v>
      </c>
    </row>
    <row r="299" spans="1:11" x14ac:dyDescent="0.25">
      <c r="A299" s="10">
        <v>45695</v>
      </c>
      <c r="B299" t="s">
        <v>11</v>
      </c>
      <c r="C299" t="s">
        <v>26</v>
      </c>
      <c r="D299" t="s">
        <v>23</v>
      </c>
      <c r="E299" t="s">
        <v>20</v>
      </c>
      <c r="F299" t="s">
        <v>27</v>
      </c>
      <c r="G299" t="s">
        <v>22</v>
      </c>
      <c r="H299">
        <v>60000</v>
      </c>
      <c r="I299">
        <v>6</v>
      </c>
      <c r="J299" t="s">
        <v>37</v>
      </c>
      <c r="K299">
        <v>48000</v>
      </c>
    </row>
    <row r="300" spans="1:11" x14ac:dyDescent="0.25">
      <c r="A300" s="10">
        <v>45673</v>
      </c>
      <c r="B300" t="s">
        <v>11</v>
      </c>
      <c r="C300" t="s">
        <v>26</v>
      </c>
      <c r="D300" t="s">
        <v>23</v>
      </c>
      <c r="E300" t="s">
        <v>14</v>
      </c>
      <c r="F300" t="s">
        <v>36</v>
      </c>
      <c r="G300" t="s">
        <v>31</v>
      </c>
      <c r="H300">
        <v>150000</v>
      </c>
      <c r="I300">
        <v>10</v>
      </c>
      <c r="J300" t="s">
        <v>28</v>
      </c>
      <c r="K300">
        <v>120000</v>
      </c>
    </row>
    <row r="301" spans="1:11" x14ac:dyDescent="0.25">
      <c r="A301" s="10">
        <v>45714</v>
      </c>
      <c r="B301" t="s">
        <v>18</v>
      </c>
      <c r="C301" t="s">
        <v>12</v>
      </c>
      <c r="D301" t="s">
        <v>13</v>
      </c>
      <c r="E301" t="s">
        <v>14</v>
      </c>
      <c r="F301" t="s">
        <v>40</v>
      </c>
      <c r="G301" t="s">
        <v>31</v>
      </c>
      <c r="H301">
        <v>250000</v>
      </c>
      <c r="I301">
        <v>5</v>
      </c>
      <c r="J301" t="s">
        <v>37</v>
      </c>
      <c r="K301">
        <v>200000</v>
      </c>
    </row>
    <row r="302" spans="1:11" x14ac:dyDescent="0.25">
      <c r="A302" s="10">
        <v>45679</v>
      </c>
      <c r="B302" t="s">
        <v>11</v>
      </c>
      <c r="C302" t="s">
        <v>26</v>
      </c>
      <c r="D302" t="s">
        <v>13</v>
      </c>
      <c r="E302" t="s">
        <v>14</v>
      </c>
      <c r="F302" t="s">
        <v>33</v>
      </c>
      <c r="G302" t="s">
        <v>22</v>
      </c>
      <c r="H302">
        <v>180000</v>
      </c>
      <c r="I302">
        <v>3</v>
      </c>
      <c r="J302" t="s">
        <v>17</v>
      </c>
      <c r="K302">
        <v>144000</v>
      </c>
    </row>
    <row r="303" spans="1:11" x14ac:dyDescent="0.25">
      <c r="A303" s="10">
        <v>45702</v>
      </c>
      <c r="B303" t="s">
        <v>11</v>
      </c>
      <c r="C303" t="s">
        <v>26</v>
      </c>
      <c r="D303" t="s">
        <v>23</v>
      </c>
      <c r="E303" t="s">
        <v>20</v>
      </c>
      <c r="F303" t="s">
        <v>34</v>
      </c>
      <c r="G303" t="s">
        <v>16</v>
      </c>
      <c r="H303">
        <v>320000</v>
      </c>
      <c r="I303">
        <v>5</v>
      </c>
      <c r="J303" t="s">
        <v>37</v>
      </c>
      <c r="K303">
        <v>256000</v>
      </c>
    </row>
    <row r="304" spans="1:11" x14ac:dyDescent="0.25">
      <c r="A304" s="10">
        <v>45693</v>
      </c>
      <c r="B304" t="s">
        <v>25</v>
      </c>
      <c r="C304" t="s">
        <v>12</v>
      </c>
      <c r="D304" t="s">
        <v>13</v>
      </c>
      <c r="E304" t="s">
        <v>20</v>
      </c>
      <c r="F304" t="s">
        <v>34</v>
      </c>
      <c r="G304" t="s">
        <v>16</v>
      </c>
      <c r="H304">
        <v>320000</v>
      </c>
      <c r="I304">
        <v>10</v>
      </c>
      <c r="J304" t="s">
        <v>24</v>
      </c>
      <c r="K304">
        <v>256000</v>
      </c>
    </row>
    <row r="305" spans="1:11" x14ac:dyDescent="0.25">
      <c r="A305" s="10">
        <v>45714</v>
      </c>
      <c r="B305" t="s">
        <v>18</v>
      </c>
      <c r="C305" t="s">
        <v>12</v>
      </c>
      <c r="D305" t="s">
        <v>23</v>
      </c>
      <c r="E305" t="s">
        <v>14</v>
      </c>
      <c r="F305" t="s">
        <v>21</v>
      </c>
      <c r="G305" t="s">
        <v>22</v>
      </c>
      <c r="H305">
        <v>30000</v>
      </c>
      <c r="I305">
        <v>5</v>
      </c>
      <c r="J305" t="s">
        <v>17</v>
      </c>
      <c r="K305">
        <v>24000</v>
      </c>
    </row>
    <row r="306" spans="1:11" x14ac:dyDescent="0.25">
      <c r="A306" s="10">
        <v>45707</v>
      </c>
      <c r="B306" t="s">
        <v>29</v>
      </c>
      <c r="C306" t="s">
        <v>12</v>
      </c>
      <c r="D306" t="s">
        <v>23</v>
      </c>
      <c r="E306" t="s">
        <v>20</v>
      </c>
      <c r="F306" t="s">
        <v>38</v>
      </c>
      <c r="G306" t="s">
        <v>31</v>
      </c>
      <c r="H306">
        <v>420000</v>
      </c>
      <c r="I306">
        <v>3</v>
      </c>
      <c r="J306" t="s">
        <v>17</v>
      </c>
      <c r="K306">
        <v>336000</v>
      </c>
    </row>
    <row r="307" spans="1:11" x14ac:dyDescent="0.25">
      <c r="A307" s="10">
        <v>45724</v>
      </c>
      <c r="B307" t="s">
        <v>18</v>
      </c>
      <c r="C307" t="s">
        <v>26</v>
      </c>
      <c r="D307" t="s">
        <v>13</v>
      </c>
      <c r="E307" t="s">
        <v>14</v>
      </c>
      <c r="F307" t="s">
        <v>21</v>
      </c>
      <c r="G307" t="s">
        <v>22</v>
      </c>
      <c r="H307">
        <v>30000</v>
      </c>
      <c r="I307">
        <v>4</v>
      </c>
      <c r="J307" t="s">
        <v>35</v>
      </c>
      <c r="K307">
        <v>24000</v>
      </c>
    </row>
    <row r="308" spans="1:11" x14ac:dyDescent="0.25">
      <c r="A308" s="10">
        <v>45755</v>
      </c>
      <c r="B308" t="s">
        <v>18</v>
      </c>
      <c r="C308" t="s">
        <v>12</v>
      </c>
      <c r="D308" t="s">
        <v>13</v>
      </c>
      <c r="E308" t="s">
        <v>14</v>
      </c>
      <c r="F308" t="s">
        <v>33</v>
      </c>
      <c r="G308" t="s">
        <v>22</v>
      </c>
      <c r="H308">
        <v>180000</v>
      </c>
      <c r="I308">
        <v>4</v>
      </c>
      <c r="J308" t="s">
        <v>17</v>
      </c>
      <c r="K308">
        <v>144000</v>
      </c>
    </row>
    <row r="309" spans="1:11" x14ac:dyDescent="0.25">
      <c r="A309" s="10">
        <v>45711</v>
      </c>
      <c r="B309" t="s">
        <v>18</v>
      </c>
      <c r="C309" t="s">
        <v>19</v>
      </c>
      <c r="D309" t="s">
        <v>13</v>
      </c>
      <c r="E309" t="s">
        <v>14</v>
      </c>
      <c r="F309" t="s">
        <v>40</v>
      </c>
      <c r="G309" t="s">
        <v>31</v>
      </c>
      <c r="H309">
        <v>250000</v>
      </c>
      <c r="I309">
        <v>5</v>
      </c>
      <c r="J309" t="s">
        <v>39</v>
      </c>
      <c r="K309">
        <v>200000</v>
      </c>
    </row>
    <row r="310" spans="1:11" x14ac:dyDescent="0.25">
      <c r="A310" s="10">
        <v>45741</v>
      </c>
      <c r="B310" t="s">
        <v>11</v>
      </c>
      <c r="C310" t="s">
        <v>32</v>
      </c>
      <c r="D310" t="s">
        <v>23</v>
      </c>
      <c r="E310" t="s">
        <v>20</v>
      </c>
      <c r="F310" t="s">
        <v>33</v>
      </c>
      <c r="G310" t="s">
        <v>22</v>
      </c>
      <c r="H310">
        <v>180000</v>
      </c>
      <c r="I310">
        <v>3</v>
      </c>
      <c r="J310" t="s">
        <v>35</v>
      </c>
      <c r="K310">
        <v>144000</v>
      </c>
    </row>
    <row r="311" spans="1:11" x14ac:dyDescent="0.25">
      <c r="A311" s="10">
        <v>45736</v>
      </c>
      <c r="B311" t="s">
        <v>18</v>
      </c>
      <c r="C311" t="s">
        <v>12</v>
      </c>
      <c r="D311" t="s">
        <v>13</v>
      </c>
      <c r="E311" t="s">
        <v>14</v>
      </c>
      <c r="F311" t="s">
        <v>30</v>
      </c>
      <c r="G311" t="s">
        <v>31</v>
      </c>
      <c r="H311">
        <v>300000</v>
      </c>
      <c r="I311">
        <v>5</v>
      </c>
      <c r="J311" t="s">
        <v>39</v>
      </c>
      <c r="K311">
        <v>240000</v>
      </c>
    </row>
    <row r="312" spans="1:11" x14ac:dyDescent="0.25">
      <c r="A312" s="10">
        <v>45676</v>
      </c>
      <c r="B312" t="s">
        <v>11</v>
      </c>
      <c r="C312" t="s">
        <v>26</v>
      </c>
      <c r="D312" t="s">
        <v>13</v>
      </c>
      <c r="E312" t="s">
        <v>20</v>
      </c>
      <c r="F312" t="s">
        <v>15</v>
      </c>
      <c r="G312" t="s">
        <v>16</v>
      </c>
      <c r="H312">
        <v>85000</v>
      </c>
      <c r="I312">
        <v>8</v>
      </c>
      <c r="J312" t="s">
        <v>35</v>
      </c>
      <c r="K312">
        <v>68000</v>
      </c>
    </row>
    <row r="313" spans="1:11" x14ac:dyDescent="0.25">
      <c r="A313" s="10">
        <v>45767</v>
      </c>
      <c r="B313" t="s">
        <v>18</v>
      </c>
      <c r="C313" t="s">
        <v>19</v>
      </c>
      <c r="D313" t="s">
        <v>23</v>
      </c>
      <c r="E313" t="s">
        <v>14</v>
      </c>
      <c r="F313" t="s">
        <v>33</v>
      </c>
      <c r="G313" t="s">
        <v>22</v>
      </c>
      <c r="H313">
        <v>180000</v>
      </c>
      <c r="I313">
        <v>6</v>
      </c>
      <c r="J313" t="s">
        <v>39</v>
      </c>
      <c r="K313">
        <v>144000</v>
      </c>
    </row>
    <row r="314" spans="1:11" x14ac:dyDescent="0.25">
      <c r="A314" s="10">
        <v>45680</v>
      </c>
      <c r="B314" t="s">
        <v>18</v>
      </c>
      <c r="C314" t="s">
        <v>19</v>
      </c>
      <c r="D314" t="s">
        <v>23</v>
      </c>
      <c r="E314" t="s">
        <v>14</v>
      </c>
      <c r="F314" t="s">
        <v>38</v>
      </c>
      <c r="G314" t="s">
        <v>31</v>
      </c>
      <c r="H314">
        <v>420000</v>
      </c>
      <c r="I314">
        <v>7</v>
      </c>
      <c r="J314" t="s">
        <v>37</v>
      </c>
      <c r="K314">
        <v>336000</v>
      </c>
    </row>
    <row r="315" spans="1:11" x14ac:dyDescent="0.25">
      <c r="A315" s="10">
        <v>45722</v>
      </c>
      <c r="B315" t="s">
        <v>25</v>
      </c>
      <c r="C315" t="s">
        <v>26</v>
      </c>
      <c r="D315" t="s">
        <v>23</v>
      </c>
      <c r="E315" t="s">
        <v>14</v>
      </c>
      <c r="F315" t="s">
        <v>36</v>
      </c>
      <c r="G315" t="s">
        <v>31</v>
      </c>
      <c r="H315">
        <v>150000</v>
      </c>
      <c r="I315">
        <v>8</v>
      </c>
      <c r="J315" t="s">
        <v>17</v>
      </c>
      <c r="K315">
        <v>120000</v>
      </c>
    </row>
    <row r="316" spans="1:11" x14ac:dyDescent="0.25">
      <c r="A316" s="10">
        <v>45759</v>
      </c>
      <c r="B316" t="s">
        <v>18</v>
      </c>
      <c r="C316" t="s">
        <v>26</v>
      </c>
      <c r="D316" t="s">
        <v>13</v>
      </c>
      <c r="E316" t="s">
        <v>14</v>
      </c>
      <c r="F316" t="s">
        <v>15</v>
      </c>
      <c r="G316" t="s">
        <v>16</v>
      </c>
      <c r="H316">
        <v>85000</v>
      </c>
      <c r="I316">
        <v>6</v>
      </c>
      <c r="J316" t="s">
        <v>37</v>
      </c>
      <c r="K316">
        <v>68000</v>
      </c>
    </row>
    <row r="317" spans="1:11" x14ac:dyDescent="0.25">
      <c r="A317" s="10">
        <v>45768</v>
      </c>
      <c r="B317" t="s">
        <v>25</v>
      </c>
      <c r="C317" t="s">
        <v>12</v>
      </c>
      <c r="D317" t="s">
        <v>13</v>
      </c>
      <c r="E317" t="s">
        <v>20</v>
      </c>
      <c r="F317" t="s">
        <v>33</v>
      </c>
      <c r="G317" t="s">
        <v>22</v>
      </c>
      <c r="H317">
        <v>180000</v>
      </c>
      <c r="I317">
        <v>9</v>
      </c>
      <c r="J317" t="s">
        <v>28</v>
      </c>
      <c r="K317">
        <v>144000</v>
      </c>
    </row>
    <row r="318" spans="1:11" x14ac:dyDescent="0.25">
      <c r="A318" s="10">
        <v>45727</v>
      </c>
      <c r="B318" t="s">
        <v>11</v>
      </c>
      <c r="C318" t="s">
        <v>26</v>
      </c>
      <c r="D318" t="s">
        <v>23</v>
      </c>
      <c r="E318" t="s">
        <v>14</v>
      </c>
      <c r="F318" t="s">
        <v>40</v>
      </c>
      <c r="G318" t="s">
        <v>31</v>
      </c>
      <c r="H318">
        <v>250000</v>
      </c>
      <c r="I318">
        <v>5</v>
      </c>
      <c r="J318" t="s">
        <v>37</v>
      </c>
      <c r="K318">
        <v>200000</v>
      </c>
    </row>
    <row r="319" spans="1:11" x14ac:dyDescent="0.25">
      <c r="A319" s="10">
        <v>45661</v>
      </c>
      <c r="B319" t="s">
        <v>29</v>
      </c>
      <c r="C319" t="s">
        <v>26</v>
      </c>
      <c r="D319" t="s">
        <v>13</v>
      </c>
      <c r="E319" t="s">
        <v>20</v>
      </c>
      <c r="F319" t="s">
        <v>34</v>
      </c>
      <c r="G319" t="s">
        <v>16</v>
      </c>
      <c r="H319">
        <v>320000</v>
      </c>
      <c r="I319">
        <v>9</v>
      </c>
      <c r="J319" t="s">
        <v>28</v>
      </c>
      <c r="K319">
        <v>256000</v>
      </c>
    </row>
    <row r="320" spans="1:11" x14ac:dyDescent="0.25">
      <c r="A320" s="10">
        <v>45676</v>
      </c>
      <c r="B320" t="s">
        <v>29</v>
      </c>
      <c r="C320" t="s">
        <v>19</v>
      </c>
      <c r="D320" t="s">
        <v>23</v>
      </c>
      <c r="E320" t="s">
        <v>20</v>
      </c>
      <c r="F320" t="s">
        <v>36</v>
      </c>
      <c r="G320" t="s">
        <v>31</v>
      </c>
      <c r="H320">
        <v>150000</v>
      </c>
      <c r="I320">
        <v>7</v>
      </c>
      <c r="J320" t="s">
        <v>24</v>
      </c>
      <c r="K320">
        <v>120000</v>
      </c>
    </row>
    <row r="321" spans="1:11" x14ac:dyDescent="0.25">
      <c r="A321" s="10">
        <v>45735</v>
      </c>
      <c r="B321" t="s">
        <v>18</v>
      </c>
      <c r="C321" t="s">
        <v>12</v>
      </c>
      <c r="D321" t="s">
        <v>13</v>
      </c>
      <c r="E321" t="s">
        <v>14</v>
      </c>
      <c r="F321" t="s">
        <v>38</v>
      </c>
      <c r="G321" t="s">
        <v>31</v>
      </c>
      <c r="H321">
        <v>420000</v>
      </c>
      <c r="I321">
        <v>9</v>
      </c>
      <c r="J321" t="s">
        <v>37</v>
      </c>
      <c r="K321">
        <v>336000</v>
      </c>
    </row>
    <row r="322" spans="1:11" x14ac:dyDescent="0.25">
      <c r="A322" s="10">
        <v>45667</v>
      </c>
      <c r="B322" t="s">
        <v>25</v>
      </c>
      <c r="C322" t="s">
        <v>19</v>
      </c>
      <c r="D322" t="s">
        <v>23</v>
      </c>
      <c r="E322" t="s">
        <v>20</v>
      </c>
      <c r="F322" t="s">
        <v>27</v>
      </c>
      <c r="G322" t="s">
        <v>22</v>
      </c>
      <c r="H322">
        <v>60000</v>
      </c>
      <c r="I322">
        <v>4</v>
      </c>
      <c r="J322" t="s">
        <v>24</v>
      </c>
      <c r="K322">
        <v>48000</v>
      </c>
    </row>
    <row r="323" spans="1:11" x14ac:dyDescent="0.25">
      <c r="A323" s="10">
        <v>45775</v>
      </c>
      <c r="B323" t="s">
        <v>11</v>
      </c>
      <c r="C323" t="s">
        <v>26</v>
      </c>
      <c r="D323" t="s">
        <v>13</v>
      </c>
      <c r="E323" t="s">
        <v>20</v>
      </c>
      <c r="F323" t="s">
        <v>40</v>
      </c>
      <c r="G323" t="s">
        <v>31</v>
      </c>
      <c r="H323">
        <v>250000</v>
      </c>
      <c r="I323">
        <v>5</v>
      </c>
      <c r="J323" t="s">
        <v>24</v>
      </c>
      <c r="K323">
        <v>200000</v>
      </c>
    </row>
    <row r="324" spans="1:11" x14ac:dyDescent="0.25">
      <c r="A324" s="10">
        <v>45666</v>
      </c>
      <c r="B324" t="s">
        <v>11</v>
      </c>
      <c r="C324" t="s">
        <v>26</v>
      </c>
      <c r="D324" t="s">
        <v>23</v>
      </c>
      <c r="E324" t="s">
        <v>14</v>
      </c>
      <c r="F324" t="s">
        <v>30</v>
      </c>
      <c r="G324" t="s">
        <v>31</v>
      </c>
      <c r="H324">
        <v>300000</v>
      </c>
      <c r="I324">
        <v>8</v>
      </c>
      <c r="J324" t="s">
        <v>35</v>
      </c>
      <c r="K324">
        <v>240000</v>
      </c>
    </row>
    <row r="325" spans="1:11" x14ac:dyDescent="0.25">
      <c r="A325" s="10">
        <v>45687</v>
      </c>
      <c r="B325" t="s">
        <v>11</v>
      </c>
      <c r="C325" t="s">
        <v>26</v>
      </c>
      <c r="D325" t="s">
        <v>23</v>
      </c>
      <c r="E325" t="s">
        <v>14</v>
      </c>
      <c r="F325" t="s">
        <v>38</v>
      </c>
      <c r="G325" t="s">
        <v>31</v>
      </c>
      <c r="H325">
        <v>420000</v>
      </c>
      <c r="I325">
        <v>4</v>
      </c>
      <c r="J325" t="s">
        <v>39</v>
      </c>
      <c r="K325">
        <v>336000</v>
      </c>
    </row>
    <row r="326" spans="1:11" x14ac:dyDescent="0.25">
      <c r="A326" s="10">
        <v>45733</v>
      </c>
      <c r="B326" t="s">
        <v>11</v>
      </c>
      <c r="C326" t="s">
        <v>26</v>
      </c>
      <c r="D326" t="s">
        <v>23</v>
      </c>
      <c r="E326" t="s">
        <v>20</v>
      </c>
      <c r="F326" t="s">
        <v>21</v>
      </c>
      <c r="G326" t="s">
        <v>22</v>
      </c>
      <c r="H326">
        <v>30000</v>
      </c>
      <c r="I326">
        <v>4</v>
      </c>
      <c r="J326" t="s">
        <v>24</v>
      </c>
      <c r="K326">
        <v>24000</v>
      </c>
    </row>
    <row r="327" spans="1:11" x14ac:dyDescent="0.25">
      <c r="A327" s="10">
        <v>45667</v>
      </c>
      <c r="B327" t="s">
        <v>18</v>
      </c>
      <c r="C327" t="s">
        <v>32</v>
      </c>
      <c r="D327" t="s">
        <v>13</v>
      </c>
      <c r="E327" t="s">
        <v>14</v>
      </c>
      <c r="F327" t="s">
        <v>34</v>
      </c>
      <c r="G327" t="s">
        <v>16</v>
      </c>
      <c r="H327">
        <v>320000</v>
      </c>
      <c r="I327">
        <v>7</v>
      </c>
      <c r="J327" t="s">
        <v>24</v>
      </c>
      <c r="K327">
        <v>256000</v>
      </c>
    </row>
    <row r="328" spans="1:11" x14ac:dyDescent="0.25">
      <c r="A328" s="10">
        <v>45659</v>
      </c>
      <c r="B328" t="s">
        <v>25</v>
      </c>
      <c r="C328" t="s">
        <v>19</v>
      </c>
      <c r="D328" t="s">
        <v>13</v>
      </c>
      <c r="E328" t="s">
        <v>14</v>
      </c>
      <c r="F328" t="s">
        <v>36</v>
      </c>
      <c r="G328" t="s">
        <v>31</v>
      </c>
      <c r="H328">
        <v>150000</v>
      </c>
      <c r="I328">
        <v>8</v>
      </c>
      <c r="J328" t="s">
        <v>37</v>
      </c>
      <c r="K328">
        <v>120000</v>
      </c>
    </row>
    <row r="329" spans="1:11" x14ac:dyDescent="0.25">
      <c r="A329" s="10">
        <v>45730</v>
      </c>
      <c r="B329" t="s">
        <v>11</v>
      </c>
      <c r="C329" t="s">
        <v>19</v>
      </c>
      <c r="D329" t="s">
        <v>13</v>
      </c>
      <c r="E329" t="s">
        <v>20</v>
      </c>
      <c r="F329" t="s">
        <v>27</v>
      </c>
      <c r="G329" t="s">
        <v>22</v>
      </c>
      <c r="H329">
        <v>60000</v>
      </c>
      <c r="I329">
        <v>7</v>
      </c>
      <c r="J329" t="s">
        <v>28</v>
      </c>
      <c r="K329">
        <v>48000</v>
      </c>
    </row>
    <row r="330" spans="1:11" x14ac:dyDescent="0.25">
      <c r="A330" s="10">
        <v>45766</v>
      </c>
      <c r="B330" t="s">
        <v>25</v>
      </c>
      <c r="C330" t="s">
        <v>26</v>
      </c>
      <c r="D330" t="s">
        <v>13</v>
      </c>
      <c r="E330" t="s">
        <v>14</v>
      </c>
      <c r="F330" t="s">
        <v>33</v>
      </c>
      <c r="G330" t="s">
        <v>22</v>
      </c>
      <c r="H330">
        <v>180000</v>
      </c>
      <c r="I330">
        <v>4</v>
      </c>
      <c r="J330" t="s">
        <v>24</v>
      </c>
      <c r="K330">
        <v>144000</v>
      </c>
    </row>
    <row r="331" spans="1:11" x14ac:dyDescent="0.25">
      <c r="A331" s="10">
        <v>45773</v>
      </c>
      <c r="B331" t="s">
        <v>11</v>
      </c>
      <c r="C331" t="s">
        <v>26</v>
      </c>
      <c r="D331" t="s">
        <v>23</v>
      </c>
      <c r="E331" t="s">
        <v>20</v>
      </c>
      <c r="F331" t="s">
        <v>38</v>
      </c>
      <c r="G331" t="s">
        <v>31</v>
      </c>
      <c r="H331">
        <v>420000</v>
      </c>
      <c r="I331">
        <v>8</v>
      </c>
      <c r="J331" t="s">
        <v>37</v>
      </c>
      <c r="K331">
        <v>336000</v>
      </c>
    </row>
    <row r="332" spans="1:11" x14ac:dyDescent="0.25">
      <c r="A332" s="10">
        <v>45705</v>
      </c>
      <c r="B332" t="s">
        <v>11</v>
      </c>
      <c r="C332" t="s">
        <v>26</v>
      </c>
      <c r="D332" t="s">
        <v>13</v>
      </c>
      <c r="E332" t="s">
        <v>20</v>
      </c>
      <c r="F332" t="s">
        <v>30</v>
      </c>
      <c r="G332" t="s">
        <v>31</v>
      </c>
      <c r="H332">
        <v>300000</v>
      </c>
      <c r="I332">
        <v>2</v>
      </c>
      <c r="J332" t="s">
        <v>39</v>
      </c>
      <c r="K332">
        <v>240000</v>
      </c>
    </row>
    <row r="333" spans="1:11" x14ac:dyDescent="0.25">
      <c r="A333" s="10">
        <v>45743</v>
      </c>
      <c r="B333" t="s">
        <v>25</v>
      </c>
      <c r="C333" t="s">
        <v>19</v>
      </c>
      <c r="D333" t="s">
        <v>23</v>
      </c>
      <c r="E333" t="s">
        <v>14</v>
      </c>
      <c r="F333" t="s">
        <v>38</v>
      </c>
      <c r="G333" t="s">
        <v>31</v>
      </c>
      <c r="H333">
        <v>420000</v>
      </c>
      <c r="I333">
        <v>3</v>
      </c>
      <c r="J333" t="s">
        <v>37</v>
      </c>
      <c r="K333">
        <v>336000</v>
      </c>
    </row>
    <row r="334" spans="1:11" x14ac:dyDescent="0.25">
      <c r="A334" s="10">
        <v>45722</v>
      </c>
      <c r="B334" t="s">
        <v>29</v>
      </c>
      <c r="C334" t="s">
        <v>26</v>
      </c>
      <c r="D334" t="s">
        <v>13</v>
      </c>
      <c r="E334" t="s">
        <v>14</v>
      </c>
      <c r="F334" t="s">
        <v>15</v>
      </c>
      <c r="G334" t="s">
        <v>16</v>
      </c>
      <c r="H334">
        <v>85000</v>
      </c>
      <c r="I334">
        <v>3</v>
      </c>
      <c r="J334" t="s">
        <v>28</v>
      </c>
      <c r="K334">
        <v>68000</v>
      </c>
    </row>
    <row r="335" spans="1:11" x14ac:dyDescent="0.25">
      <c r="A335" s="10">
        <v>45674</v>
      </c>
      <c r="B335" t="s">
        <v>11</v>
      </c>
      <c r="C335" t="s">
        <v>32</v>
      </c>
      <c r="D335" t="s">
        <v>23</v>
      </c>
      <c r="E335" t="s">
        <v>20</v>
      </c>
      <c r="F335" t="s">
        <v>27</v>
      </c>
      <c r="G335" t="s">
        <v>22</v>
      </c>
      <c r="H335">
        <v>60000</v>
      </c>
      <c r="I335">
        <v>8</v>
      </c>
      <c r="J335" t="s">
        <v>24</v>
      </c>
      <c r="K335">
        <v>48000</v>
      </c>
    </row>
    <row r="336" spans="1:11" x14ac:dyDescent="0.25">
      <c r="A336" s="10">
        <v>45664</v>
      </c>
      <c r="B336" t="s">
        <v>11</v>
      </c>
      <c r="C336" t="s">
        <v>19</v>
      </c>
      <c r="D336" t="s">
        <v>23</v>
      </c>
      <c r="E336" t="s">
        <v>20</v>
      </c>
      <c r="F336" t="s">
        <v>33</v>
      </c>
      <c r="G336" t="s">
        <v>22</v>
      </c>
      <c r="H336">
        <v>180000</v>
      </c>
      <c r="I336">
        <v>10</v>
      </c>
      <c r="J336" t="s">
        <v>35</v>
      </c>
      <c r="K336">
        <v>144000</v>
      </c>
    </row>
    <row r="337" spans="1:11" x14ac:dyDescent="0.25">
      <c r="A337" s="10">
        <v>45735</v>
      </c>
      <c r="B337" t="s">
        <v>18</v>
      </c>
      <c r="C337" t="s">
        <v>32</v>
      </c>
      <c r="D337" t="s">
        <v>23</v>
      </c>
      <c r="E337" t="s">
        <v>14</v>
      </c>
      <c r="F337" t="s">
        <v>33</v>
      </c>
      <c r="G337" t="s">
        <v>22</v>
      </c>
      <c r="H337">
        <v>180000</v>
      </c>
      <c r="I337">
        <v>7</v>
      </c>
      <c r="J337" t="s">
        <v>17</v>
      </c>
      <c r="K337">
        <v>144000</v>
      </c>
    </row>
    <row r="338" spans="1:11" x14ac:dyDescent="0.25">
      <c r="A338" s="10">
        <v>45668</v>
      </c>
      <c r="B338" t="s">
        <v>18</v>
      </c>
      <c r="C338" t="s">
        <v>32</v>
      </c>
      <c r="D338" t="s">
        <v>13</v>
      </c>
      <c r="E338" t="s">
        <v>20</v>
      </c>
      <c r="F338" t="s">
        <v>21</v>
      </c>
      <c r="G338" t="s">
        <v>22</v>
      </c>
      <c r="H338">
        <v>30000</v>
      </c>
      <c r="I338">
        <v>3</v>
      </c>
      <c r="J338" t="s">
        <v>28</v>
      </c>
      <c r="K338">
        <v>24000</v>
      </c>
    </row>
    <row r="339" spans="1:11" x14ac:dyDescent="0.25">
      <c r="A339" s="10">
        <v>45767</v>
      </c>
      <c r="B339" t="s">
        <v>29</v>
      </c>
      <c r="C339" t="s">
        <v>12</v>
      </c>
      <c r="D339" t="s">
        <v>23</v>
      </c>
      <c r="E339" t="s">
        <v>20</v>
      </c>
      <c r="F339" t="s">
        <v>21</v>
      </c>
      <c r="G339" t="s">
        <v>22</v>
      </c>
      <c r="H339">
        <v>30000</v>
      </c>
      <c r="I339">
        <v>6</v>
      </c>
      <c r="J339" t="s">
        <v>24</v>
      </c>
      <c r="K339">
        <v>24000</v>
      </c>
    </row>
    <row r="340" spans="1:11" x14ac:dyDescent="0.25">
      <c r="A340" s="10">
        <v>45759</v>
      </c>
      <c r="B340" t="s">
        <v>29</v>
      </c>
      <c r="C340" t="s">
        <v>19</v>
      </c>
      <c r="D340" t="s">
        <v>23</v>
      </c>
      <c r="E340" t="s">
        <v>14</v>
      </c>
      <c r="F340" t="s">
        <v>38</v>
      </c>
      <c r="G340" t="s">
        <v>31</v>
      </c>
      <c r="H340">
        <v>420000</v>
      </c>
      <c r="I340">
        <v>4</v>
      </c>
      <c r="J340" t="s">
        <v>37</v>
      </c>
      <c r="K340">
        <v>336000</v>
      </c>
    </row>
    <row r="341" spans="1:11" x14ac:dyDescent="0.25">
      <c r="A341" s="10">
        <v>45723</v>
      </c>
      <c r="B341" t="s">
        <v>18</v>
      </c>
      <c r="C341" t="s">
        <v>26</v>
      </c>
      <c r="D341" t="s">
        <v>13</v>
      </c>
      <c r="E341" t="s">
        <v>14</v>
      </c>
      <c r="F341" t="s">
        <v>41</v>
      </c>
      <c r="G341" t="s">
        <v>22</v>
      </c>
      <c r="H341">
        <v>220000</v>
      </c>
      <c r="I341">
        <v>8</v>
      </c>
      <c r="J341" t="s">
        <v>39</v>
      </c>
      <c r="K341">
        <v>176000</v>
      </c>
    </row>
    <row r="342" spans="1:11" x14ac:dyDescent="0.25">
      <c r="A342" s="10">
        <v>45715</v>
      </c>
      <c r="B342" t="s">
        <v>29</v>
      </c>
      <c r="C342" t="s">
        <v>19</v>
      </c>
      <c r="D342" t="s">
        <v>23</v>
      </c>
      <c r="E342" t="s">
        <v>20</v>
      </c>
      <c r="F342" t="s">
        <v>15</v>
      </c>
      <c r="G342" t="s">
        <v>16</v>
      </c>
      <c r="H342">
        <v>85000</v>
      </c>
      <c r="I342">
        <v>5</v>
      </c>
      <c r="J342" t="s">
        <v>17</v>
      </c>
      <c r="K342">
        <v>68000</v>
      </c>
    </row>
    <row r="343" spans="1:11" x14ac:dyDescent="0.25">
      <c r="A343" s="10">
        <v>45759</v>
      </c>
      <c r="B343" t="s">
        <v>11</v>
      </c>
      <c r="C343" t="s">
        <v>19</v>
      </c>
      <c r="D343" t="s">
        <v>13</v>
      </c>
      <c r="E343" t="s">
        <v>14</v>
      </c>
      <c r="F343" t="s">
        <v>34</v>
      </c>
      <c r="G343" t="s">
        <v>16</v>
      </c>
      <c r="H343">
        <v>320000</v>
      </c>
      <c r="I343">
        <v>7</v>
      </c>
      <c r="J343" t="s">
        <v>28</v>
      </c>
      <c r="K343">
        <v>256000</v>
      </c>
    </row>
    <row r="344" spans="1:11" x14ac:dyDescent="0.25">
      <c r="A344" s="10">
        <v>45750</v>
      </c>
      <c r="B344" t="s">
        <v>25</v>
      </c>
      <c r="C344" t="s">
        <v>19</v>
      </c>
      <c r="D344" t="s">
        <v>23</v>
      </c>
      <c r="E344" t="s">
        <v>20</v>
      </c>
      <c r="F344" t="s">
        <v>33</v>
      </c>
      <c r="G344" t="s">
        <v>22</v>
      </c>
      <c r="H344">
        <v>180000</v>
      </c>
      <c r="I344">
        <v>6</v>
      </c>
      <c r="J344" t="s">
        <v>17</v>
      </c>
      <c r="K344">
        <v>144000</v>
      </c>
    </row>
    <row r="345" spans="1:11" x14ac:dyDescent="0.25">
      <c r="A345" s="10">
        <v>45676</v>
      </c>
      <c r="B345" t="s">
        <v>18</v>
      </c>
      <c r="C345" t="s">
        <v>32</v>
      </c>
      <c r="D345" t="s">
        <v>23</v>
      </c>
      <c r="E345" t="s">
        <v>14</v>
      </c>
      <c r="F345" t="s">
        <v>27</v>
      </c>
      <c r="G345" t="s">
        <v>22</v>
      </c>
      <c r="H345">
        <v>60000</v>
      </c>
      <c r="I345">
        <v>2</v>
      </c>
      <c r="J345" t="s">
        <v>37</v>
      </c>
      <c r="K345">
        <v>48000</v>
      </c>
    </row>
    <row r="346" spans="1:11" x14ac:dyDescent="0.25">
      <c r="A346" s="10">
        <v>45712</v>
      </c>
      <c r="B346" t="s">
        <v>11</v>
      </c>
      <c r="C346" t="s">
        <v>32</v>
      </c>
      <c r="D346" t="s">
        <v>23</v>
      </c>
      <c r="E346" t="s">
        <v>20</v>
      </c>
      <c r="F346" t="s">
        <v>33</v>
      </c>
      <c r="G346" t="s">
        <v>22</v>
      </c>
      <c r="H346">
        <v>180000</v>
      </c>
      <c r="I346">
        <v>5</v>
      </c>
      <c r="J346" t="s">
        <v>24</v>
      </c>
      <c r="K346">
        <v>144000</v>
      </c>
    </row>
    <row r="347" spans="1:11" x14ac:dyDescent="0.25">
      <c r="A347" s="10">
        <v>45775</v>
      </c>
      <c r="B347" t="s">
        <v>18</v>
      </c>
      <c r="C347" t="s">
        <v>32</v>
      </c>
      <c r="D347" t="s">
        <v>23</v>
      </c>
      <c r="E347" t="s">
        <v>20</v>
      </c>
      <c r="F347" t="s">
        <v>36</v>
      </c>
      <c r="G347" t="s">
        <v>31</v>
      </c>
      <c r="H347">
        <v>150000</v>
      </c>
      <c r="I347">
        <v>6</v>
      </c>
      <c r="J347" t="s">
        <v>37</v>
      </c>
      <c r="K347">
        <v>120000</v>
      </c>
    </row>
    <row r="348" spans="1:11" x14ac:dyDescent="0.25">
      <c r="A348" s="10">
        <v>45684</v>
      </c>
      <c r="B348" t="s">
        <v>18</v>
      </c>
      <c r="C348" t="s">
        <v>12</v>
      </c>
      <c r="D348" t="s">
        <v>23</v>
      </c>
      <c r="E348" t="s">
        <v>20</v>
      </c>
      <c r="F348" t="s">
        <v>21</v>
      </c>
      <c r="G348" t="s">
        <v>22</v>
      </c>
      <c r="H348">
        <v>30000</v>
      </c>
      <c r="I348">
        <v>2</v>
      </c>
      <c r="J348" t="s">
        <v>37</v>
      </c>
      <c r="K348">
        <v>24000</v>
      </c>
    </row>
    <row r="349" spans="1:11" x14ac:dyDescent="0.25">
      <c r="A349" s="10">
        <v>45770</v>
      </c>
      <c r="B349" t="s">
        <v>29</v>
      </c>
      <c r="C349" t="s">
        <v>12</v>
      </c>
      <c r="D349" t="s">
        <v>13</v>
      </c>
      <c r="E349" t="s">
        <v>14</v>
      </c>
      <c r="F349" t="s">
        <v>40</v>
      </c>
      <c r="G349" t="s">
        <v>31</v>
      </c>
      <c r="H349">
        <v>250000</v>
      </c>
      <c r="I349">
        <v>9</v>
      </c>
      <c r="J349" t="s">
        <v>37</v>
      </c>
      <c r="K349">
        <v>200000</v>
      </c>
    </row>
    <row r="350" spans="1:11" x14ac:dyDescent="0.25">
      <c r="A350" s="10">
        <v>45678</v>
      </c>
      <c r="B350" t="s">
        <v>11</v>
      </c>
      <c r="C350" t="s">
        <v>26</v>
      </c>
      <c r="D350" t="s">
        <v>13</v>
      </c>
      <c r="E350" t="s">
        <v>20</v>
      </c>
      <c r="F350" t="s">
        <v>27</v>
      </c>
      <c r="G350" t="s">
        <v>22</v>
      </c>
      <c r="H350">
        <v>60000</v>
      </c>
      <c r="I350">
        <v>4</v>
      </c>
      <c r="J350" t="s">
        <v>24</v>
      </c>
      <c r="K350">
        <v>48000</v>
      </c>
    </row>
    <row r="351" spans="1:11" x14ac:dyDescent="0.25">
      <c r="A351" s="10">
        <v>45743</v>
      </c>
      <c r="B351" t="s">
        <v>18</v>
      </c>
      <c r="C351" t="s">
        <v>12</v>
      </c>
      <c r="D351" t="s">
        <v>13</v>
      </c>
      <c r="E351" t="s">
        <v>14</v>
      </c>
      <c r="F351" t="s">
        <v>36</v>
      </c>
      <c r="G351" t="s">
        <v>31</v>
      </c>
      <c r="H351">
        <v>150000</v>
      </c>
      <c r="I351">
        <v>9</v>
      </c>
      <c r="J351" t="s">
        <v>37</v>
      </c>
      <c r="K351">
        <v>120000</v>
      </c>
    </row>
    <row r="352" spans="1:11" x14ac:dyDescent="0.25">
      <c r="A352" s="10">
        <v>45675</v>
      </c>
      <c r="B352" t="s">
        <v>29</v>
      </c>
      <c r="C352" t="s">
        <v>19</v>
      </c>
      <c r="D352" t="s">
        <v>23</v>
      </c>
      <c r="E352" t="s">
        <v>20</v>
      </c>
      <c r="F352" t="s">
        <v>33</v>
      </c>
      <c r="G352" t="s">
        <v>22</v>
      </c>
      <c r="H352">
        <v>180000</v>
      </c>
      <c r="I352">
        <v>3</v>
      </c>
      <c r="J352" t="s">
        <v>17</v>
      </c>
      <c r="K352">
        <v>144000</v>
      </c>
    </row>
    <row r="353" spans="1:11" x14ac:dyDescent="0.25">
      <c r="A353" s="10">
        <v>45742</v>
      </c>
      <c r="B353" t="s">
        <v>11</v>
      </c>
      <c r="C353" t="s">
        <v>12</v>
      </c>
      <c r="D353" t="s">
        <v>13</v>
      </c>
      <c r="E353" t="s">
        <v>14</v>
      </c>
      <c r="F353" t="s">
        <v>33</v>
      </c>
      <c r="G353" t="s">
        <v>22</v>
      </c>
      <c r="H353">
        <v>180000</v>
      </c>
      <c r="I353">
        <v>10</v>
      </c>
      <c r="J353" t="s">
        <v>17</v>
      </c>
      <c r="K353">
        <v>144000</v>
      </c>
    </row>
    <row r="354" spans="1:11" x14ac:dyDescent="0.25">
      <c r="A354" s="10">
        <v>45676</v>
      </c>
      <c r="B354" t="s">
        <v>18</v>
      </c>
      <c r="C354" t="s">
        <v>19</v>
      </c>
      <c r="D354" t="s">
        <v>13</v>
      </c>
      <c r="E354" t="s">
        <v>14</v>
      </c>
      <c r="F354" t="s">
        <v>41</v>
      </c>
      <c r="G354" t="s">
        <v>22</v>
      </c>
      <c r="H354">
        <v>220000</v>
      </c>
      <c r="I354">
        <v>2</v>
      </c>
      <c r="J354" t="s">
        <v>17</v>
      </c>
      <c r="K354">
        <v>176000</v>
      </c>
    </row>
    <row r="355" spans="1:11" x14ac:dyDescent="0.25">
      <c r="A355" s="10">
        <v>45749</v>
      </c>
      <c r="B355" t="s">
        <v>29</v>
      </c>
      <c r="C355" t="s">
        <v>12</v>
      </c>
      <c r="D355" t="s">
        <v>23</v>
      </c>
      <c r="E355" t="s">
        <v>14</v>
      </c>
      <c r="F355" t="s">
        <v>38</v>
      </c>
      <c r="G355" t="s">
        <v>31</v>
      </c>
      <c r="H355">
        <v>420000</v>
      </c>
      <c r="I355">
        <v>10</v>
      </c>
      <c r="J355" t="s">
        <v>28</v>
      </c>
      <c r="K355">
        <v>336000</v>
      </c>
    </row>
    <row r="356" spans="1:11" x14ac:dyDescent="0.25">
      <c r="A356" s="10">
        <v>45736</v>
      </c>
      <c r="B356" t="s">
        <v>11</v>
      </c>
      <c r="C356" t="s">
        <v>12</v>
      </c>
      <c r="D356" t="s">
        <v>13</v>
      </c>
      <c r="E356" t="s">
        <v>20</v>
      </c>
      <c r="F356" t="s">
        <v>21</v>
      </c>
      <c r="G356" t="s">
        <v>22</v>
      </c>
      <c r="H356">
        <v>30000</v>
      </c>
      <c r="I356">
        <v>9</v>
      </c>
      <c r="J356" t="s">
        <v>39</v>
      </c>
      <c r="K356">
        <v>24000</v>
      </c>
    </row>
    <row r="357" spans="1:11" x14ac:dyDescent="0.25">
      <c r="A357" s="10">
        <v>45676</v>
      </c>
      <c r="B357" t="s">
        <v>11</v>
      </c>
      <c r="C357" t="s">
        <v>32</v>
      </c>
      <c r="D357" t="s">
        <v>23</v>
      </c>
      <c r="E357" t="s">
        <v>14</v>
      </c>
      <c r="F357" t="s">
        <v>34</v>
      </c>
      <c r="G357" t="s">
        <v>16</v>
      </c>
      <c r="H357">
        <v>320000</v>
      </c>
      <c r="I357">
        <v>6</v>
      </c>
      <c r="J357" t="s">
        <v>35</v>
      </c>
      <c r="K357">
        <v>256000</v>
      </c>
    </row>
    <row r="358" spans="1:11" x14ac:dyDescent="0.25">
      <c r="A358" s="10">
        <v>45681</v>
      </c>
      <c r="B358" t="s">
        <v>11</v>
      </c>
      <c r="C358" t="s">
        <v>32</v>
      </c>
      <c r="D358" t="s">
        <v>13</v>
      </c>
      <c r="E358" t="s">
        <v>20</v>
      </c>
      <c r="F358" t="s">
        <v>38</v>
      </c>
      <c r="G358" t="s">
        <v>31</v>
      </c>
      <c r="H358">
        <v>420000</v>
      </c>
      <c r="I358">
        <v>2</v>
      </c>
      <c r="J358" t="s">
        <v>39</v>
      </c>
      <c r="K358">
        <v>336000</v>
      </c>
    </row>
    <row r="359" spans="1:11" x14ac:dyDescent="0.25">
      <c r="A359" s="10">
        <v>45770</v>
      </c>
      <c r="B359" t="s">
        <v>25</v>
      </c>
      <c r="C359" t="s">
        <v>26</v>
      </c>
      <c r="D359" t="s">
        <v>23</v>
      </c>
      <c r="E359" t="s">
        <v>14</v>
      </c>
      <c r="F359" t="s">
        <v>34</v>
      </c>
      <c r="G359" t="s">
        <v>16</v>
      </c>
      <c r="H359">
        <v>320000</v>
      </c>
      <c r="I359">
        <v>10</v>
      </c>
      <c r="J359" t="s">
        <v>35</v>
      </c>
      <c r="K359">
        <v>256000</v>
      </c>
    </row>
    <row r="360" spans="1:11" x14ac:dyDescent="0.25">
      <c r="A360" s="10">
        <v>45694</v>
      </c>
      <c r="B360" t="s">
        <v>18</v>
      </c>
      <c r="C360" t="s">
        <v>26</v>
      </c>
      <c r="D360" t="s">
        <v>23</v>
      </c>
      <c r="E360" t="s">
        <v>20</v>
      </c>
      <c r="F360" t="s">
        <v>30</v>
      </c>
      <c r="G360" t="s">
        <v>31</v>
      </c>
      <c r="H360">
        <v>300000</v>
      </c>
      <c r="I360">
        <v>8</v>
      </c>
      <c r="J360" t="s">
        <v>39</v>
      </c>
      <c r="K360">
        <v>240000</v>
      </c>
    </row>
    <row r="361" spans="1:11" x14ac:dyDescent="0.25">
      <c r="A361" s="10">
        <v>45695</v>
      </c>
      <c r="B361" t="s">
        <v>18</v>
      </c>
      <c r="C361" t="s">
        <v>12</v>
      </c>
      <c r="D361" t="s">
        <v>23</v>
      </c>
      <c r="E361" t="s">
        <v>14</v>
      </c>
      <c r="F361" t="s">
        <v>27</v>
      </c>
      <c r="G361" t="s">
        <v>22</v>
      </c>
      <c r="H361">
        <v>60000</v>
      </c>
      <c r="I361">
        <v>1</v>
      </c>
      <c r="J361" t="s">
        <v>24</v>
      </c>
      <c r="K361">
        <v>48000</v>
      </c>
    </row>
    <row r="362" spans="1:11" x14ac:dyDescent="0.25">
      <c r="A362" s="10">
        <v>45737</v>
      </c>
      <c r="B362" t="s">
        <v>25</v>
      </c>
      <c r="C362" t="s">
        <v>19</v>
      </c>
      <c r="D362" t="s">
        <v>23</v>
      </c>
      <c r="E362" t="s">
        <v>14</v>
      </c>
      <c r="F362" t="s">
        <v>15</v>
      </c>
      <c r="G362" t="s">
        <v>16</v>
      </c>
      <c r="H362">
        <v>85000</v>
      </c>
      <c r="I362">
        <v>3</v>
      </c>
      <c r="J362" t="s">
        <v>24</v>
      </c>
      <c r="K362">
        <v>68000</v>
      </c>
    </row>
    <row r="363" spans="1:11" x14ac:dyDescent="0.25">
      <c r="A363" s="10">
        <v>45741</v>
      </c>
      <c r="B363" t="s">
        <v>18</v>
      </c>
      <c r="C363" t="s">
        <v>26</v>
      </c>
      <c r="D363" t="s">
        <v>23</v>
      </c>
      <c r="E363" t="s">
        <v>20</v>
      </c>
      <c r="F363" t="s">
        <v>21</v>
      </c>
      <c r="G363" t="s">
        <v>22</v>
      </c>
      <c r="H363">
        <v>30000</v>
      </c>
      <c r="I363">
        <v>10</v>
      </c>
      <c r="J363" t="s">
        <v>17</v>
      </c>
      <c r="K363">
        <v>24000</v>
      </c>
    </row>
    <row r="364" spans="1:11" x14ac:dyDescent="0.25">
      <c r="A364" s="10">
        <v>45679</v>
      </c>
      <c r="B364" t="s">
        <v>18</v>
      </c>
      <c r="C364" t="s">
        <v>26</v>
      </c>
      <c r="D364" t="s">
        <v>23</v>
      </c>
      <c r="E364" t="s">
        <v>14</v>
      </c>
      <c r="F364" t="s">
        <v>21</v>
      </c>
      <c r="G364" t="s">
        <v>22</v>
      </c>
      <c r="H364">
        <v>30000</v>
      </c>
      <c r="I364">
        <v>4</v>
      </c>
      <c r="J364" t="s">
        <v>35</v>
      </c>
      <c r="K364">
        <v>24000</v>
      </c>
    </row>
    <row r="365" spans="1:11" x14ac:dyDescent="0.25">
      <c r="A365" s="10">
        <v>45684</v>
      </c>
      <c r="B365" t="s">
        <v>25</v>
      </c>
      <c r="C365" t="s">
        <v>32</v>
      </c>
      <c r="D365" t="s">
        <v>23</v>
      </c>
      <c r="E365" t="s">
        <v>20</v>
      </c>
      <c r="F365" t="s">
        <v>36</v>
      </c>
      <c r="G365" t="s">
        <v>31</v>
      </c>
      <c r="H365">
        <v>150000</v>
      </c>
      <c r="I365">
        <v>3</v>
      </c>
      <c r="J365" t="s">
        <v>24</v>
      </c>
      <c r="K365">
        <v>120000</v>
      </c>
    </row>
    <row r="366" spans="1:11" x14ac:dyDescent="0.25">
      <c r="A366" s="10">
        <v>45761</v>
      </c>
      <c r="B366" t="s">
        <v>11</v>
      </c>
      <c r="C366" t="s">
        <v>12</v>
      </c>
      <c r="D366" t="s">
        <v>23</v>
      </c>
      <c r="E366" t="s">
        <v>14</v>
      </c>
      <c r="F366" t="s">
        <v>36</v>
      </c>
      <c r="G366" t="s">
        <v>31</v>
      </c>
      <c r="H366">
        <v>150000</v>
      </c>
      <c r="I366">
        <v>3</v>
      </c>
      <c r="J366" t="s">
        <v>17</v>
      </c>
      <c r="K366">
        <v>120000</v>
      </c>
    </row>
    <row r="367" spans="1:11" x14ac:dyDescent="0.25">
      <c r="A367" s="10">
        <v>45777</v>
      </c>
      <c r="B367" t="s">
        <v>18</v>
      </c>
      <c r="C367" t="s">
        <v>26</v>
      </c>
      <c r="D367" t="s">
        <v>23</v>
      </c>
      <c r="E367" t="s">
        <v>20</v>
      </c>
      <c r="F367" t="s">
        <v>15</v>
      </c>
      <c r="G367" t="s">
        <v>16</v>
      </c>
      <c r="H367">
        <v>85000</v>
      </c>
      <c r="I367">
        <v>8</v>
      </c>
      <c r="J367" t="s">
        <v>17</v>
      </c>
      <c r="K367">
        <v>68000</v>
      </c>
    </row>
    <row r="368" spans="1:11" x14ac:dyDescent="0.25">
      <c r="A368" s="10">
        <v>45754</v>
      </c>
      <c r="B368" t="s">
        <v>25</v>
      </c>
      <c r="C368" t="s">
        <v>26</v>
      </c>
      <c r="D368" t="s">
        <v>23</v>
      </c>
      <c r="E368" t="s">
        <v>14</v>
      </c>
      <c r="F368" t="s">
        <v>38</v>
      </c>
      <c r="G368" t="s">
        <v>31</v>
      </c>
      <c r="H368">
        <v>420000</v>
      </c>
      <c r="I368">
        <v>7</v>
      </c>
      <c r="J368" t="s">
        <v>17</v>
      </c>
      <c r="K368">
        <v>336000</v>
      </c>
    </row>
    <row r="369" spans="1:11" x14ac:dyDescent="0.25">
      <c r="A369" s="10">
        <v>45679</v>
      </c>
      <c r="B369" t="s">
        <v>18</v>
      </c>
      <c r="C369" t="s">
        <v>32</v>
      </c>
      <c r="D369" t="s">
        <v>23</v>
      </c>
      <c r="E369" t="s">
        <v>20</v>
      </c>
      <c r="F369" t="s">
        <v>36</v>
      </c>
      <c r="G369" t="s">
        <v>31</v>
      </c>
      <c r="H369">
        <v>150000</v>
      </c>
      <c r="I369">
        <v>3</v>
      </c>
      <c r="J369" t="s">
        <v>24</v>
      </c>
      <c r="K369">
        <v>120000</v>
      </c>
    </row>
    <row r="370" spans="1:11" x14ac:dyDescent="0.25">
      <c r="A370" s="10">
        <v>45772</v>
      </c>
      <c r="B370" t="s">
        <v>11</v>
      </c>
      <c r="C370" t="s">
        <v>32</v>
      </c>
      <c r="D370" t="s">
        <v>23</v>
      </c>
      <c r="E370" t="s">
        <v>20</v>
      </c>
      <c r="F370" t="s">
        <v>34</v>
      </c>
      <c r="G370" t="s">
        <v>16</v>
      </c>
      <c r="H370">
        <v>320000</v>
      </c>
      <c r="I370">
        <v>1</v>
      </c>
      <c r="J370" t="s">
        <v>28</v>
      </c>
      <c r="K370">
        <v>256000</v>
      </c>
    </row>
    <row r="371" spans="1:11" x14ac:dyDescent="0.25">
      <c r="A371" s="10">
        <v>45697</v>
      </c>
      <c r="B371" t="s">
        <v>18</v>
      </c>
      <c r="C371" t="s">
        <v>32</v>
      </c>
      <c r="D371" t="s">
        <v>23</v>
      </c>
      <c r="E371" t="s">
        <v>14</v>
      </c>
      <c r="F371" t="s">
        <v>33</v>
      </c>
      <c r="G371" t="s">
        <v>22</v>
      </c>
      <c r="H371">
        <v>180000</v>
      </c>
      <c r="I371">
        <v>5</v>
      </c>
      <c r="J371" t="s">
        <v>17</v>
      </c>
      <c r="K371">
        <v>144000</v>
      </c>
    </row>
    <row r="372" spans="1:11" x14ac:dyDescent="0.25">
      <c r="A372" s="10">
        <v>45744</v>
      </c>
      <c r="B372" t="s">
        <v>29</v>
      </c>
      <c r="C372" t="s">
        <v>26</v>
      </c>
      <c r="D372" t="s">
        <v>23</v>
      </c>
      <c r="E372" t="s">
        <v>20</v>
      </c>
      <c r="F372" t="s">
        <v>30</v>
      </c>
      <c r="G372" t="s">
        <v>31</v>
      </c>
      <c r="H372">
        <v>300000</v>
      </c>
      <c r="I372">
        <v>1</v>
      </c>
      <c r="J372" t="s">
        <v>28</v>
      </c>
      <c r="K372">
        <v>240000</v>
      </c>
    </row>
    <row r="373" spans="1:11" x14ac:dyDescent="0.25">
      <c r="A373" s="10">
        <v>45756</v>
      </c>
      <c r="B373" t="s">
        <v>18</v>
      </c>
      <c r="C373" t="s">
        <v>12</v>
      </c>
      <c r="D373" t="s">
        <v>23</v>
      </c>
      <c r="E373" t="s">
        <v>14</v>
      </c>
      <c r="F373" t="s">
        <v>33</v>
      </c>
      <c r="G373" t="s">
        <v>22</v>
      </c>
      <c r="H373">
        <v>180000</v>
      </c>
      <c r="I373">
        <v>8</v>
      </c>
      <c r="J373" t="s">
        <v>37</v>
      </c>
      <c r="K373">
        <v>144000</v>
      </c>
    </row>
    <row r="374" spans="1:11" x14ac:dyDescent="0.25">
      <c r="A374" s="10">
        <v>45752</v>
      </c>
      <c r="B374" t="s">
        <v>25</v>
      </c>
      <c r="C374" t="s">
        <v>26</v>
      </c>
      <c r="D374" t="s">
        <v>23</v>
      </c>
      <c r="E374" t="s">
        <v>14</v>
      </c>
      <c r="F374" t="s">
        <v>33</v>
      </c>
      <c r="G374" t="s">
        <v>22</v>
      </c>
      <c r="H374">
        <v>180000</v>
      </c>
      <c r="I374">
        <v>3</v>
      </c>
      <c r="J374" t="s">
        <v>35</v>
      </c>
      <c r="K374">
        <v>144000</v>
      </c>
    </row>
    <row r="375" spans="1:11" x14ac:dyDescent="0.25">
      <c r="A375" s="10">
        <v>45668</v>
      </c>
      <c r="B375" t="s">
        <v>11</v>
      </c>
      <c r="C375" t="s">
        <v>32</v>
      </c>
      <c r="D375" t="s">
        <v>23</v>
      </c>
      <c r="E375" t="s">
        <v>20</v>
      </c>
      <c r="F375" t="s">
        <v>34</v>
      </c>
      <c r="G375" t="s">
        <v>16</v>
      </c>
      <c r="H375">
        <v>320000</v>
      </c>
      <c r="I375">
        <v>6</v>
      </c>
      <c r="J375" t="s">
        <v>39</v>
      </c>
      <c r="K375">
        <v>256000</v>
      </c>
    </row>
    <row r="376" spans="1:11" x14ac:dyDescent="0.25">
      <c r="A376" s="10">
        <v>45675</v>
      </c>
      <c r="B376" t="s">
        <v>11</v>
      </c>
      <c r="C376" t="s">
        <v>32</v>
      </c>
      <c r="D376" t="s">
        <v>23</v>
      </c>
      <c r="E376" t="s">
        <v>20</v>
      </c>
      <c r="F376" t="s">
        <v>27</v>
      </c>
      <c r="G376" t="s">
        <v>22</v>
      </c>
      <c r="H376">
        <v>60000</v>
      </c>
      <c r="I376">
        <v>10</v>
      </c>
      <c r="J376" t="s">
        <v>17</v>
      </c>
      <c r="K376">
        <v>48000</v>
      </c>
    </row>
    <row r="377" spans="1:11" x14ac:dyDescent="0.25">
      <c r="A377" s="10">
        <v>45712</v>
      </c>
      <c r="B377" t="s">
        <v>25</v>
      </c>
      <c r="C377" t="s">
        <v>19</v>
      </c>
      <c r="D377" t="s">
        <v>23</v>
      </c>
      <c r="E377" t="s">
        <v>20</v>
      </c>
      <c r="F377" t="s">
        <v>30</v>
      </c>
      <c r="G377" t="s">
        <v>31</v>
      </c>
      <c r="H377">
        <v>300000</v>
      </c>
      <c r="I377">
        <v>1</v>
      </c>
      <c r="J377" t="s">
        <v>37</v>
      </c>
      <c r="K377">
        <v>240000</v>
      </c>
    </row>
    <row r="378" spans="1:11" x14ac:dyDescent="0.25">
      <c r="A378" s="10">
        <v>45727</v>
      </c>
      <c r="B378" t="s">
        <v>11</v>
      </c>
      <c r="C378" t="s">
        <v>19</v>
      </c>
      <c r="D378" t="s">
        <v>23</v>
      </c>
      <c r="E378" t="s">
        <v>14</v>
      </c>
      <c r="F378" t="s">
        <v>33</v>
      </c>
      <c r="G378" t="s">
        <v>22</v>
      </c>
      <c r="H378">
        <v>180000</v>
      </c>
      <c r="I378">
        <v>1</v>
      </c>
      <c r="J378" t="s">
        <v>24</v>
      </c>
      <c r="K378">
        <v>144000</v>
      </c>
    </row>
    <row r="379" spans="1:11" x14ac:dyDescent="0.25">
      <c r="A379" s="10">
        <v>45679</v>
      </c>
      <c r="B379" t="s">
        <v>18</v>
      </c>
      <c r="C379" t="s">
        <v>19</v>
      </c>
      <c r="D379" t="s">
        <v>13</v>
      </c>
      <c r="E379" t="s">
        <v>20</v>
      </c>
      <c r="F379" t="s">
        <v>41</v>
      </c>
      <c r="G379" t="s">
        <v>22</v>
      </c>
      <c r="H379">
        <v>220000</v>
      </c>
      <c r="I379">
        <v>8</v>
      </c>
      <c r="J379" t="s">
        <v>37</v>
      </c>
      <c r="K379">
        <v>176000</v>
      </c>
    </row>
    <row r="380" spans="1:11" x14ac:dyDescent="0.25">
      <c r="A380" s="10">
        <v>45689</v>
      </c>
      <c r="B380" t="s">
        <v>29</v>
      </c>
      <c r="C380" t="s">
        <v>19</v>
      </c>
      <c r="D380" t="s">
        <v>23</v>
      </c>
      <c r="E380" t="s">
        <v>20</v>
      </c>
      <c r="F380" t="s">
        <v>15</v>
      </c>
      <c r="G380" t="s">
        <v>16</v>
      </c>
      <c r="H380">
        <v>85000</v>
      </c>
      <c r="I380">
        <v>7</v>
      </c>
      <c r="J380" t="s">
        <v>28</v>
      </c>
      <c r="K380">
        <v>68000</v>
      </c>
    </row>
    <row r="381" spans="1:11" x14ac:dyDescent="0.25">
      <c r="A381" s="10">
        <v>45697</v>
      </c>
      <c r="B381" t="s">
        <v>11</v>
      </c>
      <c r="C381" t="s">
        <v>12</v>
      </c>
      <c r="D381" t="s">
        <v>13</v>
      </c>
      <c r="E381" t="s">
        <v>20</v>
      </c>
      <c r="F381" t="s">
        <v>33</v>
      </c>
      <c r="G381" t="s">
        <v>22</v>
      </c>
      <c r="H381">
        <v>180000</v>
      </c>
      <c r="I381">
        <v>9</v>
      </c>
      <c r="J381" t="s">
        <v>39</v>
      </c>
      <c r="K381">
        <v>144000</v>
      </c>
    </row>
    <row r="382" spans="1:11" x14ac:dyDescent="0.25">
      <c r="A382" s="10">
        <v>45691</v>
      </c>
      <c r="B382" t="s">
        <v>29</v>
      </c>
      <c r="C382" t="s">
        <v>12</v>
      </c>
      <c r="D382" t="s">
        <v>23</v>
      </c>
      <c r="E382" t="s">
        <v>14</v>
      </c>
      <c r="F382" t="s">
        <v>34</v>
      </c>
      <c r="G382" t="s">
        <v>16</v>
      </c>
      <c r="H382">
        <v>320000</v>
      </c>
      <c r="I382">
        <v>3</v>
      </c>
      <c r="J382" t="s">
        <v>35</v>
      </c>
      <c r="K382">
        <v>256000</v>
      </c>
    </row>
    <row r="383" spans="1:11" x14ac:dyDescent="0.25">
      <c r="A383" s="10">
        <v>45748</v>
      </c>
      <c r="B383" t="s">
        <v>29</v>
      </c>
      <c r="C383" t="s">
        <v>12</v>
      </c>
      <c r="D383" t="s">
        <v>23</v>
      </c>
      <c r="E383" t="s">
        <v>14</v>
      </c>
      <c r="F383" t="s">
        <v>36</v>
      </c>
      <c r="G383" t="s">
        <v>31</v>
      </c>
      <c r="H383">
        <v>150000</v>
      </c>
      <c r="I383">
        <v>4</v>
      </c>
      <c r="J383" t="s">
        <v>17</v>
      </c>
      <c r="K383">
        <v>120000</v>
      </c>
    </row>
    <row r="384" spans="1:11" x14ac:dyDescent="0.25">
      <c r="A384" s="10">
        <v>45749</v>
      </c>
      <c r="B384" t="s">
        <v>18</v>
      </c>
      <c r="C384" t="s">
        <v>19</v>
      </c>
      <c r="D384" t="s">
        <v>13</v>
      </c>
      <c r="E384" t="s">
        <v>14</v>
      </c>
      <c r="F384" t="s">
        <v>41</v>
      </c>
      <c r="G384" t="s">
        <v>22</v>
      </c>
      <c r="H384">
        <v>220000</v>
      </c>
      <c r="I384">
        <v>10</v>
      </c>
      <c r="J384" t="s">
        <v>39</v>
      </c>
      <c r="K384">
        <v>176000</v>
      </c>
    </row>
    <row r="385" spans="1:11" x14ac:dyDescent="0.25">
      <c r="A385" s="10">
        <v>45703</v>
      </c>
      <c r="B385" t="s">
        <v>25</v>
      </c>
      <c r="C385" t="s">
        <v>12</v>
      </c>
      <c r="D385" t="s">
        <v>23</v>
      </c>
      <c r="E385" t="s">
        <v>14</v>
      </c>
      <c r="F385" t="s">
        <v>36</v>
      </c>
      <c r="G385" t="s">
        <v>31</v>
      </c>
      <c r="H385">
        <v>150000</v>
      </c>
      <c r="I385">
        <v>6</v>
      </c>
      <c r="J385" t="s">
        <v>17</v>
      </c>
      <c r="K385">
        <v>120000</v>
      </c>
    </row>
    <row r="386" spans="1:11" x14ac:dyDescent="0.25">
      <c r="A386" s="10">
        <v>45672</v>
      </c>
      <c r="B386" t="s">
        <v>11</v>
      </c>
      <c r="C386" t="s">
        <v>19</v>
      </c>
      <c r="D386" t="s">
        <v>23</v>
      </c>
      <c r="E386" t="s">
        <v>20</v>
      </c>
      <c r="F386" t="s">
        <v>33</v>
      </c>
      <c r="G386" t="s">
        <v>22</v>
      </c>
      <c r="H386">
        <v>180000</v>
      </c>
      <c r="I386">
        <v>1</v>
      </c>
      <c r="J386" t="s">
        <v>28</v>
      </c>
      <c r="K386">
        <v>144000</v>
      </c>
    </row>
    <row r="387" spans="1:11" x14ac:dyDescent="0.25">
      <c r="A387" s="10">
        <v>45768</v>
      </c>
      <c r="B387" t="s">
        <v>18</v>
      </c>
      <c r="C387" t="s">
        <v>26</v>
      </c>
      <c r="D387" t="s">
        <v>13</v>
      </c>
      <c r="E387" t="s">
        <v>14</v>
      </c>
      <c r="F387" t="s">
        <v>21</v>
      </c>
      <c r="G387" t="s">
        <v>22</v>
      </c>
      <c r="H387">
        <v>30000</v>
      </c>
      <c r="I387">
        <v>2</v>
      </c>
      <c r="J387" t="s">
        <v>35</v>
      </c>
      <c r="K387">
        <v>24000</v>
      </c>
    </row>
    <row r="388" spans="1:11" x14ac:dyDescent="0.25">
      <c r="A388" s="10">
        <v>45717</v>
      </c>
      <c r="B388" t="s">
        <v>29</v>
      </c>
      <c r="C388" t="s">
        <v>32</v>
      </c>
      <c r="D388" t="s">
        <v>23</v>
      </c>
      <c r="E388" t="s">
        <v>14</v>
      </c>
      <c r="F388" t="s">
        <v>34</v>
      </c>
      <c r="G388" t="s">
        <v>16</v>
      </c>
      <c r="H388">
        <v>320000</v>
      </c>
      <c r="I388">
        <v>7</v>
      </c>
      <c r="J388" t="s">
        <v>17</v>
      </c>
      <c r="K388">
        <v>256000</v>
      </c>
    </row>
    <row r="389" spans="1:11" x14ac:dyDescent="0.25">
      <c r="A389" s="10">
        <v>45695</v>
      </c>
      <c r="B389" t="s">
        <v>29</v>
      </c>
      <c r="C389" t="s">
        <v>26</v>
      </c>
      <c r="D389" t="s">
        <v>13</v>
      </c>
      <c r="E389" t="s">
        <v>20</v>
      </c>
      <c r="F389" t="s">
        <v>15</v>
      </c>
      <c r="G389" t="s">
        <v>16</v>
      </c>
      <c r="H389">
        <v>85000</v>
      </c>
      <c r="I389">
        <v>10</v>
      </c>
      <c r="J389" t="s">
        <v>24</v>
      </c>
      <c r="K389">
        <v>68000</v>
      </c>
    </row>
    <row r="390" spans="1:11" x14ac:dyDescent="0.25">
      <c r="A390" s="10">
        <v>45752</v>
      </c>
      <c r="B390" t="s">
        <v>18</v>
      </c>
      <c r="C390" t="s">
        <v>12</v>
      </c>
      <c r="D390" t="s">
        <v>23</v>
      </c>
      <c r="E390" t="s">
        <v>14</v>
      </c>
      <c r="F390" t="s">
        <v>33</v>
      </c>
      <c r="G390" t="s">
        <v>22</v>
      </c>
      <c r="H390">
        <v>180000</v>
      </c>
      <c r="I390">
        <v>7</v>
      </c>
      <c r="J390" t="s">
        <v>28</v>
      </c>
      <c r="K390">
        <v>144000</v>
      </c>
    </row>
    <row r="391" spans="1:11" x14ac:dyDescent="0.25">
      <c r="A391" s="10">
        <v>45740</v>
      </c>
      <c r="B391" t="s">
        <v>25</v>
      </c>
      <c r="C391" t="s">
        <v>19</v>
      </c>
      <c r="D391" t="s">
        <v>13</v>
      </c>
      <c r="E391" t="s">
        <v>14</v>
      </c>
      <c r="F391" t="s">
        <v>38</v>
      </c>
      <c r="G391" t="s">
        <v>31</v>
      </c>
      <c r="H391">
        <v>420000</v>
      </c>
      <c r="I391">
        <v>5</v>
      </c>
      <c r="J391" t="s">
        <v>35</v>
      </c>
      <c r="K391">
        <v>336000</v>
      </c>
    </row>
    <row r="392" spans="1:11" x14ac:dyDescent="0.25">
      <c r="A392" s="10">
        <v>45751</v>
      </c>
      <c r="B392" t="s">
        <v>25</v>
      </c>
      <c r="C392" t="s">
        <v>32</v>
      </c>
      <c r="D392" t="s">
        <v>23</v>
      </c>
      <c r="E392" t="s">
        <v>20</v>
      </c>
      <c r="F392" t="s">
        <v>34</v>
      </c>
      <c r="G392" t="s">
        <v>16</v>
      </c>
      <c r="H392">
        <v>320000</v>
      </c>
      <c r="I392">
        <v>8</v>
      </c>
      <c r="J392" t="s">
        <v>24</v>
      </c>
      <c r="K392">
        <v>256000</v>
      </c>
    </row>
    <row r="393" spans="1:11" x14ac:dyDescent="0.25">
      <c r="A393" s="10">
        <v>45713</v>
      </c>
      <c r="B393" t="s">
        <v>18</v>
      </c>
      <c r="C393" t="s">
        <v>26</v>
      </c>
      <c r="D393" t="s">
        <v>23</v>
      </c>
      <c r="E393" t="s">
        <v>20</v>
      </c>
      <c r="F393" t="s">
        <v>33</v>
      </c>
      <c r="G393" t="s">
        <v>22</v>
      </c>
      <c r="H393">
        <v>180000</v>
      </c>
      <c r="I393">
        <v>5</v>
      </c>
      <c r="J393" t="s">
        <v>28</v>
      </c>
      <c r="K393">
        <v>144000</v>
      </c>
    </row>
    <row r="394" spans="1:11" x14ac:dyDescent="0.25">
      <c r="A394" s="10">
        <v>45739</v>
      </c>
      <c r="B394" t="s">
        <v>29</v>
      </c>
      <c r="C394" t="s">
        <v>12</v>
      </c>
      <c r="D394" t="s">
        <v>23</v>
      </c>
      <c r="E394" t="s">
        <v>20</v>
      </c>
      <c r="F394" t="s">
        <v>38</v>
      </c>
      <c r="G394" t="s">
        <v>31</v>
      </c>
      <c r="H394">
        <v>420000</v>
      </c>
      <c r="I394">
        <v>2</v>
      </c>
      <c r="J394" t="s">
        <v>17</v>
      </c>
      <c r="K394">
        <v>336000</v>
      </c>
    </row>
    <row r="395" spans="1:11" x14ac:dyDescent="0.25">
      <c r="A395" s="10">
        <v>45744</v>
      </c>
      <c r="B395" t="s">
        <v>29</v>
      </c>
      <c r="C395" t="s">
        <v>26</v>
      </c>
      <c r="D395" t="s">
        <v>13</v>
      </c>
      <c r="E395" t="s">
        <v>14</v>
      </c>
      <c r="F395" t="s">
        <v>30</v>
      </c>
      <c r="G395" t="s">
        <v>31</v>
      </c>
      <c r="H395">
        <v>300000</v>
      </c>
      <c r="I395">
        <v>8</v>
      </c>
      <c r="J395" t="s">
        <v>24</v>
      </c>
      <c r="K395">
        <v>240000</v>
      </c>
    </row>
    <row r="396" spans="1:11" x14ac:dyDescent="0.25">
      <c r="A396" s="10">
        <v>45659</v>
      </c>
      <c r="B396" t="s">
        <v>18</v>
      </c>
      <c r="C396" t="s">
        <v>26</v>
      </c>
      <c r="D396" t="s">
        <v>13</v>
      </c>
      <c r="E396" t="s">
        <v>14</v>
      </c>
      <c r="F396" t="s">
        <v>34</v>
      </c>
      <c r="G396" t="s">
        <v>16</v>
      </c>
      <c r="H396">
        <v>320000</v>
      </c>
      <c r="I396">
        <v>1</v>
      </c>
      <c r="J396" t="s">
        <v>24</v>
      </c>
      <c r="K396">
        <v>256000</v>
      </c>
    </row>
    <row r="397" spans="1:11" x14ac:dyDescent="0.25">
      <c r="A397" s="10">
        <v>45674</v>
      </c>
      <c r="B397" t="s">
        <v>18</v>
      </c>
      <c r="C397" t="s">
        <v>26</v>
      </c>
      <c r="D397" t="s">
        <v>13</v>
      </c>
      <c r="E397" t="s">
        <v>14</v>
      </c>
      <c r="F397" t="s">
        <v>38</v>
      </c>
      <c r="G397" t="s">
        <v>31</v>
      </c>
      <c r="H397">
        <v>420000</v>
      </c>
      <c r="I397">
        <v>9</v>
      </c>
      <c r="J397" t="s">
        <v>17</v>
      </c>
      <c r="K397">
        <v>336000</v>
      </c>
    </row>
    <row r="398" spans="1:11" x14ac:dyDescent="0.25">
      <c r="A398" s="10">
        <v>45705</v>
      </c>
      <c r="B398" t="s">
        <v>18</v>
      </c>
      <c r="C398" t="s">
        <v>32</v>
      </c>
      <c r="D398" t="s">
        <v>23</v>
      </c>
      <c r="E398" t="s">
        <v>20</v>
      </c>
      <c r="F398" t="s">
        <v>15</v>
      </c>
      <c r="G398" t="s">
        <v>16</v>
      </c>
      <c r="H398">
        <v>85000</v>
      </c>
      <c r="I398">
        <v>8</v>
      </c>
      <c r="J398" t="s">
        <v>39</v>
      </c>
      <c r="K398">
        <v>68000</v>
      </c>
    </row>
    <row r="399" spans="1:11" x14ac:dyDescent="0.25">
      <c r="A399" s="10">
        <v>45691</v>
      </c>
      <c r="B399" t="s">
        <v>29</v>
      </c>
      <c r="C399" t="s">
        <v>12</v>
      </c>
      <c r="D399" t="s">
        <v>23</v>
      </c>
      <c r="E399" t="s">
        <v>20</v>
      </c>
      <c r="F399" t="s">
        <v>38</v>
      </c>
      <c r="G399" t="s">
        <v>31</v>
      </c>
      <c r="H399">
        <v>420000</v>
      </c>
      <c r="I399">
        <v>10</v>
      </c>
      <c r="J399" t="s">
        <v>35</v>
      </c>
      <c r="K399">
        <v>336000</v>
      </c>
    </row>
    <row r="400" spans="1:11" x14ac:dyDescent="0.25">
      <c r="A400" s="10">
        <v>45699</v>
      </c>
      <c r="B400" t="s">
        <v>18</v>
      </c>
      <c r="C400" t="s">
        <v>12</v>
      </c>
      <c r="D400" t="s">
        <v>13</v>
      </c>
      <c r="E400" t="s">
        <v>20</v>
      </c>
      <c r="F400" t="s">
        <v>40</v>
      </c>
      <c r="G400" t="s">
        <v>31</v>
      </c>
      <c r="H400">
        <v>250000</v>
      </c>
      <c r="I400">
        <v>1</v>
      </c>
      <c r="J400" t="s">
        <v>35</v>
      </c>
      <c r="K400">
        <v>200000</v>
      </c>
    </row>
    <row r="401" spans="1:11" x14ac:dyDescent="0.25">
      <c r="A401" s="10">
        <v>45710</v>
      </c>
      <c r="B401" t="s">
        <v>18</v>
      </c>
      <c r="C401" t="s">
        <v>32</v>
      </c>
      <c r="D401" t="s">
        <v>23</v>
      </c>
      <c r="E401" t="s">
        <v>14</v>
      </c>
      <c r="F401" t="s">
        <v>41</v>
      </c>
      <c r="G401" t="s">
        <v>22</v>
      </c>
      <c r="H401">
        <v>220000</v>
      </c>
      <c r="I401">
        <v>5</v>
      </c>
      <c r="J401" t="s">
        <v>39</v>
      </c>
      <c r="K401">
        <v>176000</v>
      </c>
    </row>
    <row r="402" spans="1:11" x14ac:dyDescent="0.25">
      <c r="A402" s="10">
        <v>45735</v>
      </c>
      <c r="B402" t="s">
        <v>29</v>
      </c>
      <c r="C402" t="s">
        <v>19</v>
      </c>
      <c r="D402" t="s">
        <v>13</v>
      </c>
      <c r="E402" t="s">
        <v>14</v>
      </c>
      <c r="F402" t="s">
        <v>30</v>
      </c>
      <c r="G402" t="s">
        <v>31</v>
      </c>
      <c r="H402">
        <v>300000</v>
      </c>
      <c r="I402">
        <v>1</v>
      </c>
      <c r="J402" t="s">
        <v>17</v>
      </c>
      <c r="K402">
        <v>240000</v>
      </c>
    </row>
    <row r="403" spans="1:11" x14ac:dyDescent="0.25">
      <c r="A403" s="10">
        <v>45714</v>
      </c>
      <c r="B403" t="s">
        <v>29</v>
      </c>
      <c r="C403" t="s">
        <v>26</v>
      </c>
      <c r="D403" t="s">
        <v>23</v>
      </c>
      <c r="E403" t="s">
        <v>20</v>
      </c>
      <c r="F403" t="s">
        <v>27</v>
      </c>
      <c r="G403" t="s">
        <v>22</v>
      </c>
      <c r="H403">
        <v>60000</v>
      </c>
      <c r="I403">
        <v>6</v>
      </c>
      <c r="J403" t="s">
        <v>37</v>
      </c>
      <c r="K403">
        <v>48000</v>
      </c>
    </row>
    <row r="404" spans="1:11" x14ac:dyDescent="0.25">
      <c r="A404" s="10">
        <v>45720</v>
      </c>
      <c r="B404" t="s">
        <v>25</v>
      </c>
      <c r="C404" t="s">
        <v>32</v>
      </c>
      <c r="D404" t="s">
        <v>13</v>
      </c>
      <c r="E404" t="s">
        <v>14</v>
      </c>
      <c r="F404" t="s">
        <v>27</v>
      </c>
      <c r="G404" t="s">
        <v>22</v>
      </c>
      <c r="H404">
        <v>60000</v>
      </c>
      <c r="I404">
        <v>8</v>
      </c>
      <c r="J404" t="s">
        <v>24</v>
      </c>
      <c r="K404">
        <v>48000</v>
      </c>
    </row>
    <row r="405" spans="1:11" x14ac:dyDescent="0.25">
      <c r="A405" s="10">
        <v>45750</v>
      </c>
      <c r="B405" t="s">
        <v>25</v>
      </c>
      <c r="C405" t="s">
        <v>26</v>
      </c>
      <c r="D405" t="s">
        <v>13</v>
      </c>
      <c r="E405" t="s">
        <v>20</v>
      </c>
      <c r="F405" t="s">
        <v>41</v>
      </c>
      <c r="G405" t="s">
        <v>22</v>
      </c>
      <c r="H405">
        <v>220000</v>
      </c>
      <c r="I405">
        <v>3</v>
      </c>
      <c r="J405" t="s">
        <v>37</v>
      </c>
      <c r="K405">
        <v>176000</v>
      </c>
    </row>
    <row r="406" spans="1:11" x14ac:dyDescent="0.25">
      <c r="A406" s="10">
        <v>45739</v>
      </c>
      <c r="B406" t="s">
        <v>29</v>
      </c>
      <c r="C406" t="s">
        <v>32</v>
      </c>
      <c r="D406" t="s">
        <v>13</v>
      </c>
      <c r="E406" t="s">
        <v>14</v>
      </c>
      <c r="F406" t="s">
        <v>27</v>
      </c>
      <c r="G406" t="s">
        <v>22</v>
      </c>
      <c r="H406">
        <v>60000</v>
      </c>
      <c r="I406">
        <v>1</v>
      </c>
      <c r="J406" t="s">
        <v>35</v>
      </c>
      <c r="K406">
        <v>48000</v>
      </c>
    </row>
    <row r="407" spans="1:11" x14ac:dyDescent="0.25">
      <c r="A407" s="10">
        <v>45732</v>
      </c>
      <c r="B407" t="s">
        <v>18</v>
      </c>
      <c r="C407" t="s">
        <v>19</v>
      </c>
      <c r="D407" t="s">
        <v>23</v>
      </c>
      <c r="E407" t="s">
        <v>14</v>
      </c>
      <c r="F407" t="s">
        <v>36</v>
      </c>
      <c r="G407" t="s">
        <v>31</v>
      </c>
      <c r="H407">
        <v>150000</v>
      </c>
      <c r="I407">
        <v>1</v>
      </c>
      <c r="J407" t="s">
        <v>28</v>
      </c>
      <c r="K407">
        <v>120000</v>
      </c>
    </row>
    <row r="408" spans="1:11" x14ac:dyDescent="0.25">
      <c r="A408" s="10">
        <v>45732</v>
      </c>
      <c r="B408" t="s">
        <v>11</v>
      </c>
      <c r="C408" t="s">
        <v>26</v>
      </c>
      <c r="D408" t="s">
        <v>23</v>
      </c>
      <c r="E408" t="s">
        <v>14</v>
      </c>
      <c r="F408" t="s">
        <v>34</v>
      </c>
      <c r="G408" t="s">
        <v>16</v>
      </c>
      <c r="H408">
        <v>320000</v>
      </c>
      <c r="I408">
        <v>7</v>
      </c>
      <c r="J408" t="s">
        <v>39</v>
      </c>
      <c r="K408">
        <v>256000</v>
      </c>
    </row>
    <row r="409" spans="1:11" x14ac:dyDescent="0.25">
      <c r="A409" s="10">
        <v>45709</v>
      </c>
      <c r="B409" t="s">
        <v>25</v>
      </c>
      <c r="C409" t="s">
        <v>26</v>
      </c>
      <c r="D409" t="s">
        <v>13</v>
      </c>
      <c r="E409" t="s">
        <v>20</v>
      </c>
      <c r="F409" t="s">
        <v>15</v>
      </c>
      <c r="G409" t="s">
        <v>16</v>
      </c>
      <c r="H409">
        <v>85000</v>
      </c>
      <c r="I409">
        <v>10</v>
      </c>
      <c r="J409" t="s">
        <v>28</v>
      </c>
      <c r="K409">
        <v>68000</v>
      </c>
    </row>
    <row r="410" spans="1:11" x14ac:dyDescent="0.25">
      <c r="A410" s="10">
        <v>45767</v>
      </c>
      <c r="B410" t="s">
        <v>11</v>
      </c>
      <c r="C410" t="s">
        <v>12</v>
      </c>
      <c r="D410" t="s">
        <v>23</v>
      </c>
      <c r="E410" t="s">
        <v>14</v>
      </c>
      <c r="F410" t="s">
        <v>36</v>
      </c>
      <c r="G410" t="s">
        <v>31</v>
      </c>
      <c r="H410">
        <v>150000</v>
      </c>
      <c r="I410">
        <v>10</v>
      </c>
      <c r="J410" t="s">
        <v>17</v>
      </c>
      <c r="K410">
        <v>120000</v>
      </c>
    </row>
    <row r="411" spans="1:11" x14ac:dyDescent="0.25">
      <c r="A411" s="10">
        <v>45681</v>
      </c>
      <c r="B411" t="s">
        <v>25</v>
      </c>
      <c r="C411" t="s">
        <v>19</v>
      </c>
      <c r="D411" t="s">
        <v>23</v>
      </c>
      <c r="E411" t="s">
        <v>14</v>
      </c>
      <c r="F411" t="s">
        <v>27</v>
      </c>
      <c r="G411" t="s">
        <v>22</v>
      </c>
      <c r="H411">
        <v>60000</v>
      </c>
      <c r="I411">
        <v>2</v>
      </c>
      <c r="J411" t="s">
        <v>28</v>
      </c>
      <c r="K411">
        <v>48000</v>
      </c>
    </row>
    <row r="412" spans="1:11" x14ac:dyDescent="0.25">
      <c r="A412" s="10">
        <v>45724</v>
      </c>
      <c r="B412" t="s">
        <v>29</v>
      </c>
      <c r="C412" t="s">
        <v>32</v>
      </c>
      <c r="D412" t="s">
        <v>23</v>
      </c>
      <c r="E412" t="s">
        <v>14</v>
      </c>
      <c r="F412" t="s">
        <v>30</v>
      </c>
      <c r="G412" t="s">
        <v>31</v>
      </c>
      <c r="H412">
        <v>300000</v>
      </c>
      <c r="I412">
        <v>6</v>
      </c>
      <c r="J412" t="s">
        <v>17</v>
      </c>
      <c r="K412">
        <v>240000</v>
      </c>
    </row>
    <row r="413" spans="1:11" x14ac:dyDescent="0.25">
      <c r="A413" s="10">
        <v>45720</v>
      </c>
      <c r="B413" t="s">
        <v>18</v>
      </c>
      <c r="C413" t="s">
        <v>26</v>
      </c>
      <c r="D413" t="s">
        <v>13</v>
      </c>
      <c r="E413" t="s">
        <v>14</v>
      </c>
      <c r="F413" t="s">
        <v>36</v>
      </c>
      <c r="G413" t="s">
        <v>31</v>
      </c>
      <c r="H413">
        <v>150000</v>
      </c>
      <c r="I413">
        <v>3</v>
      </c>
      <c r="J413" t="s">
        <v>37</v>
      </c>
      <c r="K413">
        <v>120000</v>
      </c>
    </row>
    <row r="414" spans="1:11" x14ac:dyDescent="0.25">
      <c r="A414" s="10">
        <v>45746</v>
      </c>
      <c r="B414" t="s">
        <v>11</v>
      </c>
      <c r="C414" t="s">
        <v>12</v>
      </c>
      <c r="D414" t="s">
        <v>23</v>
      </c>
      <c r="E414" t="s">
        <v>14</v>
      </c>
      <c r="F414" t="s">
        <v>21</v>
      </c>
      <c r="G414" t="s">
        <v>22</v>
      </c>
      <c r="H414">
        <v>30000</v>
      </c>
      <c r="I414">
        <v>2</v>
      </c>
      <c r="J414" t="s">
        <v>24</v>
      </c>
      <c r="K414">
        <v>24000</v>
      </c>
    </row>
    <row r="415" spans="1:11" x14ac:dyDescent="0.25">
      <c r="A415" s="10">
        <v>45668</v>
      </c>
      <c r="B415" t="s">
        <v>18</v>
      </c>
      <c r="C415" t="s">
        <v>19</v>
      </c>
      <c r="D415" t="s">
        <v>13</v>
      </c>
      <c r="E415" t="s">
        <v>14</v>
      </c>
      <c r="F415" t="s">
        <v>33</v>
      </c>
      <c r="G415" t="s">
        <v>22</v>
      </c>
      <c r="H415">
        <v>180000</v>
      </c>
      <c r="I415">
        <v>2</v>
      </c>
      <c r="J415" t="s">
        <v>37</v>
      </c>
      <c r="K415">
        <v>144000</v>
      </c>
    </row>
    <row r="416" spans="1:11" x14ac:dyDescent="0.25">
      <c r="A416" s="10">
        <v>45680</v>
      </c>
      <c r="B416" t="s">
        <v>11</v>
      </c>
      <c r="C416" t="s">
        <v>26</v>
      </c>
      <c r="D416" t="s">
        <v>23</v>
      </c>
      <c r="E416" t="s">
        <v>14</v>
      </c>
      <c r="F416" t="s">
        <v>34</v>
      </c>
      <c r="G416" t="s">
        <v>16</v>
      </c>
      <c r="H416">
        <v>320000</v>
      </c>
      <c r="I416">
        <v>3</v>
      </c>
      <c r="J416" t="s">
        <v>28</v>
      </c>
      <c r="K416">
        <v>256000</v>
      </c>
    </row>
    <row r="417" spans="1:11" x14ac:dyDescent="0.25">
      <c r="A417" s="10">
        <v>45662</v>
      </c>
      <c r="B417" t="s">
        <v>25</v>
      </c>
      <c r="C417" t="s">
        <v>26</v>
      </c>
      <c r="D417" t="s">
        <v>23</v>
      </c>
      <c r="E417" t="s">
        <v>20</v>
      </c>
      <c r="F417" t="s">
        <v>21</v>
      </c>
      <c r="G417" t="s">
        <v>22</v>
      </c>
      <c r="H417">
        <v>30000</v>
      </c>
      <c r="I417">
        <v>3</v>
      </c>
      <c r="J417" t="s">
        <v>37</v>
      </c>
      <c r="K417">
        <v>24000</v>
      </c>
    </row>
    <row r="418" spans="1:11" x14ac:dyDescent="0.25">
      <c r="A418" s="10">
        <v>45764</v>
      </c>
      <c r="B418" t="s">
        <v>11</v>
      </c>
      <c r="C418" t="s">
        <v>32</v>
      </c>
      <c r="D418" t="s">
        <v>13</v>
      </c>
      <c r="E418" t="s">
        <v>20</v>
      </c>
      <c r="F418" t="s">
        <v>15</v>
      </c>
      <c r="G418" t="s">
        <v>16</v>
      </c>
      <c r="H418">
        <v>85000</v>
      </c>
      <c r="I418">
        <v>3</v>
      </c>
      <c r="J418" t="s">
        <v>35</v>
      </c>
      <c r="K418">
        <v>68000</v>
      </c>
    </row>
    <row r="419" spans="1:11" x14ac:dyDescent="0.25">
      <c r="A419" s="10">
        <v>45714</v>
      </c>
      <c r="B419" t="s">
        <v>29</v>
      </c>
      <c r="C419" t="s">
        <v>26</v>
      </c>
      <c r="D419" t="s">
        <v>13</v>
      </c>
      <c r="E419" t="s">
        <v>20</v>
      </c>
      <c r="F419" t="s">
        <v>15</v>
      </c>
      <c r="G419" t="s">
        <v>16</v>
      </c>
      <c r="H419">
        <v>85000</v>
      </c>
      <c r="I419">
        <v>10</v>
      </c>
      <c r="J419" t="s">
        <v>37</v>
      </c>
      <c r="K419">
        <v>68000</v>
      </c>
    </row>
    <row r="420" spans="1:11" x14ac:dyDescent="0.25">
      <c r="A420" s="10">
        <v>45722</v>
      </c>
      <c r="B420" t="s">
        <v>18</v>
      </c>
      <c r="C420" t="s">
        <v>12</v>
      </c>
      <c r="D420" t="s">
        <v>23</v>
      </c>
      <c r="E420" t="s">
        <v>20</v>
      </c>
      <c r="F420" t="s">
        <v>33</v>
      </c>
      <c r="G420" t="s">
        <v>22</v>
      </c>
      <c r="H420">
        <v>180000</v>
      </c>
      <c r="I420">
        <v>10</v>
      </c>
      <c r="J420" t="s">
        <v>17</v>
      </c>
      <c r="K420">
        <v>144000</v>
      </c>
    </row>
    <row r="421" spans="1:11" x14ac:dyDescent="0.25">
      <c r="A421" s="10">
        <v>45673</v>
      </c>
      <c r="B421" t="s">
        <v>11</v>
      </c>
      <c r="C421" t="s">
        <v>19</v>
      </c>
      <c r="D421" t="s">
        <v>13</v>
      </c>
      <c r="E421" t="s">
        <v>20</v>
      </c>
      <c r="F421" t="s">
        <v>41</v>
      </c>
      <c r="G421" t="s">
        <v>22</v>
      </c>
      <c r="H421">
        <v>220000</v>
      </c>
      <c r="I421">
        <v>9</v>
      </c>
      <c r="J421" t="s">
        <v>28</v>
      </c>
      <c r="K421">
        <v>176000</v>
      </c>
    </row>
    <row r="422" spans="1:11" x14ac:dyDescent="0.25">
      <c r="A422" s="10">
        <v>45719</v>
      </c>
      <c r="B422" t="s">
        <v>11</v>
      </c>
      <c r="C422" t="s">
        <v>32</v>
      </c>
      <c r="D422" t="s">
        <v>23</v>
      </c>
      <c r="E422" t="s">
        <v>20</v>
      </c>
      <c r="F422" t="s">
        <v>38</v>
      </c>
      <c r="G422" t="s">
        <v>31</v>
      </c>
      <c r="H422">
        <v>420000</v>
      </c>
      <c r="I422">
        <v>9</v>
      </c>
      <c r="J422" t="s">
        <v>28</v>
      </c>
      <c r="K422">
        <v>336000</v>
      </c>
    </row>
    <row r="423" spans="1:11" x14ac:dyDescent="0.25">
      <c r="A423" s="10">
        <v>45712</v>
      </c>
      <c r="B423" t="s">
        <v>18</v>
      </c>
      <c r="C423" t="s">
        <v>12</v>
      </c>
      <c r="D423" t="s">
        <v>23</v>
      </c>
      <c r="E423" t="s">
        <v>14</v>
      </c>
      <c r="F423" t="s">
        <v>33</v>
      </c>
      <c r="G423" t="s">
        <v>22</v>
      </c>
      <c r="H423">
        <v>180000</v>
      </c>
      <c r="I423">
        <v>2</v>
      </c>
      <c r="J423" t="s">
        <v>37</v>
      </c>
      <c r="K423">
        <v>144000</v>
      </c>
    </row>
    <row r="424" spans="1:11" x14ac:dyDescent="0.25">
      <c r="A424" s="10">
        <v>45732</v>
      </c>
      <c r="B424" t="s">
        <v>11</v>
      </c>
      <c r="C424" t="s">
        <v>19</v>
      </c>
      <c r="D424" t="s">
        <v>23</v>
      </c>
      <c r="E424" t="s">
        <v>14</v>
      </c>
      <c r="F424" t="s">
        <v>30</v>
      </c>
      <c r="G424" t="s">
        <v>31</v>
      </c>
      <c r="H424">
        <v>300000</v>
      </c>
      <c r="I424">
        <v>3</v>
      </c>
      <c r="J424" t="s">
        <v>24</v>
      </c>
      <c r="K424">
        <v>240000</v>
      </c>
    </row>
    <row r="425" spans="1:11" x14ac:dyDescent="0.25">
      <c r="A425" s="10">
        <v>45713</v>
      </c>
      <c r="B425" t="s">
        <v>29</v>
      </c>
      <c r="C425" t="s">
        <v>26</v>
      </c>
      <c r="D425" t="s">
        <v>23</v>
      </c>
      <c r="E425" t="s">
        <v>14</v>
      </c>
      <c r="F425" t="s">
        <v>33</v>
      </c>
      <c r="G425" t="s">
        <v>22</v>
      </c>
      <c r="H425">
        <v>180000</v>
      </c>
      <c r="I425">
        <v>1</v>
      </c>
      <c r="J425" t="s">
        <v>39</v>
      </c>
      <c r="K425">
        <v>144000</v>
      </c>
    </row>
    <row r="426" spans="1:11" x14ac:dyDescent="0.25">
      <c r="A426" s="10">
        <v>45758</v>
      </c>
      <c r="B426" t="s">
        <v>29</v>
      </c>
      <c r="C426" t="s">
        <v>19</v>
      </c>
      <c r="D426" t="s">
        <v>13</v>
      </c>
      <c r="E426" t="s">
        <v>20</v>
      </c>
      <c r="F426" t="s">
        <v>34</v>
      </c>
      <c r="G426" t="s">
        <v>16</v>
      </c>
      <c r="H426">
        <v>320000</v>
      </c>
      <c r="I426">
        <v>9</v>
      </c>
      <c r="J426" t="s">
        <v>35</v>
      </c>
      <c r="K426">
        <v>256000</v>
      </c>
    </row>
    <row r="427" spans="1:11" x14ac:dyDescent="0.25">
      <c r="A427" s="10">
        <v>45734</v>
      </c>
      <c r="B427" t="s">
        <v>29</v>
      </c>
      <c r="C427" t="s">
        <v>12</v>
      </c>
      <c r="D427" t="s">
        <v>13</v>
      </c>
      <c r="E427" t="s">
        <v>14</v>
      </c>
      <c r="F427" t="s">
        <v>34</v>
      </c>
      <c r="G427" t="s">
        <v>16</v>
      </c>
      <c r="H427">
        <v>320000</v>
      </c>
      <c r="I427">
        <v>5</v>
      </c>
      <c r="J427" t="s">
        <v>24</v>
      </c>
      <c r="K427">
        <v>256000</v>
      </c>
    </row>
    <row r="428" spans="1:11" x14ac:dyDescent="0.25">
      <c r="A428" s="10">
        <v>45708</v>
      </c>
      <c r="B428" t="s">
        <v>29</v>
      </c>
      <c r="C428" t="s">
        <v>32</v>
      </c>
      <c r="D428" t="s">
        <v>13</v>
      </c>
      <c r="E428" t="s">
        <v>14</v>
      </c>
      <c r="F428" t="s">
        <v>27</v>
      </c>
      <c r="G428" t="s">
        <v>22</v>
      </c>
      <c r="H428">
        <v>60000</v>
      </c>
      <c r="I428">
        <v>8</v>
      </c>
      <c r="J428" t="s">
        <v>39</v>
      </c>
      <c r="K428">
        <v>48000</v>
      </c>
    </row>
    <row r="429" spans="1:11" x14ac:dyDescent="0.25">
      <c r="A429" s="10">
        <v>45721</v>
      </c>
      <c r="B429" t="s">
        <v>25</v>
      </c>
      <c r="C429" t="s">
        <v>12</v>
      </c>
      <c r="D429" t="s">
        <v>23</v>
      </c>
      <c r="E429" t="s">
        <v>14</v>
      </c>
      <c r="F429" t="s">
        <v>15</v>
      </c>
      <c r="G429" t="s">
        <v>16</v>
      </c>
      <c r="H429">
        <v>85000</v>
      </c>
      <c r="I429">
        <v>8</v>
      </c>
      <c r="J429" t="s">
        <v>24</v>
      </c>
      <c r="K429">
        <v>68000</v>
      </c>
    </row>
    <row r="430" spans="1:11" x14ac:dyDescent="0.25">
      <c r="A430" s="10">
        <v>45747</v>
      </c>
      <c r="B430" t="s">
        <v>18</v>
      </c>
      <c r="C430" t="s">
        <v>12</v>
      </c>
      <c r="D430" t="s">
        <v>13</v>
      </c>
      <c r="E430" t="s">
        <v>20</v>
      </c>
      <c r="F430" t="s">
        <v>34</v>
      </c>
      <c r="G430" t="s">
        <v>16</v>
      </c>
      <c r="H430">
        <v>320000</v>
      </c>
      <c r="I430">
        <v>5</v>
      </c>
      <c r="J430" t="s">
        <v>24</v>
      </c>
      <c r="K430">
        <v>256000</v>
      </c>
    </row>
    <row r="431" spans="1:11" x14ac:dyDescent="0.25">
      <c r="A431" s="10">
        <v>45706</v>
      </c>
      <c r="B431" t="s">
        <v>29</v>
      </c>
      <c r="C431" t="s">
        <v>26</v>
      </c>
      <c r="D431" t="s">
        <v>23</v>
      </c>
      <c r="E431" t="s">
        <v>14</v>
      </c>
      <c r="F431" t="s">
        <v>36</v>
      </c>
      <c r="G431" t="s">
        <v>31</v>
      </c>
      <c r="H431">
        <v>150000</v>
      </c>
      <c r="I431">
        <v>3</v>
      </c>
      <c r="J431" t="s">
        <v>37</v>
      </c>
      <c r="K431">
        <v>120000</v>
      </c>
    </row>
    <row r="432" spans="1:11" x14ac:dyDescent="0.25">
      <c r="A432" s="10">
        <v>45666</v>
      </c>
      <c r="B432" t="s">
        <v>29</v>
      </c>
      <c r="C432" t="s">
        <v>26</v>
      </c>
      <c r="D432" t="s">
        <v>13</v>
      </c>
      <c r="E432" t="s">
        <v>20</v>
      </c>
      <c r="F432" t="s">
        <v>36</v>
      </c>
      <c r="G432" t="s">
        <v>31</v>
      </c>
      <c r="H432">
        <v>150000</v>
      </c>
      <c r="I432">
        <v>1</v>
      </c>
      <c r="J432" t="s">
        <v>17</v>
      </c>
      <c r="K432">
        <v>120000</v>
      </c>
    </row>
    <row r="433" spans="1:11" x14ac:dyDescent="0.25">
      <c r="A433" s="10">
        <v>45768</v>
      </c>
      <c r="B433" t="s">
        <v>25</v>
      </c>
      <c r="C433" t="s">
        <v>26</v>
      </c>
      <c r="D433" t="s">
        <v>23</v>
      </c>
      <c r="E433" t="s">
        <v>14</v>
      </c>
      <c r="F433" t="s">
        <v>27</v>
      </c>
      <c r="G433" t="s">
        <v>22</v>
      </c>
      <c r="H433">
        <v>60000</v>
      </c>
      <c r="I433">
        <v>7</v>
      </c>
      <c r="J433" t="s">
        <v>24</v>
      </c>
      <c r="K433">
        <v>48000</v>
      </c>
    </row>
    <row r="434" spans="1:11" x14ac:dyDescent="0.25">
      <c r="A434" s="10">
        <v>45725</v>
      </c>
      <c r="B434" t="s">
        <v>11</v>
      </c>
      <c r="C434" t="s">
        <v>12</v>
      </c>
      <c r="D434" t="s">
        <v>13</v>
      </c>
      <c r="E434" t="s">
        <v>14</v>
      </c>
      <c r="F434" t="s">
        <v>33</v>
      </c>
      <c r="G434" t="s">
        <v>22</v>
      </c>
      <c r="H434">
        <v>180000</v>
      </c>
      <c r="I434">
        <v>1</v>
      </c>
      <c r="J434" t="s">
        <v>24</v>
      </c>
      <c r="K434">
        <v>144000</v>
      </c>
    </row>
    <row r="435" spans="1:11" x14ac:dyDescent="0.25">
      <c r="A435" s="10">
        <v>45776</v>
      </c>
      <c r="B435" t="s">
        <v>25</v>
      </c>
      <c r="C435" t="s">
        <v>12</v>
      </c>
      <c r="D435" t="s">
        <v>23</v>
      </c>
      <c r="E435" t="s">
        <v>14</v>
      </c>
      <c r="F435" t="s">
        <v>33</v>
      </c>
      <c r="G435" t="s">
        <v>22</v>
      </c>
      <c r="H435">
        <v>180000</v>
      </c>
      <c r="I435">
        <v>1</v>
      </c>
      <c r="J435" t="s">
        <v>35</v>
      </c>
      <c r="K435">
        <v>144000</v>
      </c>
    </row>
    <row r="436" spans="1:11" x14ac:dyDescent="0.25">
      <c r="A436" s="10">
        <v>45696</v>
      </c>
      <c r="B436" t="s">
        <v>25</v>
      </c>
      <c r="C436" t="s">
        <v>12</v>
      </c>
      <c r="D436" t="s">
        <v>13</v>
      </c>
      <c r="E436" t="s">
        <v>20</v>
      </c>
      <c r="F436" t="s">
        <v>40</v>
      </c>
      <c r="G436" t="s">
        <v>31</v>
      </c>
      <c r="H436">
        <v>250000</v>
      </c>
      <c r="I436">
        <v>9</v>
      </c>
      <c r="J436" t="s">
        <v>17</v>
      </c>
      <c r="K436">
        <v>200000</v>
      </c>
    </row>
    <row r="437" spans="1:11" x14ac:dyDescent="0.25">
      <c r="A437" s="10">
        <v>45736</v>
      </c>
      <c r="B437" t="s">
        <v>11</v>
      </c>
      <c r="C437" t="s">
        <v>26</v>
      </c>
      <c r="D437" t="s">
        <v>23</v>
      </c>
      <c r="E437" t="s">
        <v>14</v>
      </c>
      <c r="F437" t="s">
        <v>34</v>
      </c>
      <c r="G437" t="s">
        <v>16</v>
      </c>
      <c r="H437">
        <v>320000</v>
      </c>
      <c r="I437">
        <v>1</v>
      </c>
      <c r="J437" t="s">
        <v>24</v>
      </c>
      <c r="K437">
        <v>256000</v>
      </c>
    </row>
    <row r="438" spans="1:11" x14ac:dyDescent="0.25">
      <c r="A438" s="10">
        <v>45695</v>
      </c>
      <c r="B438" t="s">
        <v>25</v>
      </c>
      <c r="C438" t="s">
        <v>19</v>
      </c>
      <c r="D438" t="s">
        <v>13</v>
      </c>
      <c r="E438" t="s">
        <v>20</v>
      </c>
      <c r="F438" t="s">
        <v>33</v>
      </c>
      <c r="G438" t="s">
        <v>22</v>
      </c>
      <c r="H438">
        <v>180000</v>
      </c>
      <c r="I438">
        <v>10</v>
      </c>
      <c r="J438" t="s">
        <v>17</v>
      </c>
      <c r="K438">
        <v>144000</v>
      </c>
    </row>
    <row r="439" spans="1:11" x14ac:dyDescent="0.25">
      <c r="A439" s="10">
        <v>45754</v>
      </c>
      <c r="B439" t="s">
        <v>18</v>
      </c>
      <c r="C439" t="s">
        <v>26</v>
      </c>
      <c r="D439" t="s">
        <v>13</v>
      </c>
      <c r="E439" t="s">
        <v>20</v>
      </c>
      <c r="F439" t="s">
        <v>30</v>
      </c>
      <c r="G439" t="s">
        <v>31</v>
      </c>
      <c r="H439">
        <v>300000</v>
      </c>
      <c r="I439">
        <v>10</v>
      </c>
      <c r="J439" t="s">
        <v>35</v>
      </c>
      <c r="K439">
        <v>240000</v>
      </c>
    </row>
    <row r="440" spans="1:11" x14ac:dyDescent="0.25">
      <c r="A440" s="10">
        <v>45762</v>
      </c>
      <c r="B440" t="s">
        <v>25</v>
      </c>
      <c r="C440" t="s">
        <v>12</v>
      </c>
      <c r="D440" t="s">
        <v>13</v>
      </c>
      <c r="E440" t="s">
        <v>14</v>
      </c>
      <c r="F440" t="s">
        <v>38</v>
      </c>
      <c r="G440" t="s">
        <v>31</v>
      </c>
      <c r="H440">
        <v>420000</v>
      </c>
      <c r="I440">
        <v>4</v>
      </c>
      <c r="J440" t="s">
        <v>37</v>
      </c>
      <c r="K440">
        <v>336000</v>
      </c>
    </row>
    <row r="441" spans="1:11" x14ac:dyDescent="0.25">
      <c r="A441" s="10">
        <v>45767</v>
      </c>
      <c r="B441" t="s">
        <v>11</v>
      </c>
      <c r="C441" t="s">
        <v>12</v>
      </c>
      <c r="D441" t="s">
        <v>23</v>
      </c>
      <c r="E441" t="s">
        <v>20</v>
      </c>
      <c r="F441" t="s">
        <v>21</v>
      </c>
      <c r="G441" t="s">
        <v>22</v>
      </c>
      <c r="H441">
        <v>30000</v>
      </c>
      <c r="I441">
        <v>4</v>
      </c>
      <c r="J441" t="s">
        <v>28</v>
      </c>
      <c r="K441">
        <v>24000</v>
      </c>
    </row>
    <row r="442" spans="1:11" x14ac:dyDescent="0.25">
      <c r="A442" s="10">
        <v>45741</v>
      </c>
      <c r="B442" t="s">
        <v>29</v>
      </c>
      <c r="C442" t="s">
        <v>26</v>
      </c>
      <c r="D442" t="s">
        <v>13</v>
      </c>
      <c r="E442" t="s">
        <v>14</v>
      </c>
      <c r="F442" t="s">
        <v>21</v>
      </c>
      <c r="G442" t="s">
        <v>22</v>
      </c>
      <c r="H442">
        <v>30000</v>
      </c>
      <c r="I442">
        <v>10</v>
      </c>
      <c r="J442" t="s">
        <v>35</v>
      </c>
      <c r="K442">
        <v>24000</v>
      </c>
    </row>
    <row r="443" spans="1:11" x14ac:dyDescent="0.25">
      <c r="A443" s="10">
        <v>45755</v>
      </c>
      <c r="B443" t="s">
        <v>25</v>
      </c>
      <c r="C443" t="s">
        <v>12</v>
      </c>
      <c r="D443" t="s">
        <v>23</v>
      </c>
      <c r="E443" t="s">
        <v>20</v>
      </c>
      <c r="F443" t="s">
        <v>27</v>
      </c>
      <c r="G443" t="s">
        <v>22</v>
      </c>
      <c r="H443">
        <v>60000</v>
      </c>
      <c r="I443">
        <v>7</v>
      </c>
      <c r="J443" t="s">
        <v>17</v>
      </c>
      <c r="K443">
        <v>48000</v>
      </c>
    </row>
    <row r="444" spans="1:11" x14ac:dyDescent="0.25">
      <c r="A444" s="10">
        <v>45735</v>
      </c>
      <c r="B444" t="s">
        <v>29</v>
      </c>
      <c r="C444" t="s">
        <v>12</v>
      </c>
      <c r="D444" t="s">
        <v>23</v>
      </c>
      <c r="E444" t="s">
        <v>20</v>
      </c>
      <c r="F444" t="s">
        <v>33</v>
      </c>
      <c r="G444" t="s">
        <v>22</v>
      </c>
      <c r="H444">
        <v>180000</v>
      </c>
      <c r="I444">
        <v>4</v>
      </c>
      <c r="J444" t="s">
        <v>39</v>
      </c>
      <c r="K444">
        <v>144000</v>
      </c>
    </row>
    <row r="445" spans="1:11" x14ac:dyDescent="0.25">
      <c r="A445" s="10">
        <v>45690</v>
      </c>
      <c r="B445" t="s">
        <v>11</v>
      </c>
      <c r="C445" t="s">
        <v>32</v>
      </c>
      <c r="D445" t="s">
        <v>13</v>
      </c>
      <c r="E445" t="s">
        <v>20</v>
      </c>
      <c r="F445" t="s">
        <v>21</v>
      </c>
      <c r="G445" t="s">
        <v>22</v>
      </c>
      <c r="H445">
        <v>30000</v>
      </c>
      <c r="I445">
        <v>7</v>
      </c>
      <c r="J445" t="s">
        <v>35</v>
      </c>
      <c r="K445">
        <v>24000</v>
      </c>
    </row>
    <row r="446" spans="1:11" x14ac:dyDescent="0.25">
      <c r="A446" s="10">
        <v>45721</v>
      </c>
      <c r="B446" t="s">
        <v>25</v>
      </c>
      <c r="C446" t="s">
        <v>19</v>
      </c>
      <c r="D446" t="s">
        <v>23</v>
      </c>
      <c r="E446" t="s">
        <v>20</v>
      </c>
      <c r="F446" t="s">
        <v>38</v>
      </c>
      <c r="G446" t="s">
        <v>31</v>
      </c>
      <c r="H446">
        <v>420000</v>
      </c>
      <c r="I446">
        <v>10</v>
      </c>
      <c r="J446" t="s">
        <v>17</v>
      </c>
      <c r="K446">
        <v>336000</v>
      </c>
    </row>
    <row r="447" spans="1:11" x14ac:dyDescent="0.25">
      <c r="A447" s="10">
        <v>45711</v>
      </c>
      <c r="B447" t="s">
        <v>18</v>
      </c>
      <c r="C447" t="s">
        <v>12</v>
      </c>
      <c r="D447" t="s">
        <v>23</v>
      </c>
      <c r="E447" t="s">
        <v>14</v>
      </c>
      <c r="F447" t="s">
        <v>38</v>
      </c>
      <c r="G447" t="s">
        <v>31</v>
      </c>
      <c r="H447">
        <v>420000</v>
      </c>
      <c r="I447">
        <v>7</v>
      </c>
      <c r="J447" t="s">
        <v>35</v>
      </c>
      <c r="K447">
        <v>336000</v>
      </c>
    </row>
    <row r="448" spans="1:11" x14ac:dyDescent="0.25">
      <c r="A448" s="10">
        <v>45774</v>
      </c>
      <c r="B448" t="s">
        <v>25</v>
      </c>
      <c r="C448" t="s">
        <v>26</v>
      </c>
      <c r="D448" t="s">
        <v>13</v>
      </c>
      <c r="E448" t="s">
        <v>20</v>
      </c>
      <c r="F448" t="s">
        <v>40</v>
      </c>
      <c r="G448" t="s">
        <v>31</v>
      </c>
      <c r="H448">
        <v>250000</v>
      </c>
      <c r="I448">
        <v>5</v>
      </c>
      <c r="J448" t="s">
        <v>24</v>
      </c>
      <c r="K448">
        <v>200000</v>
      </c>
    </row>
    <row r="449" spans="1:11" x14ac:dyDescent="0.25">
      <c r="A449" s="10">
        <v>45669</v>
      </c>
      <c r="B449" t="s">
        <v>11</v>
      </c>
      <c r="C449" t="s">
        <v>32</v>
      </c>
      <c r="D449" t="s">
        <v>23</v>
      </c>
      <c r="E449" t="s">
        <v>14</v>
      </c>
      <c r="F449" t="s">
        <v>38</v>
      </c>
      <c r="G449" t="s">
        <v>31</v>
      </c>
      <c r="H449">
        <v>420000</v>
      </c>
      <c r="I449">
        <v>5</v>
      </c>
      <c r="J449" t="s">
        <v>28</v>
      </c>
      <c r="K449">
        <v>336000</v>
      </c>
    </row>
    <row r="450" spans="1:11" x14ac:dyDescent="0.25">
      <c r="A450" s="10">
        <v>45760</v>
      </c>
      <c r="B450" t="s">
        <v>18</v>
      </c>
      <c r="C450" t="s">
        <v>26</v>
      </c>
      <c r="D450" t="s">
        <v>23</v>
      </c>
      <c r="E450" t="s">
        <v>20</v>
      </c>
      <c r="F450" t="s">
        <v>34</v>
      </c>
      <c r="G450" t="s">
        <v>16</v>
      </c>
      <c r="H450">
        <v>320000</v>
      </c>
      <c r="I450">
        <v>2</v>
      </c>
      <c r="J450" t="s">
        <v>28</v>
      </c>
      <c r="K450">
        <v>256000</v>
      </c>
    </row>
    <row r="451" spans="1:11" x14ac:dyDescent="0.25">
      <c r="A451" s="10">
        <v>45762</v>
      </c>
      <c r="B451" t="s">
        <v>29</v>
      </c>
      <c r="C451" t="s">
        <v>12</v>
      </c>
      <c r="D451" t="s">
        <v>13</v>
      </c>
      <c r="E451" t="s">
        <v>20</v>
      </c>
      <c r="F451" t="s">
        <v>30</v>
      </c>
      <c r="G451" t="s">
        <v>31</v>
      </c>
      <c r="H451">
        <v>300000</v>
      </c>
      <c r="I451">
        <v>10</v>
      </c>
      <c r="J451" t="s">
        <v>37</v>
      </c>
      <c r="K451">
        <v>240000</v>
      </c>
    </row>
    <row r="452" spans="1:11" x14ac:dyDescent="0.25">
      <c r="A452" s="10">
        <v>45680</v>
      </c>
      <c r="B452" t="s">
        <v>18</v>
      </c>
      <c r="C452" t="s">
        <v>12</v>
      </c>
      <c r="D452" t="s">
        <v>13</v>
      </c>
      <c r="E452" t="s">
        <v>14</v>
      </c>
      <c r="F452" t="s">
        <v>40</v>
      </c>
      <c r="G452" t="s">
        <v>31</v>
      </c>
      <c r="H452">
        <v>250000</v>
      </c>
      <c r="I452">
        <v>5</v>
      </c>
      <c r="J452" t="s">
        <v>37</v>
      </c>
      <c r="K452">
        <v>200000</v>
      </c>
    </row>
    <row r="453" spans="1:11" x14ac:dyDescent="0.25">
      <c r="A453" s="10">
        <v>45755</v>
      </c>
      <c r="B453" t="s">
        <v>25</v>
      </c>
      <c r="C453" t="s">
        <v>26</v>
      </c>
      <c r="D453" t="s">
        <v>23</v>
      </c>
      <c r="E453" t="s">
        <v>20</v>
      </c>
      <c r="F453" t="s">
        <v>40</v>
      </c>
      <c r="G453" t="s">
        <v>31</v>
      </c>
      <c r="H453">
        <v>250000</v>
      </c>
      <c r="I453">
        <v>2</v>
      </c>
      <c r="J453" t="s">
        <v>24</v>
      </c>
      <c r="K453">
        <v>200000</v>
      </c>
    </row>
    <row r="454" spans="1:11" x14ac:dyDescent="0.25">
      <c r="A454" s="10">
        <v>45678</v>
      </c>
      <c r="B454" t="s">
        <v>29</v>
      </c>
      <c r="C454" t="s">
        <v>19</v>
      </c>
      <c r="D454" t="s">
        <v>13</v>
      </c>
      <c r="E454" t="s">
        <v>20</v>
      </c>
      <c r="F454" t="s">
        <v>33</v>
      </c>
      <c r="G454" t="s">
        <v>22</v>
      </c>
      <c r="H454">
        <v>180000</v>
      </c>
      <c r="I454">
        <v>1</v>
      </c>
      <c r="J454" t="s">
        <v>17</v>
      </c>
      <c r="K454">
        <v>144000</v>
      </c>
    </row>
    <row r="455" spans="1:11" x14ac:dyDescent="0.25">
      <c r="A455" s="10">
        <v>45746</v>
      </c>
      <c r="B455" t="s">
        <v>18</v>
      </c>
      <c r="C455" t="s">
        <v>19</v>
      </c>
      <c r="D455" t="s">
        <v>13</v>
      </c>
      <c r="E455" t="s">
        <v>20</v>
      </c>
      <c r="F455" t="s">
        <v>34</v>
      </c>
      <c r="G455" t="s">
        <v>16</v>
      </c>
      <c r="H455">
        <v>320000</v>
      </c>
      <c r="I455">
        <v>10</v>
      </c>
      <c r="J455" t="s">
        <v>35</v>
      </c>
      <c r="K455">
        <v>256000</v>
      </c>
    </row>
    <row r="456" spans="1:11" x14ac:dyDescent="0.25">
      <c r="A456" s="10">
        <v>45699</v>
      </c>
      <c r="B456" t="s">
        <v>25</v>
      </c>
      <c r="C456" t="s">
        <v>26</v>
      </c>
      <c r="D456" t="s">
        <v>23</v>
      </c>
      <c r="E456" t="s">
        <v>20</v>
      </c>
      <c r="F456" t="s">
        <v>36</v>
      </c>
      <c r="G456" t="s">
        <v>31</v>
      </c>
      <c r="H456">
        <v>150000</v>
      </c>
      <c r="I456">
        <v>2</v>
      </c>
      <c r="J456" t="s">
        <v>17</v>
      </c>
      <c r="K456">
        <v>120000</v>
      </c>
    </row>
    <row r="457" spans="1:11" x14ac:dyDescent="0.25">
      <c r="A457" s="10">
        <v>45729</v>
      </c>
      <c r="B457" t="s">
        <v>18</v>
      </c>
      <c r="C457" t="s">
        <v>19</v>
      </c>
      <c r="D457" t="s">
        <v>13</v>
      </c>
      <c r="E457" t="s">
        <v>20</v>
      </c>
      <c r="F457" t="s">
        <v>33</v>
      </c>
      <c r="G457" t="s">
        <v>22</v>
      </c>
      <c r="H457">
        <v>180000</v>
      </c>
      <c r="I457">
        <v>10</v>
      </c>
      <c r="J457" t="s">
        <v>28</v>
      </c>
      <c r="K457">
        <v>144000</v>
      </c>
    </row>
    <row r="458" spans="1:11" x14ac:dyDescent="0.25">
      <c r="A458" s="10">
        <v>45766</v>
      </c>
      <c r="B458" t="s">
        <v>11</v>
      </c>
      <c r="C458" t="s">
        <v>19</v>
      </c>
      <c r="D458" t="s">
        <v>13</v>
      </c>
      <c r="E458" t="s">
        <v>14</v>
      </c>
      <c r="F458" t="s">
        <v>36</v>
      </c>
      <c r="G458" t="s">
        <v>31</v>
      </c>
      <c r="H458">
        <v>150000</v>
      </c>
      <c r="I458">
        <v>2</v>
      </c>
      <c r="J458" t="s">
        <v>28</v>
      </c>
      <c r="K458">
        <v>120000</v>
      </c>
    </row>
    <row r="459" spans="1:11" x14ac:dyDescent="0.25">
      <c r="A459" s="10">
        <v>45766</v>
      </c>
      <c r="B459" t="s">
        <v>25</v>
      </c>
      <c r="C459" t="s">
        <v>26</v>
      </c>
      <c r="D459" t="s">
        <v>23</v>
      </c>
      <c r="E459" t="s">
        <v>20</v>
      </c>
      <c r="F459" t="s">
        <v>27</v>
      </c>
      <c r="G459" t="s">
        <v>22</v>
      </c>
      <c r="H459">
        <v>60000</v>
      </c>
      <c r="I459">
        <v>10</v>
      </c>
      <c r="J459" t="s">
        <v>28</v>
      </c>
      <c r="K459">
        <v>48000</v>
      </c>
    </row>
    <row r="460" spans="1:11" x14ac:dyDescent="0.25">
      <c r="A460" s="10">
        <v>45734</v>
      </c>
      <c r="B460" t="s">
        <v>11</v>
      </c>
      <c r="C460" t="s">
        <v>32</v>
      </c>
      <c r="D460" t="s">
        <v>23</v>
      </c>
      <c r="E460" t="s">
        <v>14</v>
      </c>
      <c r="F460" t="s">
        <v>41</v>
      </c>
      <c r="G460" t="s">
        <v>22</v>
      </c>
      <c r="H460">
        <v>220000</v>
      </c>
      <c r="I460">
        <v>4</v>
      </c>
      <c r="J460" t="s">
        <v>35</v>
      </c>
      <c r="K460">
        <v>176000</v>
      </c>
    </row>
    <row r="461" spans="1:11" x14ac:dyDescent="0.25">
      <c r="A461" s="10">
        <v>45774</v>
      </c>
      <c r="B461" t="s">
        <v>25</v>
      </c>
      <c r="C461" t="s">
        <v>19</v>
      </c>
      <c r="D461" t="s">
        <v>13</v>
      </c>
      <c r="E461" t="s">
        <v>14</v>
      </c>
      <c r="F461" t="s">
        <v>27</v>
      </c>
      <c r="G461" t="s">
        <v>22</v>
      </c>
      <c r="H461">
        <v>60000</v>
      </c>
      <c r="I461">
        <v>5</v>
      </c>
      <c r="J461" t="s">
        <v>35</v>
      </c>
      <c r="K461">
        <v>48000</v>
      </c>
    </row>
    <row r="462" spans="1:11" x14ac:dyDescent="0.25">
      <c r="A462" s="10">
        <v>45699</v>
      </c>
      <c r="B462" t="s">
        <v>25</v>
      </c>
      <c r="C462" t="s">
        <v>32</v>
      </c>
      <c r="D462" t="s">
        <v>23</v>
      </c>
      <c r="E462" t="s">
        <v>14</v>
      </c>
      <c r="F462" t="s">
        <v>40</v>
      </c>
      <c r="G462" t="s">
        <v>31</v>
      </c>
      <c r="H462">
        <v>250000</v>
      </c>
      <c r="I462">
        <v>3</v>
      </c>
      <c r="J462" t="s">
        <v>24</v>
      </c>
      <c r="K462">
        <v>200000</v>
      </c>
    </row>
    <row r="463" spans="1:11" x14ac:dyDescent="0.25">
      <c r="A463" s="10">
        <v>45673</v>
      </c>
      <c r="B463" t="s">
        <v>25</v>
      </c>
      <c r="C463" t="s">
        <v>19</v>
      </c>
      <c r="D463" t="s">
        <v>23</v>
      </c>
      <c r="E463" t="s">
        <v>20</v>
      </c>
      <c r="F463" t="s">
        <v>36</v>
      </c>
      <c r="G463" t="s">
        <v>31</v>
      </c>
      <c r="H463">
        <v>150000</v>
      </c>
      <c r="I463">
        <v>1</v>
      </c>
      <c r="J463" t="s">
        <v>37</v>
      </c>
      <c r="K463">
        <v>120000</v>
      </c>
    </row>
    <row r="464" spans="1:11" x14ac:dyDescent="0.25">
      <c r="A464" s="10">
        <v>45712</v>
      </c>
      <c r="B464" t="s">
        <v>29</v>
      </c>
      <c r="C464" t="s">
        <v>32</v>
      </c>
      <c r="D464" t="s">
        <v>23</v>
      </c>
      <c r="E464" t="s">
        <v>20</v>
      </c>
      <c r="F464" t="s">
        <v>41</v>
      </c>
      <c r="G464" t="s">
        <v>22</v>
      </c>
      <c r="H464">
        <v>220000</v>
      </c>
      <c r="I464">
        <v>1</v>
      </c>
      <c r="J464" t="s">
        <v>24</v>
      </c>
      <c r="K464">
        <v>176000</v>
      </c>
    </row>
    <row r="465" spans="1:11" x14ac:dyDescent="0.25">
      <c r="A465" s="10">
        <v>45661</v>
      </c>
      <c r="B465" t="s">
        <v>18</v>
      </c>
      <c r="C465" t="s">
        <v>26</v>
      </c>
      <c r="D465" t="s">
        <v>13</v>
      </c>
      <c r="E465" t="s">
        <v>20</v>
      </c>
      <c r="F465" t="s">
        <v>40</v>
      </c>
      <c r="G465" t="s">
        <v>31</v>
      </c>
      <c r="H465">
        <v>250000</v>
      </c>
      <c r="I465">
        <v>6</v>
      </c>
      <c r="J465" t="s">
        <v>37</v>
      </c>
      <c r="K465">
        <v>200000</v>
      </c>
    </row>
    <row r="466" spans="1:11" x14ac:dyDescent="0.25">
      <c r="A466" s="10">
        <v>45735</v>
      </c>
      <c r="B466" t="s">
        <v>11</v>
      </c>
      <c r="C466" t="s">
        <v>32</v>
      </c>
      <c r="D466" t="s">
        <v>13</v>
      </c>
      <c r="E466" t="s">
        <v>20</v>
      </c>
      <c r="F466" t="s">
        <v>41</v>
      </c>
      <c r="G466" t="s">
        <v>22</v>
      </c>
      <c r="H466">
        <v>220000</v>
      </c>
      <c r="I466">
        <v>10</v>
      </c>
      <c r="J466" t="s">
        <v>35</v>
      </c>
      <c r="K466">
        <v>176000</v>
      </c>
    </row>
    <row r="467" spans="1:11" x14ac:dyDescent="0.25">
      <c r="A467" s="10">
        <v>45773</v>
      </c>
      <c r="B467" t="s">
        <v>18</v>
      </c>
      <c r="C467" t="s">
        <v>12</v>
      </c>
      <c r="D467" t="s">
        <v>13</v>
      </c>
      <c r="E467" t="s">
        <v>20</v>
      </c>
      <c r="F467" t="s">
        <v>33</v>
      </c>
      <c r="G467" t="s">
        <v>22</v>
      </c>
      <c r="H467">
        <v>180000</v>
      </c>
      <c r="I467">
        <v>10</v>
      </c>
      <c r="J467" t="s">
        <v>24</v>
      </c>
      <c r="K467">
        <v>144000</v>
      </c>
    </row>
    <row r="468" spans="1:11" x14ac:dyDescent="0.25">
      <c r="A468" s="10">
        <v>45726</v>
      </c>
      <c r="B468" t="s">
        <v>11</v>
      </c>
      <c r="C468" t="s">
        <v>12</v>
      </c>
      <c r="D468" t="s">
        <v>23</v>
      </c>
      <c r="E468" t="s">
        <v>14</v>
      </c>
      <c r="F468" t="s">
        <v>27</v>
      </c>
      <c r="G468" t="s">
        <v>22</v>
      </c>
      <c r="H468">
        <v>60000</v>
      </c>
      <c r="I468">
        <v>6</v>
      </c>
      <c r="J468" t="s">
        <v>39</v>
      </c>
      <c r="K468">
        <v>48000</v>
      </c>
    </row>
    <row r="469" spans="1:11" x14ac:dyDescent="0.25">
      <c r="A469" s="10">
        <v>45767</v>
      </c>
      <c r="B469" t="s">
        <v>29</v>
      </c>
      <c r="C469" t="s">
        <v>26</v>
      </c>
      <c r="D469" t="s">
        <v>13</v>
      </c>
      <c r="E469" t="s">
        <v>20</v>
      </c>
      <c r="F469" t="s">
        <v>41</v>
      </c>
      <c r="G469" t="s">
        <v>22</v>
      </c>
      <c r="H469">
        <v>220000</v>
      </c>
      <c r="I469">
        <v>4</v>
      </c>
      <c r="J469" t="s">
        <v>24</v>
      </c>
      <c r="K469">
        <v>176000</v>
      </c>
    </row>
    <row r="470" spans="1:11" x14ac:dyDescent="0.25">
      <c r="A470" s="10">
        <v>45701</v>
      </c>
      <c r="B470" t="s">
        <v>25</v>
      </c>
      <c r="C470" t="s">
        <v>32</v>
      </c>
      <c r="D470" t="s">
        <v>23</v>
      </c>
      <c r="E470" t="s">
        <v>14</v>
      </c>
      <c r="F470" t="s">
        <v>36</v>
      </c>
      <c r="G470" t="s">
        <v>31</v>
      </c>
      <c r="H470">
        <v>150000</v>
      </c>
      <c r="I470">
        <v>1</v>
      </c>
      <c r="J470" t="s">
        <v>24</v>
      </c>
      <c r="K470">
        <v>120000</v>
      </c>
    </row>
    <row r="471" spans="1:11" x14ac:dyDescent="0.25">
      <c r="A471" s="10">
        <v>45691</v>
      </c>
      <c r="B471" t="s">
        <v>25</v>
      </c>
      <c r="C471" t="s">
        <v>26</v>
      </c>
      <c r="D471" t="s">
        <v>13</v>
      </c>
      <c r="E471" t="s">
        <v>20</v>
      </c>
      <c r="F471" t="s">
        <v>33</v>
      </c>
      <c r="G471" t="s">
        <v>22</v>
      </c>
      <c r="H471">
        <v>180000</v>
      </c>
      <c r="I471">
        <v>1</v>
      </c>
      <c r="J471" t="s">
        <v>28</v>
      </c>
      <c r="K471">
        <v>144000</v>
      </c>
    </row>
    <row r="472" spans="1:11" x14ac:dyDescent="0.25">
      <c r="A472" s="10">
        <v>45758</v>
      </c>
      <c r="B472" t="s">
        <v>18</v>
      </c>
      <c r="C472" t="s">
        <v>32</v>
      </c>
      <c r="D472" t="s">
        <v>23</v>
      </c>
      <c r="E472" t="s">
        <v>20</v>
      </c>
      <c r="F472" t="s">
        <v>41</v>
      </c>
      <c r="G472" t="s">
        <v>22</v>
      </c>
      <c r="H472">
        <v>220000</v>
      </c>
      <c r="I472">
        <v>8</v>
      </c>
      <c r="J472" t="s">
        <v>28</v>
      </c>
      <c r="K472">
        <v>176000</v>
      </c>
    </row>
    <row r="473" spans="1:11" x14ac:dyDescent="0.25">
      <c r="A473" s="10">
        <v>45683</v>
      </c>
      <c r="B473" t="s">
        <v>11</v>
      </c>
      <c r="C473" t="s">
        <v>19</v>
      </c>
      <c r="D473" t="s">
        <v>13</v>
      </c>
      <c r="E473" t="s">
        <v>20</v>
      </c>
      <c r="F473" t="s">
        <v>40</v>
      </c>
      <c r="G473" t="s">
        <v>31</v>
      </c>
      <c r="H473">
        <v>250000</v>
      </c>
      <c r="I473">
        <v>3</v>
      </c>
      <c r="J473" t="s">
        <v>24</v>
      </c>
      <c r="K473">
        <v>200000</v>
      </c>
    </row>
    <row r="474" spans="1:11" x14ac:dyDescent="0.25">
      <c r="A474" s="10">
        <v>45721</v>
      </c>
      <c r="B474" t="s">
        <v>29</v>
      </c>
      <c r="C474" t="s">
        <v>19</v>
      </c>
      <c r="D474" t="s">
        <v>23</v>
      </c>
      <c r="E474" t="s">
        <v>20</v>
      </c>
      <c r="F474" t="s">
        <v>27</v>
      </c>
      <c r="G474" t="s">
        <v>22</v>
      </c>
      <c r="H474">
        <v>60000</v>
      </c>
      <c r="I474">
        <v>1</v>
      </c>
      <c r="J474" t="s">
        <v>35</v>
      </c>
      <c r="K474">
        <v>48000</v>
      </c>
    </row>
    <row r="475" spans="1:11" x14ac:dyDescent="0.25">
      <c r="A475" s="10">
        <v>45760</v>
      </c>
      <c r="B475" t="s">
        <v>18</v>
      </c>
      <c r="C475" t="s">
        <v>32</v>
      </c>
      <c r="D475" t="s">
        <v>13</v>
      </c>
      <c r="E475" t="s">
        <v>20</v>
      </c>
      <c r="F475" t="s">
        <v>34</v>
      </c>
      <c r="G475" t="s">
        <v>16</v>
      </c>
      <c r="H475">
        <v>320000</v>
      </c>
      <c r="I475">
        <v>4</v>
      </c>
      <c r="J475" t="s">
        <v>17</v>
      </c>
      <c r="K475">
        <v>256000</v>
      </c>
    </row>
    <row r="476" spans="1:11" x14ac:dyDescent="0.25">
      <c r="A476" s="10">
        <v>45731</v>
      </c>
      <c r="B476" t="s">
        <v>25</v>
      </c>
      <c r="C476" t="s">
        <v>26</v>
      </c>
      <c r="D476" t="s">
        <v>23</v>
      </c>
      <c r="E476" t="s">
        <v>20</v>
      </c>
      <c r="F476" t="s">
        <v>38</v>
      </c>
      <c r="G476" t="s">
        <v>31</v>
      </c>
      <c r="H476">
        <v>420000</v>
      </c>
      <c r="I476">
        <v>8</v>
      </c>
      <c r="J476" t="s">
        <v>24</v>
      </c>
      <c r="K476">
        <v>336000</v>
      </c>
    </row>
    <row r="477" spans="1:11" x14ac:dyDescent="0.25">
      <c r="A477" s="10">
        <v>45709</v>
      </c>
      <c r="B477" t="s">
        <v>25</v>
      </c>
      <c r="C477" t="s">
        <v>19</v>
      </c>
      <c r="D477" t="s">
        <v>23</v>
      </c>
      <c r="E477" t="s">
        <v>20</v>
      </c>
      <c r="F477" t="s">
        <v>38</v>
      </c>
      <c r="G477" t="s">
        <v>31</v>
      </c>
      <c r="H477">
        <v>420000</v>
      </c>
      <c r="I477">
        <v>8</v>
      </c>
      <c r="J477" t="s">
        <v>35</v>
      </c>
      <c r="K477">
        <v>336000</v>
      </c>
    </row>
    <row r="478" spans="1:11" x14ac:dyDescent="0.25">
      <c r="A478" s="10">
        <v>45687</v>
      </c>
      <c r="B478" t="s">
        <v>29</v>
      </c>
      <c r="C478" t="s">
        <v>19</v>
      </c>
      <c r="D478" t="s">
        <v>13</v>
      </c>
      <c r="E478" t="s">
        <v>20</v>
      </c>
      <c r="F478" t="s">
        <v>27</v>
      </c>
      <c r="G478" t="s">
        <v>22</v>
      </c>
      <c r="H478">
        <v>60000</v>
      </c>
      <c r="I478">
        <v>1</v>
      </c>
      <c r="J478" t="s">
        <v>39</v>
      </c>
      <c r="K478">
        <v>48000</v>
      </c>
    </row>
    <row r="479" spans="1:11" x14ac:dyDescent="0.25">
      <c r="A479" s="10">
        <v>45720</v>
      </c>
      <c r="B479" t="s">
        <v>18</v>
      </c>
      <c r="C479" t="s">
        <v>12</v>
      </c>
      <c r="D479" t="s">
        <v>23</v>
      </c>
      <c r="E479" t="s">
        <v>20</v>
      </c>
      <c r="F479" t="s">
        <v>33</v>
      </c>
      <c r="G479" t="s">
        <v>22</v>
      </c>
      <c r="H479">
        <v>180000</v>
      </c>
      <c r="I479">
        <v>8</v>
      </c>
      <c r="J479" t="s">
        <v>24</v>
      </c>
      <c r="K479">
        <v>144000</v>
      </c>
    </row>
    <row r="480" spans="1:11" x14ac:dyDescent="0.25">
      <c r="A480" s="10">
        <v>45659</v>
      </c>
      <c r="B480" t="s">
        <v>11</v>
      </c>
      <c r="C480" t="s">
        <v>19</v>
      </c>
      <c r="D480" t="s">
        <v>23</v>
      </c>
      <c r="E480" t="s">
        <v>20</v>
      </c>
      <c r="F480" t="s">
        <v>33</v>
      </c>
      <c r="G480" t="s">
        <v>22</v>
      </c>
      <c r="H480">
        <v>180000</v>
      </c>
      <c r="I480">
        <v>2</v>
      </c>
      <c r="J480" t="s">
        <v>24</v>
      </c>
      <c r="K480">
        <v>144000</v>
      </c>
    </row>
    <row r="481" spans="1:11" x14ac:dyDescent="0.25">
      <c r="A481" s="10">
        <v>45767</v>
      </c>
      <c r="B481" t="s">
        <v>25</v>
      </c>
      <c r="C481" t="s">
        <v>19</v>
      </c>
      <c r="D481" t="s">
        <v>23</v>
      </c>
      <c r="E481" t="s">
        <v>14</v>
      </c>
      <c r="F481" t="s">
        <v>30</v>
      </c>
      <c r="G481" t="s">
        <v>31</v>
      </c>
      <c r="H481">
        <v>300000</v>
      </c>
      <c r="I481">
        <v>7</v>
      </c>
      <c r="J481" t="s">
        <v>35</v>
      </c>
      <c r="K481">
        <v>240000</v>
      </c>
    </row>
    <row r="482" spans="1:11" x14ac:dyDescent="0.25">
      <c r="A482" s="10">
        <v>45667</v>
      </c>
      <c r="B482" t="s">
        <v>11</v>
      </c>
      <c r="C482" t="s">
        <v>26</v>
      </c>
      <c r="D482" t="s">
        <v>13</v>
      </c>
      <c r="E482" t="s">
        <v>14</v>
      </c>
      <c r="F482" t="s">
        <v>40</v>
      </c>
      <c r="G482" t="s">
        <v>31</v>
      </c>
      <c r="H482">
        <v>250000</v>
      </c>
      <c r="I482">
        <v>6</v>
      </c>
      <c r="J482" t="s">
        <v>35</v>
      </c>
      <c r="K482">
        <v>200000</v>
      </c>
    </row>
    <row r="483" spans="1:11" x14ac:dyDescent="0.25">
      <c r="A483" s="10">
        <v>45757</v>
      </c>
      <c r="B483" t="s">
        <v>29</v>
      </c>
      <c r="C483" t="s">
        <v>26</v>
      </c>
      <c r="D483" t="s">
        <v>13</v>
      </c>
      <c r="E483" t="s">
        <v>20</v>
      </c>
      <c r="F483" t="s">
        <v>36</v>
      </c>
      <c r="G483" t="s">
        <v>31</v>
      </c>
      <c r="H483">
        <v>150000</v>
      </c>
      <c r="I483">
        <v>5</v>
      </c>
      <c r="J483" t="s">
        <v>24</v>
      </c>
      <c r="K483">
        <v>120000</v>
      </c>
    </row>
    <row r="484" spans="1:11" x14ac:dyDescent="0.25">
      <c r="A484" s="10">
        <v>45725</v>
      </c>
      <c r="B484" t="s">
        <v>11</v>
      </c>
      <c r="C484" t="s">
        <v>32</v>
      </c>
      <c r="D484" t="s">
        <v>13</v>
      </c>
      <c r="E484" t="s">
        <v>14</v>
      </c>
      <c r="F484" t="s">
        <v>15</v>
      </c>
      <c r="G484" t="s">
        <v>16</v>
      </c>
      <c r="H484">
        <v>85000</v>
      </c>
      <c r="I484">
        <v>10</v>
      </c>
      <c r="J484" t="s">
        <v>24</v>
      </c>
      <c r="K484">
        <v>68000</v>
      </c>
    </row>
    <row r="485" spans="1:11" x14ac:dyDescent="0.25">
      <c r="A485" s="10">
        <v>45672</v>
      </c>
      <c r="B485" t="s">
        <v>29</v>
      </c>
      <c r="C485" t="s">
        <v>32</v>
      </c>
      <c r="D485" t="s">
        <v>13</v>
      </c>
      <c r="E485" t="s">
        <v>14</v>
      </c>
      <c r="F485" t="s">
        <v>15</v>
      </c>
      <c r="G485" t="s">
        <v>16</v>
      </c>
      <c r="H485">
        <v>85000</v>
      </c>
      <c r="I485">
        <v>8</v>
      </c>
      <c r="J485" t="s">
        <v>35</v>
      </c>
      <c r="K485">
        <v>68000</v>
      </c>
    </row>
    <row r="486" spans="1:11" x14ac:dyDescent="0.25">
      <c r="A486" s="10">
        <v>45778</v>
      </c>
      <c r="B486" t="s">
        <v>25</v>
      </c>
      <c r="C486" t="s">
        <v>12</v>
      </c>
      <c r="D486" t="s">
        <v>13</v>
      </c>
      <c r="E486" t="s">
        <v>14</v>
      </c>
      <c r="F486" t="s">
        <v>15</v>
      </c>
      <c r="G486" t="s">
        <v>16</v>
      </c>
      <c r="H486">
        <v>85000</v>
      </c>
      <c r="I486">
        <v>2</v>
      </c>
      <c r="J486" t="s">
        <v>28</v>
      </c>
      <c r="K486">
        <v>68000</v>
      </c>
    </row>
    <row r="487" spans="1:11" x14ac:dyDescent="0.25">
      <c r="A487" s="10">
        <v>45721</v>
      </c>
      <c r="B487" t="s">
        <v>11</v>
      </c>
      <c r="C487" t="s">
        <v>32</v>
      </c>
      <c r="D487" t="s">
        <v>13</v>
      </c>
      <c r="E487" t="s">
        <v>14</v>
      </c>
      <c r="F487" t="s">
        <v>40</v>
      </c>
      <c r="G487" t="s">
        <v>31</v>
      </c>
      <c r="H487">
        <v>250000</v>
      </c>
      <c r="I487">
        <v>4</v>
      </c>
      <c r="J487" t="s">
        <v>17</v>
      </c>
      <c r="K487">
        <v>200000</v>
      </c>
    </row>
    <row r="488" spans="1:11" x14ac:dyDescent="0.25">
      <c r="A488" s="10">
        <v>45773</v>
      </c>
      <c r="B488" t="s">
        <v>25</v>
      </c>
      <c r="C488" t="s">
        <v>12</v>
      </c>
      <c r="D488" t="s">
        <v>13</v>
      </c>
      <c r="E488" t="s">
        <v>14</v>
      </c>
      <c r="F488" t="s">
        <v>36</v>
      </c>
      <c r="G488" t="s">
        <v>31</v>
      </c>
      <c r="H488">
        <v>150000</v>
      </c>
      <c r="I488">
        <v>6</v>
      </c>
      <c r="J488" t="s">
        <v>39</v>
      </c>
      <c r="K488">
        <v>120000</v>
      </c>
    </row>
    <row r="489" spans="1:11" x14ac:dyDescent="0.25">
      <c r="A489" s="10">
        <v>45715</v>
      </c>
      <c r="B489" t="s">
        <v>25</v>
      </c>
      <c r="C489" t="s">
        <v>32</v>
      </c>
      <c r="D489" t="s">
        <v>23</v>
      </c>
      <c r="E489" t="s">
        <v>20</v>
      </c>
      <c r="F489" t="s">
        <v>33</v>
      </c>
      <c r="G489" t="s">
        <v>22</v>
      </c>
      <c r="H489">
        <v>180000</v>
      </c>
      <c r="I489">
        <v>10</v>
      </c>
      <c r="J489" t="s">
        <v>37</v>
      </c>
      <c r="K489">
        <v>144000</v>
      </c>
    </row>
    <row r="490" spans="1:11" x14ac:dyDescent="0.25">
      <c r="A490" s="10">
        <v>45741</v>
      </c>
      <c r="B490" t="s">
        <v>25</v>
      </c>
      <c r="C490" t="s">
        <v>32</v>
      </c>
      <c r="D490" t="s">
        <v>13</v>
      </c>
      <c r="E490" t="s">
        <v>14</v>
      </c>
      <c r="F490" t="s">
        <v>36</v>
      </c>
      <c r="G490" t="s">
        <v>31</v>
      </c>
      <c r="H490">
        <v>150000</v>
      </c>
      <c r="I490">
        <v>8</v>
      </c>
      <c r="J490" t="s">
        <v>17</v>
      </c>
      <c r="K490">
        <v>120000</v>
      </c>
    </row>
    <row r="491" spans="1:11" x14ac:dyDescent="0.25">
      <c r="A491" s="10">
        <v>45679</v>
      </c>
      <c r="B491" t="s">
        <v>25</v>
      </c>
      <c r="C491" t="s">
        <v>19</v>
      </c>
      <c r="D491" t="s">
        <v>13</v>
      </c>
      <c r="E491" t="s">
        <v>14</v>
      </c>
      <c r="F491" t="s">
        <v>33</v>
      </c>
      <c r="G491" t="s">
        <v>22</v>
      </c>
      <c r="H491">
        <v>180000</v>
      </c>
      <c r="I491">
        <v>8</v>
      </c>
      <c r="J491" t="s">
        <v>24</v>
      </c>
      <c r="K491">
        <v>144000</v>
      </c>
    </row>
    <row r="492" spans="1:11" x14ac:dyDescent="0.25">
      <c r="A492" s="10">
        <v>45708</v>
      </c>
      <c r="B492" t="s">
        <v>18</v>
      </c>
      <c r="C492" t="s">
        <v>26</v>
      </c>
      <c r="D492" t="s">
        <v>23</v>
      </c>
      <c r="E492" t="s">
        <v>14</v>
      </c>
      <c r="F492" t="s">
        <v>36</v>
      </c>
      <c r="G492" t="s">
        <v>31</v>
      </c>
      <c r="H492">
        <v>150000</v>
      </c>
      <c r="I492">
        <v>6</v>
      </c>
      <c r="J492" t="s">
        <v>35</v>
      </c>
      <c r="K492">
        <v>120000</v>
      </c>
    </row>
    <row r="493" spans="1:11" x14ac:dyDescent="0.25">
      <c r="A493" s="10">
        <v>45760</v>
      </c>
      <c r="B493" t="s">
        <v>25</v>
      </c>
      <c r="C493" t="s">
        <v>32</v>
      </c>
      <c r="D493" t="s">
        <v>23</v>
      </c>
      <c r="E493" t="s">
        <v>20</v>
      </c>
      <c r="F493" t="s">
        <v>36</v>
      </c>
      <c r="G493" t="s">
        <v>31</v>
      </c>
      <c r="H493">
        <v>150000</v>
      </c>
      <c r="I493">
        <v>4</v>
      </c>
      <c r="J493" t="s">
        <v>39</v>
      </c>
      <c r="K493">
        <v>120000</v>
      </c>
    </row>
    <row r="494" spans="1:11" x14ac:dyDescent="0.25">
      <c r="A494" s="10">
        <v>45660</v>
      </c>
      <c r="B494" t="s">
        <v>11</v>
      </c>
      <c r="C494" t="s">
        <v>19</v>
      </c>
      <c r="D494" t="s">
        <v>13</v>
      </c>
      <c r="E494" t="s">
        <v>14</v>
      </c>
      <c r="F494" t="s">
        <v>33</v>
      </c>
      <c r="G494" t="s">
        <v>22</v>
      </c>
      <c r="H494">
        <v>180000</v>
      </c>
      <c r="I494">
        <v>1</v>
      </c>
      <c r="J494" t="s">
        <v>35</v>
      </c>
      <c r="K494">
        <v>144000</v>
      </c>
    </row>
    <row r="495" spans="1:11" x14ac:dyDescent="0.25">
      <c r="A495" s="10">
        <v>45760</v>
      </c>
      <c r="B495" t="s">
        <v>29</v>
      </c>
      <c r="C495" t="s">
        <v>19</v>
      </c>
      <c r="D495" t="s">
        <v>13</v>
      </c>
      <c r="E495" t="s">
        <v>14</v>
      </c>
      <c r="F495" t="s">
        <v>40</v>
      </c>
      <c r="G495" t="s">
        <v>31</v>
      </c>
      <c r="H495">
        <v>250000</v>
      </c>
      <c r="I495">
        <v>6</v>
      </c>
      <c r="J495" t="s">
        <v>39</v>
      </c>
      <c r="K495">
        <v>200000</v>
      </c>
    </row>
    <row r="496" spans="1:11" x14ac:dyDescent="0.25">
      <c r="A496" s="10">
        <v>45721</v>
      </c>
      <c r="B496" t="s">
        <v>25</v>
      </c>
      <c r="C496" t="s">
        <v>12</v>
      </c>
      <c r="D496" t="s">
        <v>13</v>
      </c>
      <c r="E496" t="s">
        <v>14</v>
      </c>
      <c r="F496" t="s">
        <v>27</v>
      </c>
      <c r="G496" t="s">
        <v>22</v>
      </c>
      <c r="H496">
        <v>60000</v>
      </c>
      <c r="I496">
        <v>6</v>
      </c>
      <c r="J496" t="s">
        <v>24</v>
      </c>
      <c r="K496">
        <v>48000</v>
      </c>
    </row>
    <row r="497" spans="1:11" x14ac:dyDescent="0.25">
      <c r="A497" s="10">
        <v>45683</v>
      </c>
      <c r="B497" t="s">
        <v>29</v>
      </c>
      <c r="C497" t="s">
        <v>32</v>
      </c>
      <c r="D497" t="s">
        <v>23</v>
      </c>
      <c r="E497" t="s">
        <v>20</v>
      </c>
      <c r="F497" t="s">
        <v>36</v>
      </c>
      <c r="G497" t="s">
        <v>31</v>
      </c>
      <c r="H497">
        <v>150000</v>
      </c>
      <c r="I497">
        <v>2</v>
      </c>
      <c r="J497" t="s">
        <v>24</v>
      </c>
      <c r="K497">
        <v>120000</v>
      </c>
    </row>
    <row r="498" spans="1:11" x14ac:dyDescent="0.25">
      <c r="A498" s="10">
        <v>45692</v>
      </c>
      <c r="B498" t="s">
        <v>18</v>
      </c>
      <c r="C498" t="s">
        <v>26</v>
      </c>
      <c r="D498" t="s">
        <v>23</v>
      </c>
      <c r="E498" t="s">
        <v>14</v>
      </c>
      <c r="F498" t="s">
        <v>15</v>
      </c>
      <c r="G498" t="s">
        <v>16</v>
      </c>
      <c r="H498">
        <v>85000</v>
      </c>
      <c r="I498">
        <v>2</v>
      </c>
      <c r="J498" t="s">
        <v>17</v>
      </c>
      <c r="K498">
        <v>68000</v>
      </c>
    </row>
    <row r="499" spans="1:11" x14ac:dyDescent="0.25">
      <c r="A499" s="10">
        <v>45712</v>
      </c>
      <c r="B499" t="s">
        <v>25</v>
      </c>
      <c r="C499" t="s">
        <v>19</v>
      </c>
      <c r="D499" t="s">
        <v>13</v>
      </c>
      <c r="E499" t="s">
        <v>20</v>
      </c>
      <c r="F499" t="s">
        <v>30</v>
      </c>
      <c r="G499" t="s">
        <v>31</v>
      </c>
      <c r="H499">
        <v>300000</v>
      </c>
      <c r="I499">
        <v>5</v>
      </c>
      <c r="J499" t="s">
        <v>35</v>
      </c>
      <c r="K499">
        <v>240000</v>
      </c>
    </row>
    <row r="500" spans="1:11" x14ac:dyDescent="0.25">
      <c r="A500" s="10">
        <v>45763</v>
      </c>
      <c r="B500" t="s">
        <v>18</v>
      </c>
      <c r="C500" t="s">
        <v>26</v>
      </c>
      <c r="D500" t="s">
        <v>23</v>
      </c>
      <c r="E500" t="s">
        <v>14</v>
      </c>
      <c r="F500" t="s">
        <v>38</v>
      </c>
      <c r="G500" t="s">
        <v>31</v>
      </c>
      <c r="H500">
        <v>420000</v>
      </c>
      <c r="I500">
        <v>10</v>
      </c>
      <c r="J500" t="s">
        <v>35</v>
      </c>
      <c r="K500">
        <v>336000</v>
      </c>
    </row>
    <row r="501" spans="1:11" x14ac:dyDescent="0.25">
      <c r="A501" s="10">
        <v>45671</v>
      </c>
      <c r="B501" t="s">
        <v>11</v>
      </c>
      <c r="C501" t="s">
        <v>32</v>
      </c>
      <c r="D501" t="s">
        <v>23</v>
      </c>
      <c r="E501" t="s">
        <v>14</v>
      </c>
      <c r="F501" t="s">
        <v>33</v>
      </c>
      <c r="G501" t="s">
        <v>22</v>
      </c>
      <c r="H501">
        <v>180000</v>
      </c>
      <c r="I501">
        <v>6</v>
      </c>
      <c r="J501" t="s">
        <v>24</v>
      </c>
      <c r="K501">
        <v>144000</v>
      </c>
    </row>
    <row r="502" spans="1:11" x14ac:dyDescent="0.25">
      <c r="A502" s="10">
        <v>45724</v>
      </c>
      <c r="B502" t="s">
        <v>18</v>
      </c>
      <c r="C502" t="s">
        <v>32</v>
      </c>
      <c r="D502" t="s">
        <v>13</v>
      </c>
      <c r="E502" t="s">
        <v>20</v>
      </c>
      <c r="F502" t="s">
        <v>15</v>
      </c>
      <c r="G502" t="s">
        <v>16</v>
      </c>
      <c r="H502">
        <v>85000</v>
      </c>
      <c r="I502">
        <v>4</v>
      </c>
      <c r="J502" t="s">
        <v>35</v>
      </c>
      <c r="K502">
        <v>68000</v>
      </c>
    </row>
    <row r="503" spans="1:11" x14ac:dyDescent="0.25">
      <c r="A503" s="10">
        <v>45708</v>
      </c>
      <c r="B503" t="s">
        <v>29</v>
      </c>
      <c r="C503" t="s">
        <v>26</v>
      </c>
      <c r="D503" t="s">
        <v>23</v>
      </c>
      <c r="E503" t="s">
        <v>14</v>
      </c>
      <c r="F503" t="s">
        <v>30</v>
      </c>
      <c r="G503" t="s">
        <v>31</v>
      </c>
      <c r="H503">
        <v>300000</v>
      </c>
      <c r="I503">
        <v>4</v>
      </c>
      <c r="J503" t="s">
        <v>37</v>
      </c>
      <c r="K503">
        <v>240000</v>
      </c>
    </row>
    <row r="504" spans="1:11" x14ac:dyDescent="0.25">
      <c r="A504" s="10">
        <v>45685</v>
      </c>
      <c r="B504" t="s">
        <v>25</v>
      </c>
      <c r="C504" t="s">
        <v>32</v>
      </c>
      <c r="D504" t="s">
        <v>13</v>
      </c>
      <c r="E504" t="s">
        <v>14</v>
      </c>
      <c r="F504" t="s">
        <v>15</v>
      </c>
      <c r="G504" t="s">
        <v>16</v>
      </c>
      <c r="H504">
        <v>85000</v>
      </c>
      <c r="I504">
        <v>3</v>
      </c>
      <c r="J504" t="s">
        <v>35</v>
      </c>
      <c r="K504">
        <v>68000</v>
      </c>
    </row>
    <row r="505" spans="1:11" x14ac:dyDescent="0.25">
      <c r="A505" s="10">
        <v>45696</v>
      </c>
      <c r="B505" t="s">
        <v>29</v>
      </c>
      <c r="C505" t="s">
        <v>12</v>
      </c>
      <c r="D505" t="s">
        <v>13</v>
      </c>
      <c r="E505" t="s">
        <v>20</v>
      </c>
      <c r="F505" t="s">
        <v>41</v>
      </c>
      <c r="G505" t="s">
        <v>22</v>
      </c>
      <c r="H505">
        <v>220000</v>
      </c>
      <c r="I505">
        <v>9</v>
      </c>
      <c r="J505" t="s">
        <v>37</v>
      </c>
      <c r="K505">
        <v>176000</v>
      </c>
    </row>
    <row r="506" spans="1:11" x14ac:dyDescent="0.25">
      <c r="A506" s="10">
        <v>45748</v>
      </c>
      <c r="B506" t="s">
        <v>11</v>
      </c>
      <c r="C506" t="s">
        <v>26</v>
      </c>
      <c r="D506" t="s">
        <v>23</v>
      </c>
      <c r="E506" t="s">
        <v>14</v>
      </c>
      <c r="F506" t="s">
        <v>33</v>
      </c>
      <c r="G506" t="s">
        <v>22</v>
      </c>
      <c r="H506">
        <v>180000</v>
      </c>
      <c r="I506">
        <v>3</v>
      </c>
      <c r="J506" t="s">
        <v>35</v>
      </c>
      <c r="K506">
        <v>144000</v>
      </c>
    </row>
    <row r="507" spans="1:11" x14ac:dyDescent="0.25">
      <c r="A507" s="10">
        <v>45738</v>
      </c>
      <c r="B507" t="s">
        <v>18</v>
      </c>
      <c r="C507" t="s">
        <v>19</v>
      </c>
      <c r="D507" t="s">
        <v>23</v>
      </c>
      <c r="E507" t="s">
        <v>20</v>
      </c>
      <c r="F507" t="s">
        <v>30</v>
      </c>
      <c r="G507" t="s">
        <v>31</v>
      </c>
      <c r="H507">
        <v>300000</v>
      </c>
      <c r="I507">
        <v>9</v>
      </c>
      <c r="J507" t="s">
        <v>24</v>
      </c>
      <c r="K507">
        <v>240000</v>
      </c>
    </row>
    <row r="508" spans="1:11" x14ac:dyDescent="0.25">
      <c r="A508" s="10">
        <v>45743</v>
      </c>
      <c r="B508" t="s">
        <v>29</v>
      </c>
      <c r="C508" t="s">
        <v>12</v>
      </c>
      <c r="D508" t="s">
        <v>23</v>
      </c>
      <c r="E508" t="s">
        <v>20</v>
      </c>
      <c r="F508" t="s">
        <v>36</v>
      </c>
      <c r="G508" t="s">
        <v>31</v>
      </c>
      <c r="H508">
        <v>150000</v>
      </c>
      <c r="I508">
        <v>4</v>
      </c>
      <c r="J508" t="s">
        <v>28</v>
      </c>
      <c r="K508">
        <v>120000</v>
      </c>
    </row>
    <row r="509" spans="1:11" x14ac:dyDescent="0.25">
      <c r="A509" s="10">
        <v>45685</v>
      </c>
      <c r="B509" t="s">
        <v>18</v>
      </c>
      <c r="C509" t="s">
        <v>32</v>
      </c>
      <c r="D509" t="s">
        <v>23</v>
      </c>
      <c r="E509" t="s">
        <v>20</v>
      </c>
      <c r="F509" t="s">
        <v>34</v>
      </c>
      <c r="G509" t="s">
        <v>16</v>
      </c>
      <c r="H509">
        <v>320000</v>
      </c>
      <c r="I509">
        <v>8</v>
      </c>
      <c r="J509" t="s">
        <v>37</v>
      </c>
      <c r="K509">
        <v>256000</v>
      </c>
    </row>
    <row r="510" spans="1:11" x14ac:dyDescent="0.25">
      <c r="A510" s="10">
        <v>45667</v>
      </c>
      <c r="B510" t="s">
        <v>29</v>
      </c>
      <c r="C510" t="s">
        <v>32</v>
      </c>
      <c r="D510" t="s">
        <v>13</v>
      </c>
      <c r="E510" t="s">
        <v>14</v>
      </c>
      <c r="F510" t="s">
        <v>34</v>
      </c>
      <c r="G510" t="s">
        <v>16</v>
      </c>
      <c r="H510">
        <v>320000</v>
      </c>
      <c r="I510">
        <v>7</v>
      </c>
      <c r="J510" t="s">
        <v>39</v>
      </c>
      <c r="K510">
        <v>256000</v>
      </c>
    </row>
    <row r="511" spans="1:11" x14ac:dyDescent="0.25">
      <c r="A511" s="10">
        <v>45733</v>
      </c>
      <c r="B511" t="s">
        <v>18</v>
      </c>
      <c r="C511" t="s">
        <v>32</v>
      </c>
      <c r="D511" t="s">
        <v>13</v>
      </c>
      <c r="E511" t="s">
        <v>20</v>
      </c>
      <c r="F511" t="s">
        <v>41</v>
      </c>
      <c r="G511" t="s">
        <v>22</v>
      </c>
      <c r="H511">
        <v>220000</v>
      </c>
      <c r="I511">
        <v>10</v>
      </c>
      <c r="J511" t="s">
        <v>28</v>
      </c>
      <c r="K511">
        <v>176000</v>
      </c>
    </row>
    <row r="512" spans="1:11" x14ac:dyDescent="0.25">
      <c r="A512" s="10">
        <v>45719</v>
      </c>
      <c r="B512" t="s">
        <v>25</v>
      </c>
      <c r="C512" t="s">
        <v>19</v>
      </c>
      <c r="D512" t="s">
        <v>13</v>
      </c>
      <c r="E512" t="s">
        <v>20</v>
      </c>
      <c r="F512" t="s">
        <v>21</v>
      </c>
      <c r="G512" t="s">
        <v>22</v>
      </c>
      <c r="H512">
        <v>30000</v>
      </c>
      <c r="I512">
        <v>7</v>
      </c>
      <c r="J512" t="s">
        <v>28</v>
      </c>
      <c r="K512">
        <v>24000</v>
      </c>
    </row>
    <row r="513" spans="1:11" x14ac:dyDescent="0.25">
      <c r="A513" s="10">
        <v>45761</v>
      </c>
      <c r="B513" t="s">
        <v>18</v>
      </c>
      <c r="C513" t="s">
        <v>26</v>
      </c>
      <c r="D513" t="s">
        <v>13</v>
      </c>
      <c r="E513" t="s">
        <v>14</v>
      </c>
      <c r="F513" t="s">
        <v>34</v>
      </c>
      <c r="G513" t="s">
        <v>16</v>
      </c>
      <c r="H513">
        <v>320000</v>
      </c>
      <c r="I513">
        <v>2</v>
      </c>
      <c r="J513" t="s">
        <v>28</v>
      </c>
      <c r="K513">
        <v>256000</v>
      </c>
    </row>
    <row r="514" spans="1:11" x14ac:dyDescent="0.25">
      <c r="A514" s="10">
        <v>45670</v>
      </c>
      <c r="B514" t="s">
        <v>29</v>
      </c>
      <c r="C514" t="s">
        <v>26</v>
      </c>
      <c r="D514" t="s">
        <v>23</v>
      </c>
      <c r="E514" t="s">
        <v>20</v>
      </c>
      <c r="F514" t="s">
        <v>30</v>
      </c>
      <c r="G514" t="s">
        <v>31</v>
      </c>
      <c r="H514">
        <v>300000</v>
      </c>
      <c r="I514">
        <v>3</v>
      </c>
      <c r="J514" t="s">
        <v>37</v>
      </c>
      <c r="K514">
        <v>240000</v>
      </c>
    </row>
    <row r="515" spans="1:11" x14ac:dyDescent="0.25">
      <c r="A515" s="10">
        <v>45776</v>
      </c>
      <c r="B515" t="s">
        <v>25</v>
      </c>
      <c r="C515" t="s">
        <v>12</v>
      </c>
      <c r="D515" t="s">
        <v>13</v>
      </c>
      <c r="E515" t="s">
        <v>14</v>
      </c>
      <c r="F515" t="s">
        <v>30</v>
      </c>
      <c r="G515" t="s">
        <v>31</v>
      </c>
      <c r="H515">
        <v>300000</v>
      </c>
      <c r="I515">
        <v>3</v>
      </c>
      <c r="J515" t="s">
        <v>28</v>
      </c>
      <c r="K515">
        <v>240000</v>
      </c>
    </row>
    <row r="516" spans="1:11" x14ac:dyDescent="0.25">
      <c r="A516" s="10">
        <v>45700</v>
      </c>
      <c r="B516" t="s">
        <v>25</v>
      </c>
      <c r="C516" t="s">
        <v>32</v>
      </c>
      <c r="D516" t="s">
        <v>13</v>
      </c>
      <c r="E516" t="s">
        <v>20</v>
      </c>
      <c r="F516" t="s">
        <v>36</v>
      </c>
      <c r="G516" t="s">
        <v>31</v>
      </c>
      <c r="H516">
        <v>150000</v>
      </c>
      <c r="I516">
        <v>10</v>
      </c>
      <c r="J516" t="s">
        <v>28</v>
      </c>
      <c r="K516">
        <v>120000</v>
      </c>
    </row>
    <row r="517" spans="1:11" x14ac:dyDescent="0.25">
      <c r="A517" s="10">
        <v>45752</v>
      </c>
      <c r="B517" t="s">
        <v>25</v>
      </c>
      <c r="C517" t="s">
        <v>19</v>
      </c>
      <c r="D517" t="s">
        <v>23</v>
      </c>
      <c r="E517" t="s">
        <v>20</v>
      </c>
      <c r="F517" t="s">
        <v>21</v>
      </c>
      <c r="G517" t="s">
        <v>22</v>
      </c>
      <c r="H517">
        <v>30000</v>
      </c>
      <c r="I517">
        <v>7</v>
      </c>
      <c r="J517" t="s">
        <v>35</v>
      </c>
      <c r="K517">
        <v>24000</v>
      </c>
    </row>
    <row r="518" spans="1:11" x14ac:dyDescent="0.25">
      <c r="A518" s="10">
        <v>45765</v>
      </c>
      <c r="B518" t="s">
        <v>11</v>
      </c>
      <c r="C518" t="s">
        <v>12</v>
      </c>
      <c r="D518" t="s">
        <v>13</v>
      </c>
      <c r="E518" t="s">
        <v>14</v>
      </c>
      <c r="F518" t="s">
        <v>27</v>
      </c>
      <c r="G518" t="s">
        <v>22</v>
      </c>
      <c r="H518">
        <v>60000</v>
      </c>
      <c r="I518">
        <v>2</v>
      </c>
      <c r="J518" t="s">
        <v>37</v>
      </c>
      <c r="K518">
        <v>48000</v>
      </c>
    </row>
    <row r="519" spans="1:11" x14ac:dyDescent="0.25">
      <c r="A519" s="10">
        <v>45668</v>
      </c>
      <c r="B519" t="s">
        <v>18</v>
      </c>
      <c r="C519" t="s">
        <v>19</v>
      </c>
      <c r="D519" t="s">
        <v>13</v>
      </c>
      <c r="E519" t="s">
        <v>14</v>
      </c>
      <c r="F519" t="s">
        <v>30</v>
      </c>
      <c r="G519" t="s">
        <v>31</v>
      </c>
      <c r="H519">
        <v>300000</v>
      </c>
      <c r="I519">
        <v>8</v>
      </c>
      <c r="J519" t="s">
        <v>17</v>
      </c>
      <c r="K519">
        <v>240000</v>
      </c>
    </row>
    <row r="520" spans="1:11" x14ac:dyDescent="0.25">
      <c r="A520" s="10">
        <v>45747</v>
      </c>
      <c r="B520" t="s">
        <v>29</v>
      </c>
      <c r="C520" t="s">
        <v>19</v>
      </c>
      <c r="D520" t="s">
        <v>23</v>
      </c>
      <c r="E520" t="s">
        <v>20</v>
      </c>
      <c r="F520" t="s">
        <v>21</v>
      </c>
      <c r="G520" t="s">
        <v>22</v>
      </c>
      <c r="H520">
        <v>30000</v>
      </c>
      <c r="I520">
        <v>6</v>
      </c>
      <c r="J520" t="s">
        <v>28</v>
      </c>
      <c r="K520">
        <v>24000</v>
      </c>
    </row>
    <row r="521" spans="1:11" x14ac:dyDescent="0.25">
      <c r="A521" s="10">
        <v>45700</v>
      </c>
      <c r="B521" t="s">
        <v>11</v>
      </c>
      <c r="C521" t="s">
        <v>19</v>
      </c>
      <c r="D521" t="s">
        <v>23</v>
      </c>
      <c r="E521" t="s">
        <v>14</v>
      </c>
      <c r="F521" t="s">
        <v>40</v>
      </c>
      <c r="G521" t="s">
        <v>31</v>
      </c>
      <c r="H521">
        <v>250000</v>
      </c>
      <c r="I521">
        <v>6</v>
      </c>
      <c r="J521" t="s">
        <v>24</v>
      </c>
      <c r="K521">
        <v>200000</v>
      </c>
    </row>
    <row r="522" spans="1:11" x14ac:dyDescent="0.25">
      <c r="A522" s="10">
        <v>45718</v>
      </c>
      <c r="B522" t="s">
        <v>18</v>
      </c>
      <c r="C522" t="s">
        <v>32</v>
      </c>
      <c r="D522" t="s">
        <v>13</v>
      </c>
      <c r="E522" t="s">
        <v>14</v>
      </c>
      <c r="F522" t="s">
        <v>38</v>
      </c>
      <c r="G522" t="s">
        <v>31</v>
      </c>
      <c r="H522">
        <v>420000</v>
      </c>
      <c r="I522">
        <v>10</v>
      </c>
      <c r="J522" t="s">
        <v>35</v>
      </c>
      <c r="K522">
        <v>336000</v>
      </c>
    </row>
    <row r="523" spans="1:11" x14ac:dyDescent="0.25">
      <c r="A523" s="10">
        <v>45726</v>
      </c>
      <c r="B523" t="s">
        <v>25</v>
      </c>
      <c r="C523" t="s">
        <v>32</v>
      </c>
      <c r="D523" t="s">
        <v>13</v>
      </c>
      <c r="E523" t="s">
        <v>14</v>
      </c>
      <c r="F523" t="s">
        <v>27</v>
      </c>
      <c r="G523" t="s">
        <v>22</v>
      </c>
      <c r="H523">
        <v>60000</v>
      </c>
      <c r="I523">
        <v>9</v>
      </c>
      <c r="J523" t="s">
        <v>39</v>
      </c>
      <c r="K523">
        <v>48000</v>
      </c>
    </row>
    <row r="524" spans="1:11" x14ac:dyDescent="0.25">
      <c r="A524" s="10">
        <v>45671</v>
      </c>
      <c r="B524" t="s">
        <v>18</v>
      </c>
      <c r="C524" t="s">
        <v>26</v>
      </c>
      <c r="D524" t="s">
        <v>23</v>
      </c>
      <c r="E524" t="s">
        <v>20</v>
      </c>
      <c r="F524" t="s">
        <v>33</v>
      </c>
      <c r="G524" t="s">
        <v>22</v>
      </c>
      <c r="H524">
        <v>180000</v>
      </c>
      <c r="I524">
        <v>4</v>
      </c>
      <c r="J524" t="s">
        <v>17</v>
      </c>
      <c r="K524">
        <v>144000</v>
      </c>
    </row>
    <row r="525" spans="1:11" x14ac:dyDescent="0.25">
      <c r="A525" s="10">
        <v>45705</v>
      </c>
      <c r="B525" t="s">
        <v>29</v>
      </c>
      <c r="C525" t="s">
        <v>26</v>
      </c>
      <c r="D525" t="s">
        <v>13</v>
      </c>
      <c r="E525" t="s">
        <v>20</v>
      </c>
      <c r="F525" t="s">
        <v>33</v>
      </c>
      <c r="G525" t="s">
        <v>22</v>
      </c>
      <c r="H525">
        <v>180000</v>
      </c>
      <c r="I525">
        <v>10</v>
      </c>
      <c r="J525" t="s">
        <v>17</v>
      </c>
      <c r="K525">
        <v>144000</v>
      </c>
    </row>
    <row r="526" spans="1:11" x14ac:dyDescent="0.25">
      <c r="A526" s="10">
        <v>45750</v>
      </c>
      <c r="B526" t="s">
        <v>29</v>
      </c>
      <c r="C526" t="s">
        <v>19</v>
      </c>
      <c r="D526" t="s">
        <v>23</v>
      </c>
      <c r="E526" t="s">
        <v>14</v>
      </c>
      <c r="F526" t="s">
        <v>21</v>
      </c>
      <c r="G526" t="s">
        <v>22</v>
      </c>
      <c r="H526">
        <v>30000</v>
      </c>
      <c r="I526">
        <v>1</v>
      </c>
      <c r="J526" t="s">
        <v>37</v>
      </c>
      <c r="K526">
        <v>24000</v>
      </c>
    </row>
    <row r="527" spans="1:11" x14ac:dyDescent="0.25">
      <c r="A527" s="10">
        <v>45766</v>
      </c>
      <c r="B527" t="s">
        <v>18</v>
      </c>
      <c r="C527" t="s">
        <v>26</v>
      </c>
      <c r="D527" t="s">
        <v>13</v>
      </c>
      <c r="E527" t="s">
        <v>20</v>
      </c>
      <c r="F527" t="s">
        <v>38</v>
      </c>
      <c r="G527" t="s">
        <v>31</v>
      </c>
      <c r="H527">
        <v>420000</v>
      </c>
      <c r="I527">
        <v>3</v>
      </c>
      <c r="J527" t="s">
        <v>35</v>
      </c>
      <c r="K527">
        <v>336000</v>
      </c>
    </row>
    <row r="528" spans="1:11" x14ac:dyDescent="0.25">
      <c r="A528" s="10">
        <v>45754</v>
      </c>
      <c r="B528" t="s">
        <v>18</v>
      </c>
      <c r="C528" t="s">
        <v>12</v>
      </c>
      <c r="D528" t="s">
        <v>13</v>
      </c>
      <c r="E528" t="s">
        <v>20</v>
      </c>
      <c r="F528" t="s">
        <v>21</v>
      </c>
      <c r="G528" t="s">
        <v>22</v>
      </c>
      <c r="H528">
        <v>30000</v>
      </c>
      <c r="I528">
        <v>8</v>
      </c>
      <c r="J528" t="s">
        <v>35</v>
      </c>
      <c r="K528">
        <v>24000</v>
      </c>
    </row>
    <row r="529" spans="1:11" x14ac:dyDescent="0.25">
      <c r="A529" s="10">
        <v>45739</v>
      </c>
      <c r="B529" t="s">
        <v>25</v>
      </c>
      <c r="C529" t="s">
        <v>32</v>
      </c>
      <c r="D529" t="s">
        <v>23</v>
      </c>
      <c r="E529" t="s">
        <v>14</v>
      </c>
      <c r="F529" t="s">
        <v>34</v>
      </c>
      <c r="G529" t="s">
        <v>16</v>
      </c>
      <c r="H529">
        <v>320000</v>
      </c>
      <c r="I529">
        <v>2</v>
      </c>
      <c r="J529" t="s">
        <v>28</v>
      </c>
      <c r="K529">
        <v>256000</v>
      </c>
    </row>
    <row r="530" spans="1:11" x14ac:dyDescent="0.25">
      <c r="A530" s="10">
        <v>45775</v>
      </c>
      <c r="B530" t="s">
        <v>11</v>
      </c>
      <c r="C530" t="s">
        <v>19</v>
      </c>
      <c r="D530" t="s">
        <v>23</v>
      </c>
      <c r="E530" t="s">
        <v>20</v>
      </c>
      <c r="F530" t="s">
        <v>36</v>
      </c>
      <c r="G530" t="s">
        <v>31</v>
      </c>
      <c r="H530">
        <v>150000</v>
      </c>
      <c r="I530">
        <v>10</v>
      </c>
      <c r="J530" t="s">
        <v>28</v>
      </c>
      <c r="K530">
        <v>120000</v>
      </c>
    </row>
    <row r="531" spans="1:11" x14ac:dyDescent="0.25">
      <c r="A531" s="10">
        <v>45752</v>
      </c>
      <c r="B531" t="s">
        <v>29</v>
      </c>
      <c r="C531" t="s">
        <v>26</v>
      </c>
      <c r="D531" t="s">
        <v>23</v>
      </c>
      <c r="E531" t="s">
        <v>14</v>
      </c>
      <c r="F531" t="s">
        <v>40</v>
      </c>
      <c r="G531" t="s">
        <v>31</v>
      </c>
      <c r="H531">
        <v>250000</v>
      </c>
      <c r="I531">
        <v>9</v>
      </c>
      <c r="J531" t="s">
        <v>24</v>
      </c>
      <c r="K531">
        <v>200000</v>
      </c>
    </row>
    <row r="532" spans="1:11" x14ac:dyDescent="0.25">
      <c r="A532" s="10">
        <v>45759</v>
      </c>
      <c r="B532" t="s">
        <v>25</v>
      </c>
      <c r="C532" t="s">
        <v>26</v>
      </c>
      <c r="D532" t="s">
        <v>23</v>
      </c>
      <c r="E532" t="s">
        <v>20</v>
      </c>
      <c r="F532" t="s">
        <v>41</v>
      </c>
      <c r="G532" t="s">
        <v>22</v>
      </c>
      <c r="H532">
        <v>220000</v>
      </c>
      <c r="I532">
        <v>5</v>
      </c>
      <c r="J532" t="s">
        <v>24</v>
      </c>
      <c r="K532">
        <v>176000</v>
      </c>
    </row>
    <row r="533" spans="1:11" x14ac:dyDescent="0.25">
      <c r="A533" s="10">
        <v>45745</v>
      </c>
      <c r="B533" t="s">
        <v>11</v>
      </c>
      <c r="C533" t="s">
        <v>26</v>
      </c>
      <c r="D533" t="s">
        <v>13</v>
      </c>
      <c r="E533" t="s">
        <v>20</v>
      </c>
      <c r="F533" t="s">
        <v>36</v>
      </c>
      <c r="G533" t="s">
        <v>31</v>
      </c>
      <c r="H533">
        <v>150000</v>
      </c>
      <c r="I533">
        <v>5</v>
      </c>
      <c r="J533" t="s">
        <v>17</v>
      </c>
      <c r="K533">
        <v>120000</v>
      </c>
    </row>
    <row r="534" spans="1:11" x14ac:dyDescent="0.25">
      <c r="A534" s="10">
        <v>45690</v>
      </c>
      <c r="B534" t="s">
        <v>18</v>
      </c>
      <c r="C534" t="s">
        <v>32</v>
      </c>
      <c r="D534" t="s">
        <v>23</v>
      </c>
      <c r="E534" t="s">
        <v>20</v>
      </c>
      <c r="F534" t="s">
        <v>41</v>
      </c>
      <c r="G534" t="s">
        <v>22</v>
      </c>
      <c r="H534">
        <v>220000</v>
      </c>
      <c r="I534">
        <v>8</v>
      </c>
      <c r="J534" t="s">
        <v>37</v>
      </c>
      <c r="K534">
        <v>176000</v>
      </c>
    </row>
    <row r="535" spans="1:11" x14ac:dyDescent="0.25">
      <c r="A535" s="10">
        <v>45731</v>
      </c>
      <c r="B535" t="s">
        <v>18</v>
      </c>
      <c r="C535" t="s">
        <v>19</v>
      </c>
      <c r="D535" t="s">
        <v>13</v>
      </c>
      <c r="E535" t="s">
        <v>14</v>
      </c>
      <c r="F535" t="s">
        <v>15</v>
      </c>
      <c r="G535" t="s">
        <v>16</v>
      </c>
      <c r="H535">
        <v>85000</v>
      </c>
      <c r="I535">
        <v>4</v>
      </c>
      <c r="J535" t="s">
        <v>35</v>
      </c>
      <c r="K535">
        <v>68000</v>
      </c>
    </row>
    <row r="536" spans="1:11" x14ac:dyDescent="0.25">
      <c r="A536" s="10">
        <v>45751</v>
      </c>
      <c r="B536" t="s">
        <v>25</v>
      </c>
      <c r="C536" t="s">
        <v>26</v>
      </c>
      <c r="D536" t="s">
        <v>13</v>
      </c>
      <c r="E536" t="s">
        <v>14</v>
      </c>
      <c r="F536" t="s">
        <v>34</v>
      </c>
      <c r="G536" t="s">
        <v>16</v>
      </c>
      <c r="H536">
        <v>320000</v>
      </c>
      <c r="I536">
        <v>4</v>
      </c>
      <c r="J536" t="s">
        <v>35</v>
      </c>
      <c r="K536">
        <v>256000</v>
      </c>
    </row>
    <row r="537" spans="1:11" x14ac:dyDescent="0.25">
      <c r="A537" s="10">
        <v>45660</v>
      </c>
      <c r="B537" t="s">
        <v>18</v>
      </c>
      <c r="C537" t="s">
        <v>26</v>
      </c>
      <c r="D537" t="s">
        <v>23</v>
      </c>
      <c r="E537" t="s">
        <v>14</v>
      </c>
      <c r="F537" t="s">
        <v>40</v>
      </c>
      <c r="G537" t="s">
        <v>31</v>
      </c>
      <c r="H537">
        <v>250000</v>
      </c>
      <c r="I537">
        <v>2</v>
      </c>
      <c r="J537" t="s">
        <v>24</v>
      </c>
      <c r="K537">
        <v>200000</v>
      </c>
    </row>
    <row r="538" spans="1:11" x14ac:dyDescent="0.25">
      <c r="A538" s="10">
        <v>45664</v>
      </c>
      <c r="B538" t="s">
        <v>18</v>
      </c>
      <c r="C538" t="s">
        <v>12</v>
      </c>
      <c r="D538" t="s">
        <v>13</v>
      </c>
      <c r="E538" t="s">
        <v>14</v>
      </c>
      <c r="F538" t="s">
        <v>30</v>
      </c>
      <c r="G538" t="s">
        <v>31</v>
      </c>
      <c r="H538">
        <v>300000</v>
      </c>
      <c r="I538">
        <v>5</v>
      </c>
      <c r="J538" t="s">
        <v>24</v>
      </c>
      <c r="K538">
        <v>240000</v>
      </c>
    </row>
    <row r="539" spans="1:11" x14ac:dyDescent="0.25">
      <c r="A539" s="10">
        <v>45703</v>
      </c>
      <c r="B539" t="s">
        <v>18</v>
      </c>
      <c r="C539" t="s">
        <v>26</v>
      </c>
      <c r="D539" t="s">
        <v>13</v>
      </c>
      <c r="E539" t="s">
        <v>14</v>
      </c>
      <c r="F539" t="s">
        <v>27</v>
      </c>
      <c r="G539" t="s">
        <v>22</v>
      </c>
      <c r="H539">
        <v>60000</v>
      </c>
      <c r="I539">
        <v>9</v>
      </c>
      <c r="J539" t="s">
        <v>28</v>
      </c>
      <c r="K539">
        <v>48000</v>
      </c>
    </row>
    <row r="540" spans="1:11" x14ac:dyDescent="0.25">
      <c r="A540" s="10">
        <v>45679</v>
      </c>
      <c r="B540" t="s">
        <v>18</v>
      </c>
      <c r="C540" t="s">
        <v>26</v>
      </c>
      <c r="D540" t="s">
        <v>23</v>
      </c>
      <c r="E540" t="s">
        <v>14</v>
      </c>
      <c r="F540" t="s">
        <v>36</v>
      </c>
      <c r="G540" t="s">
        <v>31</v>
      </c>
      <c r="H540">
        <v>150000</v>
      </c>
      <c r="I540">
        <v>6</v>
      </c>
      <c r="J540" t="s">
        <v>28</v>
      </c>
      <c r="K540">
        <v>120000</v>
      </c>
    </row>
    <row r="541" spans="1:11" x14ac:dyDescent="0.25">
      <c r="A541" s="10">
        <v>45673</v>
      </c>
      <c r="B541" t="s">
        <v>25</v>
      </c>
      <c r="C541" t="s">
        <v>26</v>
      </c>
      <c r="D541" t="s">
        <v>23</v>
      </c>
      <c r="E541" t="s">
        <v>20</v>
      </c>
      <c r="F541" t="s">
        <v>15</v>
      </c>
      <c r="G541" t="s">
        <v>16</v>
      </c>
      <c r="H541">
        <v>85000</v>
      </c>
      <c r="I541">
        <v>3</v>
      </c>
      <c r="J541" t="s">
        <v>35</v>
      </c>
      <c r="K541">
        <v>68000</v>
      </c>
    </row>
    <row r="542" spans="1:11" x14ac:dyDescent="0.25">
      <c r="A542" s="10">
        <v>45726</v>
      </c>
      <c r="B542" t="s">
        <v>25</v>
      </c>
      <c r="C542" t="s">
        <v>19</v>
      </c>
      <c r="D542" t="s">
        <v>23</v>
      </c>
      <c r="E542" t="s">
        <v>20</v>
      </c>
      <c r="F542" t="s">
        <v>34</v>
      </c>
      <c r="G542" t="s">
        <v>16</v>
      </c>
      <c r="H542">
        <v>320000</v>
      </c>
      <c r="I542">
        <v>8</v>
      </c>
      <c r="J542" t="s">
        <v>28</v>
      </c>
      <c r="K542">
        <v>256000</v>
      </c>
    </row>
    <row r="543" spans="1:11" x14ac:dyDescent="0.25">
      <c r="A543" s="10">
        <v>45746</v>
      </c>
      <c r="B543" t="s">
        <v>18</v>
      </c>
      <c r="C543" t="s">
        <v>12</v>
      </c>
      <c r="D543" t="s">
        <v>23</v>
      </c>
      <c r="E543" t="s">
        <v>14</v>
      </c>
      <c r="F543" t="s">
        <v>40</v>
      </c>
      <c r="G543" t="s">
        <v>31</v>
      </c>
      <c r="H543">
        <v>250000</v>
      </c>
      <c r="I543">
        <v>1</v>
      </c>
      <c r="J543" t="s">
        <v>35</v>
      </c>
      <c r="K543">
        <v>200000</v>
      </c>
    </row>
    <row r="544" spans="1:11" x14ac:dyDescent="0.25">
      <c r="A544" s="10">
        <v>45741</v>
      </c>
      <c r="B544" t="s">
        <v>11</v>
      </c>
      <c r="C544" t="s">
        <v>19</v>
      </c>
      <c r="D544" t="s">
        <v>23</v>
      </c>
      <c r="E544" t="s">
        <v>20</v>
      </c>
      <c r="F544" t="s">
        <v>33</v>
      </c>
      <c r="G544" t="s">
        <v>22</v>
      </c>
      <c r="H544">
        <v>180000</v>
      </c>
      <c r="I544">
        <v>4</v>
      </c>
      <c r="J544" t="s">
        <v>17</v>
      </c>
      <c r="K544">
        <v>144000</v>
      </c>
    </row>
    <row r="545" spans="1:11" x14ac:dyDescent="0.25">
      <c r="A545" s="10">
        <v>45666</v>
      </c>
      <c r="B545" t="s">
        <v>18</v>
      </c>
      <c r="C545" t="s">
        <v>26</v>
      </c>
      <c r="D545" t="s">
        <v>13</v>
      </c>
      <c r="E545" t="s">
        <v>14</v>
      </c>
      <c r="F545" t="s">
        <v>27</v>
      </c>
      <c r="G545" t="s">
        <v>22</v>
      </c>
      <c r="H545">
        <v>60000</v>
      </c>
      <c r="I545">
        <v>6</v>
      </c>
      <c r="J545" t="s">
        <v>39</v>
      </c>
      <c r="K545">
        <v>48000</v>
      </c>
    </row>
    <row r="546" spans="1:11" x14ac:dyDescent="0.25">
      <c r="A546" s="10">
        <v>45684</v>
      </c>
      <c r="B546" t="s">
        <v>29</v>
      </c>
      <c r="C546" t="s">
        <v>32</v>
      </c>
      <c r="D546" t="s">
        <v>13</v>
      </c>
      <c r="E546" t="s">
        <v>20</v>
      </c>
      <c r="F546" t="s">
        <v>33</v>
      </c>
      <c r="G546" t="s">
        <v>22</v>
      </c>
      <c r="H546">
        <v>180000</v>
      </c>
      <c r="I546">
        <v>7</v>
      </c>
      <c r="J546" t="s">
        <v>17</v>
      </c>
      <c r="K546">
        <v>144000</v>
      </c>
    </row>
    <row r="547" spans="1:11" x14ac:dyDescent="0.25">
      <c r="A547" s="10">
        <v>45686</v>
      </c>
      <c r="B547" t="s">
        <v>29</v>
      </c>
      <c r="C547" t="s">
        <v>19</v>
      </c>
      <c r="D547" t="s">
        <v>13</v>
      </c>
      <c r="E547" t="s">
        <v>14</v>
      </c>
      <c r="F547" t="s">
        <v>36</v>
      </c>
      <c r="G547" t="s">
        <v>31</v>
      </c>
      <c r="H547">
        <v>150000</v>
      </c>
      <c r="I547">
        <v>10</v>
      </c>
      <c r="J547" t="s">
        <v>37</v>
      </c>
      <c r="K547">
        <v>120000</v>
      </c>
    </row>
    <row r="548" spans="1:11" x14ac:dyDescent="0.25">
      <c r="A548" s="10">
        <v>45747</v>
      </c>
      <c r="B548" t="s">
        <v>18</v>
      </c>
      <c r="C548" t="s">
        <v>26</v>
      </c>
      <c r="D548" t="s">
        <v>13</v>
      </c>
      <c r="E548" t="s">
        <v>20</v>
      </c>
      <c r="F548" t="s">
        <v>34</v>
      </c>
      <c r="G548" t="s">
        <v>16</v>
      </c>
      <c r="H548">
        <v>320000</v>
      </c>
      <c r="I548">
        <v>5</v>
      </c>
      <c r="J548" t="s">
        <v>37</v>
      </c>
      <c r="K548">
        <v>256000</v>
      </c>
    </row>
    <row r="549" spans="1:11" x14ac:dyDescent="0.25">
      <c r="A549" s="10">
        <v>45742</v>
      </c>
      <c r="B549" t="s">
        <v>11</v>
      </c>
      <c r="C549" t="s">
        <v>12</v>
      </c>
      <c r="D549" t="s">
        <v>23</v>
      </c>
      <c r="E549" t="s">
        <v>20</v>
      </c>
      <c r="F549" t="s">
        <v>36</v>
      </c>
      <c r="G549" t="s">
        <v>31</v>
      </c>
      <c r="H549">
        <v>150000</v>
      </c>
      <c r="I549">
        <v>7</v>
      </c>
      <c r="J549" t="s">
        <v>24</v>
      </c>
      <c r="K549">
        <v>120000</v>
      </c>
    </row>
    <row r="550" spans="1:11" x14ac:dyDescent="0.25">
      <c r="A550" s="10">
        <v>45772</v>
      </c>
      <c r="B550" t="s">
        <v>18</v>
      </c>
      <c r="C550" t="s">
        <v>12</v>
      </c>
      <c r="D550" t="s">
        <v>23</v>
      </c>
      <c r="E550" t="s">
        <v>14</v>
      </c>
      <c r="F550" t="s">
        <v>36</v>
      </c>
      <c r="G550" t="s">
        <v>31</v>
      </c>
      <c r="H550">
        <v>150000</v>
      </c>
      <c r="I550">
        <v>4</v>
      </c>
      <c r="J550" t="s">
        <v>37</v>
      </c>
      <c r="K550">
        <v>120000</v>
      </c>
    </row>
    <row r="551" spans="1:11" x14ac:dyDescent="0.25">
      <c r="A551" s="10">
        <v>45705</v>
      </c>
      <c r="B551" t="s">
        <v>29</v>
      </c>
      <c r="C551" t="s">
        <v>26</v>
      </c>
      <c r="D551" t="s">
        <v>23</v>
      </c>
      <c r="E551" t="s">
        <v>14</v>
      </c>
      <c r="F551" t="s">
        <v>30</v>
      </c>
      <c r="G551" t="s">
        <v>31</v>
      </c>
      <c r="H551">
        <v>300000</v>
      </c>
      <c r="I551">
        <v>6</v>
      </c>
      <c r="J551" t="s">
        <v>28</v>
      </c>
      <c r="K551">
        <v>240000</v>
      </c>
    </row>
    <row r="552" spans="1:11" x14ac:dyDescent="0.25">
      <c r="A552" s="10">
        <v>45701</v>
      </c>
      <c r="B552" t="s">
        <v>29</v>
      </c>
      <c r="C552" t="s">
        <v>12</v>
      </c>
      <c r="D552" t="s">
        <v>13</v>
      </c>
      <c r="E552" t="s">
        <v>20</v>
      </c>
      <c r="F552" t="s">
        <v>34</v>
      </c>
      <c r="G552" t="s">
        <v>16</v>
      </c>
      <c r="H552">
        <v>320000</v>
      </c>
      <c r="I552">
        <v>4</v>
      </c>
      <c r="J552" t="s">
        <v>28</v>
      </c>
      <c r="K552">
        <v>256000</v>
      </c>
    </row>
    <row r="553" spans="1:11" x14ac:dyDescent="0.25">
      <c r="A553" s="10">
        <v>45706</v>
      </c>
      <c r="B553" t="s">
        <v>25</v>
      </c>
      <c r="C553" t="s">
        <v>19</v>
      </c>
      <c r="D553" t="s">
        <v>23</v>
      </c>
      <c r="E553" t="s">
        <v>14</v>
      </c>
      <c r="F553" t="s">
        <v>21</v>
      </c>
      <c r="G553" t="s">
        <v>22</v>
      </c>
      <c r="H553">
        <v>30000</v>
      </c>
      <c r="I553">
        <v>4</v>
      </c>
      <c r="J553" t="s">
        <v>24</v>
      </c>
      <c r="K553">
        <v>24000</v>
      </c>
    </row>
    <row r="554" spans="1:11" x14ac:dyDescent="0.25">
      <c r="A554" s="10">
        <v>45686</v>
      </c>
      <c r="B554" t="s">
        <v>18</v>
      </c>
      <c r="C554" t="s">
        <v>26</v>
      </c>
      <c r="D554" t="s">
        <v>23</v>
      </c>
      <c r="E554" t="s">
        <v>14</v>
      </c>
      <c r="F554" t="s">
        <v>36</v>
      </c>
      <c r="G554" t="s">
        <v>31</v>
      </c>
      <c r="H554">
        <v>150000</v>
      </c>
      <c r="I554">
        <v>8</v>
      </c>
      <c r="J554" t="s">
        <v>39</v>
      </c>
      <c r="K554">
        <v>120000</v>
      </c>
    </row>
    <row r="555" spans="1:11" x14ac:dyDescent="0.25">
      <c r="A555" s="10">
        <v>45659</v>
      </c>
      <c r="B555" t="s">
        <v>25</v>
      </c>
      <c r="C555" t="s">
        <v>19</v>
      </c>
      <c r="D555" t="s">
        <v>13</v>
      </c>
      <c r="E555" t="s">
        <v>20</v>
      </c>
      <c r="F555" t="s">
        <v>40</v>
      </c>
      <c r="G555" t="s">
        <v>31</v>
      </c>
      <c r="H555">
        <v>250000</v>
      </c>
      <c r="I555">
        <v>8</v>
      </c>
      <c r="J555" t="s">
        <v>37</v>
      </c>
      <c r="K555">
        <v>200000</v>
      </c>
    </row>
    <row r="556" spans="1:11" x14ac:dyDescent="0.25">
      <c r="A556" s="10">
        <v>45733</v>
      </c>
      <c r="B556" t="s">
        <v>29</v>
      </c>
      <c r="C556" t="s">
        <v>19</v>
      </c>
      <c r="D556" t="s">
        <v>23</v>
      </c>
      <c r="E556" t="s">
        <v>14</v>
      </c>
      <c r="F556" t="s">
        <v>21</v>
      </c>
      <c r="G556" t="s">
        <v>22</v>
      </c>
      <c r="H556">
        <v>30000</v>
      </c>
      <c r="I556">
        <v>4</v>
      </c>
      <c r="J556" t="s">
        <v>39</v>
      </c>
      <c r="K556">
        <v>24000</v>
      </c>
    </row>
    <row r="557" spans="1:11" x14ac:dyDescent="0.25">
      <c r="A557" s="10">
        <v>45686</v>
      </c>
      <c r="B557" t="s">
        <v>25</v>
      </c>
      <c r="C557" t="s">
        <v>12</v>
      </c>
      <c r="D557" t="s">
        <v>23</v>
      </c>
      <c r="E557" t="s">
        <v>14</v>
      </c>
      <c r="F557" t="s">
        <v>38</v>
      </c>
      <c r="G557" t="s">
        <v>31</v>
      </c>
      <c r="H557">
        <v>420000</v>
      </c>
      <c r="I557">
        <v>2</v>
      </c>
      <c r="J557" t="s">
        <v>37</v>
      </c>
      <c r="K557">
        <v>336000</v>
      </c>
    </row>
    <row r="558" spans="1:11" x14ac:dyDescent="0.25">
      <c r="A558" s="10">
        <v>45747</v>
      </c>
      <c r="B558" t="s">
        <v>25</v>
      </c>
      <c r="C558" t="s">
        <v>12</v>
      </c>
      <c r="D558" t="s">
        <v>23</v>
      </c>
      <c r="E558" t="s">
        <v>20</v>
      </c>
      <c r="F558" t="s">
        <v>21</v>
      </c>
      <c r="G558" t="s">
        <v>22</v>
      </c>
      <c r="H558">
        <v>30000</v>
      </c>
      <c r="I558">
        <v>6</v>
      </c>
      <c r="J558" t="s">
        <v>37</v>
      </c>
      <c r="K558">
        <v>24000</v>
      </c>
    </row>
    <row r="559" spans="1:11" x14ac:dyDescent="0.25">
      <c r="A559" s="10">
        <v>45741</v>
      </c>
      <c r="B559" t="s">
        <v>29</v>
      </c>
      <c r="C559" t="s">
        <v>32</v>
      </c>
      <c r="D559" t="s">
        <v>23</v>
      </c>
      <c r="E559" t="s">
        <v>14</v>
      </c>
      <c r="F559" t="s">
        <v>41</v>
      </c>
      <c r="G559" t="s">
        <v>22</v>
      </c>
      <c r="H559">
        <v>220000</v>
      </c>
      <c r="I559">
        <v>2</v>
      </c>
      <c r="J559" t="s">
        <v>35</v>
      </c>
      <c r="K559">
        <v>176000</v>
      </c>
    </row>
    <row r="560" spans="1:11" x14ac:dyDescent="0.25">
      <c r="A560" s="10">
        <v>45690</v>
      </c>
      <c r="B560" t="s">
        <v>25</v>
      </c>
      <c r="C560" t="s">
        <v>12</v>
      </c>
      <c r="D560" t="s">
        <v>13</v>
      </c>
      <c r="E560" t="s">
        <v>14</v>
      </c>
      <c r="F560" t="s">
        <v>30</v>
      </c>
      <c r="G560" t="s">
        <v>31</v>
      </c>
      <c r="H560">
        <v>300000</v>
      </c>
      <c r="I560">
        <v>4</v>
      </c>
      <c r="J560" t="s">
        <v>35</v>
      </c>
      <c r="K560">
        <v>240000</v>
      </c>
    </row>
    <row r="561" spans="1:11" x14ac:dyDescent="0.25">
      <c r="A561" s="10">
        <v>45764</v>
      </c>
      <c r="B561" t="s">
        <v>25</v>
      </c>
      <c r="C561" t="s">
        <v>12</v>
      </c>
      <c r="D561" t="s">
        <v>23</v>
      </c>
      <c r="E561" t="s">
        <v>14</v>
      </c>
      <c r="F561" t="s">
        <v>38</v>
      </c>
      <c r="G561" t="s">
        <v>31</v>
      </c>
      <c r="H561">
        <v>420000</v>
      </c>
      <c r="I561">
        <v>8</v>
      </c>
      <c r="J561" t="s">
        <v>17</v>
      </c>
      <c r="K561">
        <v>336000</v>
      </c>
    </row>
    <row r="562" spans="1:11" x14ac:dyDescent="0.25">
      <c r="A562" s="10">
        <v>45719</v>
      </c>
      <c r="B562" t="s">
        <v>18</v>
      </c>
      <c r="C562" t="s">
        <v>12</v>
      </c>
      <c r="D562" t="s">
        <v>13</v>
      </c>
      <c r="E562" t="s">
        <v>14</v>
      </c>
      <c r="F562" t="s">
        <v>34</v>
      </c>
      <c r="G562" t="s">
        <v>16</v>
      </c>
      <c r="H562">
        <v>320000</v>
      </c>
      <c r="I562">
        <v>4</v>
      </c>
      <c r="J562" t="s">
        <v>35</v>
      </c>
      <c r="K562">
        <v>256000</v>
      </c>
    </row>
    <row r="563" spans="1:11" x14ac:dyDescent="0.25">
      <c r="A563" s="10">
        <v>45698</v>
      </c>
      <c r="B563" t="s">
        <v>11</v>
      </c>
      <c r="C563" t="s">
        <v>12</v>
      </c>
      <c r="D563" t="s">
        <v>23</v>
      </c>
      <c r="E563" t="s">
        <v>20</v>
      </c>
      <c r="F563" t="s">
        <v>40</v>
      </c>
      <c r="G563" t="s">
        <v>31</v>
      </c>
      <c r="H563">
        <v>250000</v>
      </c>
      <c r="I563">
        <v>8</v>
      </c>
      <c r="J563" t="s">
        <v>24</v>
      </c>
      <c r="K563">
        <v>200000</v>
      </c>
    </row>
    <row r="564" spans="1:11" x14ac:dyDescent="0.25">
      <c r="A564" s="10">
        <v>45709</v>
      </c>
      <c r="B564" t="s">
        <v>18</v>
      </c>
      <c r="C564" t="s">
        <v>19</v>
      </c>
      <c r="D564" t="s">
        <v>13</v>
      </c>
      <c r="E564" t="s">
        <v>20</v>
      </c>
      <c r="F564" t="s">
        <v>34</v>
      </c>
      <c r="G564" t="s">
        <v>16</v>
      </c>
      <c r="H564">
        <v>320000</v>
      </c>
      <c r="I564">
        <v>7</v>
      </c>
      <c r="J564" t="s">
        <v>39</v>
      </c>
      <c r="K564">
        <v>256000</v>
      </c>
    </row>
    <row r="565" spans="1:11" x14ac:dyDescent="0.25">
      <c r="A565" s="10">
        <v>45714</v>
      </c>
      <c r="B565" t="s">
        <v>11</v>
      </c>
      <c r="C565" t="s">
        <v>19</v>
      </c>
      <c r="D565" t="s">
        <v>23</v>
      </c>
      <c r="E565" t="s">
        <v>20</v>
      </c>
      <c r="F565" t="s">
        <v>30</v>
      </c>
      <c r="G565" t="s">
        <v>31</v>
      </c>
      <c r="H565">
        <v>300000</v>
      </c>
      <c r="I565">
        <v>6</v>
      </c>
      <c r="J565" t="s">
        <v>24</v>
      </c>
      <c r="K565">
        <v>240000</v>
      </c>
    </row>
    <row r="566" spans="1:11" x14ac:dyDescent="0.25">
      <c r="A566" s="10">
        <v>45685</v>
      </c>
      <c r="B566" t="s">
        <v>29</v>
      </c>
      <c r="C566" t="s">
        <v>32</v>
      </c>
      <c r="D566" t="s">
        <v>23</v>
      </c>
      <c r="E566" t="s">
        <v>20</v>
      </c>
      <c r="F566" t="s">
        <v>33</v>
      </c>
      <c r="G566" t="s">
        <v>22</v>
      </c>
      <c r="H566">
        <v>180000</v>
      </c>
      <c r="I566">
        <v>4</v>
      </c>
      <c r="J566" t="s">
        <v>17</v>
      </c>
      <c r="K566">
        <v>144000</v>
      </c>
    </row>
    <row r="567" spans="1:11" x14ac:dyDescent="0.25">
      <c r="A567" s="10">
        <v>45664</v>
      </c>
      <c r="B567" t="s">
        <v>11</v>
      </c>
      <c r="C567" t="s">
        <v>12</v>
      </c>
      <c r="D567" t="s">
        <v>23</v>
      </c>
      <c r="E567" t="s">
        <v>14</v>
      </c>
      <c r="F567" t="s">
        <v>40</v>
      </c>
      <c r="G567" t="s">
        <v>31</v>
      </c>
      <c r="H567">
        <v>250000</v>
      </c>
      <c r="I567">
        <v>6</v>
      </c>
      <c r="J567" t="s">
        <v>35</v>
      </c>
      <c r="K567">
        <v>200000</v>
      </c>
    </row>
    <row r="568" spans="1:11" x14ac:dyDescent="0.25">
      <c r="A568" s="10">
        <v>45697</v>
      </c>
      <c r="B568" t="s">
        <v>11</v>
      </c>
      <c r="C568" t="s">
        <v>26</v>
      </c>
      <c r="D568" t="s">
        <v>23</v>
      </c>
      <c r="E568" t="s">
        <v>14</v>
      </c>
      <c r="F568" t="s">
        <v>40</v>
      </c>
      <c r="G568" t="s">
        <v>31</v>
      </c>
      <c r="H568">
        <v>250000</v>
      </c>
      <c r="I568">
        <v>7</v>
      </c>
      <c r="J568" t="s">
        <v>35</v>
      </c>
      <c r="K568">
        <v>200000</v>
      </c>
    </row>
    <row r="569" spans="1:11" x14ac:dyDescent="0.25">
      <c r="A569" s="10">
        <v>45723</v>
      </c>
      <c r="B569" t="s">
        <v>18</v>
      </c>
      <c r="C569" t="s">
        <v>19</v>
      </c>
      <c r="D569" t="s">
        <v>13</v>
      </c>
      <c r="E569" t="s">
        <v>20</v>
      </c>
      <c r="F569" t="s">
        <v>38</v>
      </c>
      <c r="G569" t="s">
        <v>31</v>
      </c>
      <c r="H569">
        <v>420000</v>
      </c>
      <c r="I569">
        <v>2</v>
      </c>
      <c r="J569" t="s">
        <v>17</v>
      </c>
      <c r="K569">
        <v>336000</v>
      </c>
    </row>
    <row r="570" spans="1:11" x14ac:dyDescent="0.25">
      <c r="A570" s="10">
        <v>45756</v>
      </c>
      <c r="B570" t="s">
        <v>25</v>
      </c>
      <c r="C570" t="s">
        <v>19</v>
      </c>
      <c r="D570" t="s">
        <v>23</v>
      </c>
      <c r="E570" t="s">
        <v>14</v>
      </c>
      <c r="F570" t="s">
        <v>36</v>
      </c>
      <c r="G570" t="s">
        <v>31</v>
      </c>
      <c r="H570">
        <v>150000</v>
      </c>
      <c r="I570">
        <v>2</v>
      </c>
      <c r="J570" t="s">
        <v>24</v>
      </c>
      <c r="K570">
        <v>120000</v>
      </c>
    </row>
    <row r="571" spans="1:11" x14ac:dyDescent="0.25">
      <c r="A571" s="10">
        <v>45747</v>
      </c>
      <c r="B571" t="s">
        <v>29</v>
      </c>
      <c r="C571" t="s">
        <v>19</v>
      </c>
      <c r="D571" t="s">
        <v>13</v>
      </c>
      <c r="E571" t="s">
        <v>14</v>
      </c>
      <c r="F571" t="s">
        <v>41</v>
      </c>
      <c r="G571" t="s">
        <v>22</v>
      </c>
      <c r="H571">
        <v>220000</v>
      </c>
      <c r="I571">
        <v>8</v>
      </c>
      <c r="J571" t="s">
        <v>39</v>
      </c>
      <c r="K571">
        <v>176000</v>
      </c>
    </row>
    <row r="572" spans="1:11" x14ac:dyDescent="0.25">
      <c r="A572" s="10">
        <v>45702</v>
      </c>
      <c r="B572" t="s">
        <v>18</v>
      </c>
      <c r="C572" t="s">
        <v>12</v>
      </c>
      <c r="D572" t="s">
        <v>13</v>
      </c>
      <c r="E572" t="s">
        <v>20</v>
      </c>
      <c r="F572" t="s">
        <v>36</v>
      </c>
      <c r="G572" t="s">
        <v>31</v>
      </c>
      <c r="H572">
        <v>150000</v>
      </c>
      <c r="I572">
        <v>2</v>
      </c>
      <c r="J572" t="s">
        <v>28</v>
      </c>
      <c r="K572">
        <v>120000</v>
      </c>
    </row>
    <row r="573" spans="1:11" x14ac:dyDescent="0.25">
      <c r="A573" s="10">
        <v>45738</v>
      </c>
      <c r="B573" t="s">
        <v>18</v>
      </c>
      <c r="C573" t="s">
        <v>19</v>
      </c>
      <c r="D573" t="s">
        <v>23</v>
      </c>
      <c r="E573" t="s">
        <v>14</v>
      </c>
      <c r="F573" t="s">
        <v>21</v>
      </c>
      <c r="G573" t="s">
        <v>22</v>
      </c>
      <c r="H573">
        <v>30000</v>
      </c>
      <c r="I573">
        <v>1</v>
      </c>
      <c r="J573" t="s">
        <v>35</v>
      </c>
      <c r="K573">
        <v>24000</v>
      </c>
    </row>
    <row r="574" spans="1:11" x14ac:dyDescent="0.25">
      <c r="A574" s="10">
        <v>45772</v>
      </c>
      <c r="B574" t="s">
        <v>18</v>
      </c>
      <c r="C574" t="s">
        <v>12</v>
      </c>
      <c r="D574" t="s">
        <v>13</v>
      </c>
      <c r="E574" t="s">
        <v>20</v>
      </c>
      <c r="F574" t="s">
        <v>33</v>
      </c>
      <c r="G574" t="s">
        <v>22</v>
      </c>
      <c r="H574">
        <v>180000</v>
      </c>
      <c r="I574">
        <v>5</v>
      </c>
      <c r="J574" t="s">
        <v>17</v>
      </c>
      <c r="K574">
        <v>144000</v>
      </c>
    </row>
    <row r="575" spans="1:11" x14ac:dyDescent="0.25">
      <c r="A575" s="10">
        <v>45773</v>
      </c>
      <c r="B575" t="s">
        <v>11</v>
      </c>
      <c r="C575" t="s">
        <v>26</v>
      </c>
      <c r="D575" t="s">
        <v>23</v>
      </c>
      <c r="E575" t="s">
        <v>20</v>
      </c>
      <c r="F575" t="s">
        <v>36</v>
      </c>
      <c r="G575" t="s">
        <v>31</v>
      </c>
      <c r="H575">
        <v>150000</v>
      </c>
      <c r="I575">
        <v>9</v>
      </c>
      <c r="J575" t="s">
        <v>37</v>
      </c>
      <c r="K575">
        <v>120000</v>
      </c>
    </row>
    <row r="576" spans="1:11" x14ac:dyDescent="0.25">
      <c r="A576" s="10">
        <v>45714</v>
      </c>
      <c r="B576" t="s">
        <v>25</v>
      </c>
      <c r="C576" t="s">
        <v>19</v>
      </c>
      <c r="D576" t="s">
        <v>23</v>
      </c>
      <c r="E576" t="s">
        <v>20</v>
      </c>
      <c r="F576" t="s">
        <v>36</v>
      </c>
      <c r="G576" t="s">
        <v>31</v>
      </c>
      <c r="H576">
        <v>150000</v>
      </c>
      <c r="I576">
        <v>5</v>
      </c>
      <c r="J576" t="s">
        <v>37</v>
      </c>
      <c r="K576">
        <v>120000</v>
      </c>
    </row>
    <row r="577" spans="1:11" x14ac:dyDescent="0.25">
      <c r="A577" s="10">
        <v>45749</v>
      </c>
      <c r="B577" t="s">
        <v>25</v>
      </c>
      <c r="C577" t="s">
        <v>12</v>
      </c>
      <c r="D577" t="s">
        <v>13</v>
      </c>
      <c r="E577" t="s">
        <v>14</v>
      </c>
      <c r="F577" t="s">
        <v>41</v>
      </c>
      <c r="G577" t="s">
        <v>22</v>
      </c>
      <c r="H577">
        <v>220000</v>
      </c>
      <c r="I577">
        <v>4</v>
      </c>
      <c r="J577" t="s">
        <v>39</v>
      </c>
      <c r="K577">
        <v>176000</v>
      </c>
    </row>
    <row r="578" spans="1:11" x14ac:dyDescent="0.25">
      <c r="A578" s="10">
        <v>45686</v>
      </c>
      <c r="B578" t="s">
        <v>11</v>
      </c>
      <c r="C578" t="s">
        <v>26</v>
      </c>
      <c r="D578" t="s">
        <v>13</v>
      </c>
      <c r="E578" t="s">
        <v>14</v>
      </c>
      <c r="F578" t="s">
        <v>34</v>
      </c>
      <c r="G578" t="s">
        <v>16</v>
      </c>
      <c r="H578">
        <v>320000</v>
      </c>
      <c r="I578">
        <v>4</v>
      </c>
      <c r="J578" t="s">
        <v>17</v>
      </c>
      <c r="K578">
        <v>256000</v>
      </c>
    </row>
    <row r="579" spans="1:11" x14ac:dyDescent="0.25">
      <c r="A579" s="10">
        <v>45721</v>
      </c>
      <c r="B579" t="s">
        <v>11</v>
      </c>
      <c r="C579" t="s">
        <v>32</v>
      </c>
      <c r="D579" t="s">
        <v>23</v>
      </c>
      <c r="E579" t="s">
        <v>20</v>
      </c>
      <c r="F579" t="s">
        <v>34</v>
      </c>
      <c r="G579" t="s">
        <v>16</v>
      </c>
      <c r="H579">
        <v>320000</v>
      </c>
      <c r="I579">
        <v>8</v>
      </c>
      <c r="J579" t="s">
        <v>17</v>
      </c>
      <c r="K579">
        <v>256000</v>
      </c>
    </row>
    <row r="580" spans="1:11" x14ac:dyDescent="0.25">
      <c r="A580" s="10">
        <v>45770</v>
      </c>
      <c r="B580" t="s">
        <v>29</v>
      </c>
      <c r="C580" t="s">
        <v>32</v>
      </c>
      <c r="D580" t="s">
        <v>13</v>
      </c>
      <c r="E580" t="s">
        <v>14</v>
      </c>
      <c r="F580" t="s">
        <v>27</v>
      </c>
      <c r="G580" t="s">
        <v>22</v>
      </c>
      <c r="H580">
        <v>60000</v>
      </c>
      <c r="I580">
        <v>9</v>
      </c>
      <c r="J580" t="s">
        <v>17</v>
      </c>
      <c r="K580">
        <v>48000</v>
      </c>
    </row>
    <row r="581" spans="1:11" x14ac:dyDescent="0.25">
      <c r="A581" s="10">
        <v>45721</v>
      </c>
      <c r="B581" t="s">
        <v>18</v>
      </c>
      <c r="C581" t="s">
        <v>19</v>
      </c>
      <c r="D581" t="s">
        <v>13</v>
      </c>
      <c r="E581" t="s">
        <v>20</v>
      </c>
      <c r="F581" t="s">
        <v>30</v>
      </c>
      <c r="G581" t="s">
        <v>31</v>
      </c>
      <c r="H581">
        <v>300000</v>
      </c>
      <c r="I581">
        <v>10</v>
      </c>
      <c r="J581" t="s">
        <v>17</v>
      </c>
      <c r="K581">
        <v>240000</v>
      </c>
    </row>
    <row r="582" spans="1:11" x14ac:dyDescent="0.25">
      <c r="A582" s="10">
        <v>45738</v>
      </c>
      <c r="B582" t="s">
        <v>29</v>
      </c>
      <c r="C582" t="s">
        <v>19</v>
      </c>
      <c r="D582" t="s">
        <v>23</v>
      </c>
      <c r="E582" t="s">
        <v>14</v>
      </c>
      <c r="F582" t="s">
        <v>36</v>
      </c>
      <c r="G582" t="s">
        <v>31</v>
      </c>
      <c r="H582">
        <v>150000</v>
      </c>
      <c r="I582">
        <v>6</v>
      </c>
      <c r="J582" t="s">
        <v>35</v>
      </c>
      <c r="K582">
        <v>120000</v>
      </c>
    </row>
    <row r="583" spans="1:11" x14ac:dyDescent="0.25">
      <c r="A583" s="10">
        <v>45778</v>
      </c>
      <c r="B583" t="s">
        <v>25</v>
      </c>
      <c r="C583" t="s">
        <v>26</v>
      </c>
      <c r="D583" t="s">
        <v>23</v>
      </c>
      <c r="E583" t="s">
        <v>14</v>
      </c>
      <c r="F583" t="s">
        <v>33</v>
      </c>
      <c r="G583" t="s">
        <v>22</v>
      </c>
      <c r="H583">
        <v>180000</v>
      </c>
      <c r="I583">
        <v>8</v>
      </c>
      <c r="J583" t="s">
        <v>37</v>
      </c>
      <c r="K583">
        <v>144000</v>
      </c>
    </row>
    <row r="584" spans="1:11" x14ac:dyDescent="0.25">
      <c r="A584" s="10">
        <v>45716</v>
      </c>
      <c r="B584" t="s">
        <v>18</v>
      </c>
      <c r="C584" t="s">
        <v>12</v>
      </c>
      <c r="D584" t="s">
        <v>13</v>
      </c>
      <c r="E584" t="s">
        <v>14</v>
      </c>
      <c r="F584" t="s">
        <v>27</v>
      </c>
      <c r="G584" t="s">
        <v>22</v>
      </c>
      <c r="H584">
        <v>60000</v>
      </c>
      <c r="I584">
        <v>7</v>
      </c>
      <c r="J584" t="s">
        <v>39</v>
      </c>
      <c r="K584">
        <v>48000</v>
      </c>
    </row>
    <row r="585" spans="1:11" x14ac:dyDescent="0.25">
      <c r="A585" s="10">
        <v>45717</v>
      </c>
      <c r="B585" t="s">
        <v>18</v>
      </c>
      <c r="C585" t="s">
        <v>19</v>
      </c>
      <c r="D585" t="s">
        <v>13</v>
      </c>
      <c r="E585" t="s">
        <v>20</v>
      </c>
      <c r="F585" t="s">
        <v>36</v>
      </c>
      <c r="G585" t="s">
        <v>31</v>
      </c>
      <c r="H585">
        <v>150000</v>
      </c>
      <c r="I585">
        <v>9</v>
      </c>
      <c r="J585" t="s">
        <v>17</v>
      </c>
      <c r="K585">
        <v>120000</v>
      </c>
    </row>
    <row r="586" spans="1:11" x14ac:dyDescent="0.25">
      <c r="A586" s="10">
        <v>45755</v>
      </c>
      <c r="B586" t="s">
        <v>18</v>
      </c>
      <c r="C586" t="s">
        <v>19</v>
      </c>
      <c r="D586" t="s">
        <v>13</v>
      </c>
      <c r="E586" t="s">
        <v>20</v>
      </c>
      <c r="F586" t="s">
        <v>33</v>
      </c>
      <c r="G586" t="s">
        <v>22</v>
      </c>
      <c r="H586">
        <v>180000</v>
      </c>
      <c r="I586">
        <v>4</v>
      </c>
      <c r="J586" t="s">
        <v>35</v>
      </c>
      <c r="K586">
        <v>144000</v>
      </c>
    </row>
    <row r="587" spans="1:11" x14ac:dyDescent="0.25">
      <c r="A587" s="10">
        <v>45663</v>
      </c>
      <c r="B587" t="s">
        <v>11</v>
      </c>
      <c r="C587" t="s">
        <v>32</v>
      </c>
      <c r="D587" t="s">
        <v>13</v>
      </c>
      <c r="E587" t="s">
        <v>20</v>
      </c>
      <c r="F587" t="s">
        <v>33</v>
      </c>
      <c r="G587" t="s">
        <v>22</v>
      </c>
      <c r="H587">
        <v>180000</v>
      </c>
      <c r="I587">
        <v>1</v>
      </c>
      <c r="J587" t="s">
        <v>37</v>
      </c>
      <c r="K587">
        <v>144000</v>
      </c>
    </row>
    <row r="588" spans="1:11" x14ac:dyDescent="0.25">
      <c r="A588" s="10">
        <v>45754</v>
      </c>
      <c r="B588" t="s">
        <v>11</v>
      </c>
      <c r="C588" t="s">
        <v>12</v>
      </c>
      <c r="D588" t="s">
        <v>13</v>
      </c>
      <c r="E588" t="s">
        <v>14</v>
      </c>
      <c r="F588" t="s">
        <v>27</v>
      </c>
      <c r="G588" t="s">
        <v>22</v>
      </c>
      <c r="H588">
        <v>60000</v>
      </c>
      <c r="I588">
        <v>6</v>
      </c>
      <c r="J588" t="s">
        <v>37</v>
      </c>
      <c r="K588">
        <v>48000</v>
      </c>
    </row>
    <row r="589" spans="1:11" x14ac:dyDescent="0.25">
      <c r="A589" s="10">
        <v>45700</v>
      </c>
      <c r="B589" t="s">
        <v>18</v>
      </c>
      <c r="C589" t="s">
        <v>26</v>
      </c>
      <c r="D589" t="s">
        <v>23</v>
      </c>
      <c r="E589" t="s">
        <v>20</v>
      </c>
      <c r="F589" t="s">
        <v>34</v>
      </c>
      <c r="G589" t="s">
        <v>16</v>
      </c>
      <c r="H589">
        <v>320000</v>
      </c>
      <c r="I589">
        <v>8</v>
      </c>
      <c r="J589" t="s">
        <v>35</v>
      </c>
      <c r="K589">
        <v>256000</v>
      </c>
    </row>
    <row r="590" spans="1:11" x14ac:dyDescent="0.25">
      <c r="A590" s="10">
        <v>45659</v>
      </c>
      <c r="B590" t="s">
        <v>18</v>
      </c>
      <c r="C590" t="s">
        <v>26</v>
      </c>
      <c r="D590" t="s">
        <v>13</v>
      </c>
      <c r="E590" t="s">
        <v>14</v>
      </c>
      <c r="F590" t="s">
        <v>33</v>
      </c>
      <c r="G590" t="s">
        <v>22</v>
      </c>
      <c r="H590">
        <v>180000</v>
      </c>
      <c r="I590">
        <v>6</v>
      </c>
      <c r="J590" t="s">
        <v>37</v>
      </c>
      <c r="K590">
        <v>144000</v>
      </c>
    </row>
    <row r="591" spans="1:11" x14ac:dyDescent="0.25">
      <c r="A591" s="10">
        <v>45713</v>
      </c>
      <c r="B591" t="s">
        <v>25</v>
      </c>
      <c r="C591" t="s">
        <v>19</v>
      </c>
      <c r="D591" t="s">
        <v>23</v>
      </c>
      <c r="E591" t="s">
        <v>14</v>
      </c>
      <c r="F591" t="s">
        <v>27</v>
      </c>
      <c r="G591" t="s">
        <v>22</v>
      </c>
      <c r="H591">
        <v>60000</v>
      </c>
      <c r="I591">
        <v>8</v>
      </c>
      <c r="J591" t="s">
        <v>24</v>
      </c>
      <c r="K591">
        <v>48000</v>
      </c>
    </row>
    <row r="592" spans="1:11" x14ac:dyDescent="0.25">
      <c r="A592" s="10">
        <v>45760</v>
      </c>
      <c r="B592" t="s">
        <v>18</v>
      </c>
      <c r="C592" t="s">
        <v>19</v>
      </c>
      <c r="D592" t="s">
        <v>23</v>
      </c>
      <c r="E592" t="s">
        <v>14</v>
      </c>
      <c r="F592" t="s">
        <v>38</v>
      </c>
      <c r="G592" t="s">
        <v>31</v>
      </c>
      <c r="H592">
        <v>420000</v>
      </c>
      <c r="I592">
        <v>3</v>
      </c>
      <c r="J592" t="s">
        <v>17</v>
      </c>
      <c r="K592">
        <v>336000</v>
      </c>
    </row>
    <row r="593" spans="1:11" x14ac:dyDescent="0.25">
      <c r="A593" s="10">
        <v>45687</v>
      </c>
      <c r="B593" t="s">
        <v>25</v>
      </c>
      <c r="C593" t="s">
        <v>26</v>
      </c>
      <c r="D593" t="s">
        <v>23</v>
      </c>
      <c r="E593" t="s">
        <v>14</v>
      </c>
      <c r="F593" t="s">
        <v>41</v>
      </c>
      <c r="G593" t="s">
        <v>22</v>
      </c>
      <c r="H593">
        <v>220000</v>
      </c>
      <c r="I593">
        <v>5</v>
      </c>
      <c r="J593" t="s">
        <v>24</v>
      </c>
      <c r="K593">
        <v>176000</v>
      </c>
    </row>
    <row r="594" spans="1:11" x14ac:dyDescent="0.25">
      <c r="A594" s="10">
        <v>45744</v>
      </c>
      <c r="B594" t="s">
        <v>11</v>
      </c>
      <c r="C594" t="s">
        <v>32</v>
      </c>
      <c r="D594" t="s">
        <v>13</v>
      </c>
      <c r="E594" t="s">
        <v>14</v>
      </c>
      <c r="F594" t="s">
        <v>27</v>
      </c>
      <c r="G594" t="s">
        <v>22</v>
      </c>
      <c r="H594">
        <v>60000</v>
      </c>
      <c r="I594">
        <v>6</v>
      </c>
      <c r="J594" t="s">
        <v>17</v>
      </c>
      <c r="K594">
        <v>48000</v>
      </c>
    </row>
    <row r="595" spans="1:11" x14ac:dyDescent="0.25">
      <c r="A595" s="10">
        <v>45750</v>
      </c>
      <c r="B595" t="s">
        <v>11</v>
      </c>
      <c r="C595" t="s">
        <v>32</v>
      </c>
      <c r="D595" t="s">
        <v>13</v>
      </c>
      <c r="E595" t="s">
        <v>20</v>
      </c>
      <c r="F595" t="s">
        <v>27</v>
      </c>
      <c r="G595" t="s">
        <v>22</v>
      </c>
      <c r="H595">
        <v>60000</v>
      </c>
      <c r="I595">
        <v>8</v>
      </c>
      <c r="J595" t="s">
        <v>39</v>
      </c>
      <c r="K595">
        <v>48000</v>
      </c>
    </row>
    <row r="596" spans="1:11" x14ac:dyDescent="0.25">
      <c r="A596" s="10">
        <v>45658</v>
      </c>
      <c r="B596" t="s">
        <v>11</v>
      </c>
      <c r="C596" t="s">
        <v>19</v>
      </c>
      <c r="D596" t="s">
        <v>23</v>
      </c>
      <c r="E596" t="s">
        <v>14</v>
      </c>
      <c r="F596" t="s">
        <v>21</v>
      </c>
      <c r="G596" t="s">
        <v>22</v>
      </c>
      <c r="H596">
        <v>30000</v>
      </c>
      <c r="I596">
        <v>2</v>
      </c>
      <c r="J596" t="s">
        <v>17</v>
      </c>
      <c r="K596">
        <v>24000</v>
      </c>
    </row>
    <row r="597" spans="1:11" x14ac:dyDescent="0.25">
      <c r="A597" s="10">
        <v>45717</v>
      </c>
      <c r="B597" t="s">
        <v>18</v>
      </c>
      <c r="C597" t="s">
        <v>12</v>
      </c>
      <c r="D597" t="s">
        <v>23</v>
      </c>
      <c r="E597" t="s">
        <v>20</v>
      </c>
      <c r="F597" t="s">
        <v>30</v>
      </c>
      <c r="G597" t="s">
        <v>31</v>
      </c>
      <c r="H597">
        <v>300000</v>
      </c>
      <c r="I597">
        <v>3</v>
      </c>
      <c r="J597" t="s">
        <v>35</v>
      </c>
      <c r="K597">
        <v>240000</v>
      </c>
    </row>
    <row r="598" spans="1:11" x14ac:dyDescent="0.25">
      <c r="A598" s="10">
        <v>45674</v>
      </c>
      <c r="B598" t="s">
        <v>29</v>
      </c>
      <c r="C598" t="s">
        <v>19</v>
      </c>
      <c r="D598" t="s">
        <v>23</v>
      </c>
      <c r="E598" t="s">
        <v>20</v>
      </c>
      <c r="F598" t="s">
        <v>40</v>
      </c>
      <c r="G598" t="s">
        <v>31</v>
      </c>
      <c r="H598">
        <v>250000</v>
      </c>
      <c r="I598">
        <v>3</v>
      </c>
      <c r="J598" t="s">
        <v>24</v>
      </c>
      <c r="K598">
        <v>200000</v>
      </c>
    </row>
    <row r="599" spans="1:11" x14ac:dyDescent="0.25">
      <c r="A599" s="10">
        <v>45768</v>
      </c>
      <c r="B599" t="s">
        <v>29</v>
      </c>
      <c r="C599" t="s">
        <v>19</v>
      </c>
      <c r="D599" t="s">
        <v>23</v>
      </c>
      <c r="E599" t="s">
        <v>20</v>
      </c>
      <c r="F599" t="s">
        <v>38</v>
      </c>
      <c r="G599" t="s">
        <v>31</v>
      </c>
      <c r="H599">
        <v>420000</v>
      </c>
      <c r="I599">
        <v>1</v>
      </c>
      <c r="J599" t="s">
        <v>24</v>
      </c>
      <c r="K599">
        <v>336000</v>
      </c>
    </row>
    <row r="600" spans="1:11" x14ac:dyDescent="0.25">
      <c r="A600" s="10">
        <v>45753</v>
      </c>
      <c r="B600" t="s">
        <v>25</v>
      </c>
      <c r="C600" t="s">
        <v>12</v>
      </c>
      <c r="D600" t="s">
        <v>23</v>
      </c>
      <c r="E600" t="s">
        <v>20</v>
      </c>
      <c r="F600" t="s">
        <v>21</v>
      </c>
      <c r="G600" t="s">
        <v>22</v>
      </c>
      <c r="H600">
        <v>30000</v>
      </c>
      <c r="I600">
        <v>1</v>
      </c>
      <c r="J600" t="s">
        <v>35</v>
      </c>
      <c r="K600">
        <v>24000</v>
      </c>
    </row>
    <row r="601" spans="1:11" x14ac:dyDescent="0.25">
      <c r="A601" s="10">
        <v>45664</v>
      </c>
      <c r="B601" t="s">
        <v>25</v>
      </c>
      <c r="C601" t="s">
        <v>26</v>
      </c>
      <c r="D601" t="s">
        <v>13</v>
      </c>
      <c r="E601" t="s">
        <v>14</v>
      </c>
      <c r="F601" t="s">
        <v>21</v>
      </c>
      <c r="G601" t="s">
        <v>22</v>
      </c>
      <c r="H601">
        <v>30000</v>
      </c>
      <c r="I601">
        <v>8</v>
      </c>
      <c r="J601" t="s">
        <v>37</v>
      </c>
      <c r="K601">
        <v>24000</v>
      </c>
    </row>
    <row r="602" spans="1:11" x14ac:dyDescent="0.25">
      <c r="A602" s="10">
        <v>45748</v>
      </c>
      <c r="B602" t="s">
        <v>29</v>
      </c>
      <c r="C602" t="s">
        <v>12</v>
      </c>
      <c r="D602" t="s">
        <v>23</v>
      </c>
      <c r="E602" t="s">
        <v>14</v>
      </c>
      <c r="F602" t="s">
        <v>40</v>
      </c>
      <c r="G602" t="s">
        <v>31</v>
      </c>
      <c r="H602">
        <v>250000</v>
      </c>
      <c r="I602">
        <v>10</v>
      </c>
      <c r="J602" t="s">
        <v>37</v>
      </c>
      <c r="K602">
        <v>200000</v>
      </c>
    </row>
    <row r="603" spans="1:11" x14ac:dyDescent="0.25">
      <c r="A603" s="10">
        <v>45768</v>
      </c>
      <c r="B603" t="s">
        <v>29</v>
      </c>
      <c r="C603" t="s">
        <v>26</v>
      </c>
      <c r="D603" t="s">
        <v>23</v>
      </c>
      <c r="E603" t="s">
        <v>20</v>
      </c>
      <c r="F603" t="s">
        <v>36</v>
      </c>
      <c r="G603" t="s">
        <v>31</v>
      </c>
      <c r="H603">
        <v>150000</v>
      </c>
      <c r="I603">
        <v>10</v>
      </c>
      <c r="J603" t="s">
        <v>24</v>
      </c>
      <c r="K603">
        <v>120000</v>
      </c>
    </row>
    <row r="604" spans="1:11" x14ac:dyDescent="0.25">
      <c r="A604" s="10">
        <v>45739</v>
      </c>
      <c r="B604" t="s">
        <v>18</v>
      </c>
      <c r="C604" t="s">
        <v>32</v>
      </c>
      <c r="D604" t="s">
        <v>13</v>
      </c>
      <c r="E604" t="s">
        <v>20</v>
      </c>
      <c r="F604" t="s">
        <v>40</v>
      </c>
      <c r="G604" t="s">
        <v>31</v>
      </c>
      <c r="H604">
        <v>250000</v>
      </c>
      <c r="I604">
        <v>8</v>
      </c>
      <c r="J604" t="s">
        <v>17</v>
      </c>
      <c r="K604">
        <v>200000</v>
      </c>
    </row>
    <row r="605" spans="1:11" x14ac:dyDescent="0.25">
      <c r="A605" s="10">
        <v>45773</v>
      </c>
      <c r="B605" t="s">
        <v>29</v>
      </c>
      <c r="C605" t="s">
        <v>26</v>
      </c>
      <c r="D605" t="s">
        <v>13</v>
      </c>
      <c r="E605" t="s">
        <v>20</v>
      </c>
      <c r="F605" t="s">
        <v>40</v>
      </c>
      <c r="G605" t="s">
        <v>31</v>
      </c>
      <c r="H605">
        <v>250000</v>
      </c>
      <c r="I605">
        <v>9</v>
      </c>
      <c r="J605" t="s">
        <v>39</v>
      </c>
      <c r="K605">
        <v>200000</v>
      </c>
    </row>
    <row r="606" spans="1:11" x14ac:dyDescent="0.25">
      <c r="A606" s="10">
        <v>45762</v>
      </c>
      <c r="B606" t="s">
        <v>29</v>
      </c>
      <c r="C606" t="s">
        <v>32</v>
      </c>
      <c r="D606" t="s">
        <v>13</v>
      </c>
      <c r="E606" t="s">
        <v>20</v>
      </c>
      <c r="F606" t="s">
        <v>38</v>
      </c>
      <c r="G606" t="s">
        <v>31</v>
      </c>
      <c r="H606">
        <v>420000</v>
      </c>
      <c r="I606">
        <v>10</v>
      </c>
      <c r="J606" t="s">
        <v>28</v>
      </c>
      <c r="K606">
        <v>336000</v>
      </c>
    </row>
    <row r="607" spans="1:11" x14ac:dyDescent="0.25">
      <c r="A607" s="10">
        <v>45712</v>
      </c>
      <c r="B607" t="s">
        <v>11</v>
      </c>
      <c r="C607" t="s">
        <v>19</v>
      </c>
      <c r="D607" t="s">
        <v>23</v>
      </c>
      <c r="E607" t="s">
        <v>14</v>
      </c>
      <c r="F607" t="s">
        <v>15</v>
      </c>
      <c r="G607" t="s">
        <v>16</v>
      </c>
      <c r="H607">
        <v>85000</v>
      </c>
      <c r="I607">
        <v>4</v>
      </c>
      <c r="J607" t="s">
        <v>24</v>
      </c>
      <c r="K607">
        <v>68000</v>
      </c>
    </row>
    <row r="608" spans="1:11" x14ac:dyDescent="0.25">
      <c r="A608" s="10">
        <v>45687</v>
      </c>
      <c r="B608" t="s">
        <v>18</v>
      </c>
      <c r="C608" t="s">
        <v>19</v>
      </c>
      <c r="D608" t="s">
        <v>13</v>
      </c>
      <c r="E608" t="s">
        <v>14</v>
      </c>
      <c r="F608" t="s">
        <v>33</v>
      </c>
      <c r="G608" t="s">
        <v>22</v>
      </c>
      <c r="H608">
        <v>180000</v>
      </c>
      <c r="I608">
        <v>1</v>
      </c>
      <c r="J608" t="s">
        <v>39</v>
      </c>
      <c r="K608">
        <v>144000</v>
      </c>
    </row>
    <row r="609" spans="1:11" x14ac:dyDescent="0.25">
      <c r="A609" s="10">
        <v>45662</v>
      </c>
      <c r="B609" t="s">
        <v>25</v>
      </c>
      <c r="C609" t="s">
        <v>19</v>
      </c>
      <c r="D609" t="s">
        <v>13</v>
      </c>
      <c r="E609" t="s">
        <v>20</v>
      </c>
      <c r="F609" t="s">
        <v>33</v>
      </c>
      <c r="G609" t="s">
        <v>22</v>
      </c>
      <c r="H609">
        <v>180000</v>
      </c>
      <c r="I609">
        <v>9</v>
      </c>
      <c r="J609" t="s">
        <v>35</v>
      </c>
      <c r="K609">
        <v>144000</v>
      </c>
    </row>
    <row r="610" spans="1:11" x14ac:dyDescent="0.25">
      <c r="A610" s="10">
        <v>45710</v>
      </c>
      <c r="B610" t="s">
        <v>18</v>
      </c>
      <c r="C610" t="s">
        <v>26</v>
      </c>
      <c r="D610" t="s">
        <v>23</v>
      </c>
      <c r="E610" t="s">
        <v>20</v>
      </c>
      <c r="F610" t="s">
        <v>36</v>
      </c>
      <c r="G610" t="s">
        <v>31</v>
      </c>
      <c r="H610">
        <v>150000</v>
      </c>
      <c r="I610">
        <v>10</v>
      </c>
      <c r="J610" t="s">
        <v>28</v>
      </c>
      <c r="K610">
        <v>120000</v>
      </c>
    </row>
    <row r="611" spans="1:11" x14ac:dyDescent="0.25">
      <c r="A611" s="10">
        <v>45748</v>
      </c>
      <c r="B611" t="s">
        <v>18</v>
      </c>
      <c r="C611" t="s">
        <v>32</v>
      </c>
      <c r="D611" t="s">
        <v>23</v>
      </c>
      <c r="E611" t="s">
        <v>20</v>
      </c>
      <c r="F611" t="s">
        <v>30</v>
      </c>
      <c r="G611" t="s">
        <v>31</v>
      </c>
      <c r="H611">
        <v>300000</v>
      </c>
      <c r="I611">
        <v>1</v>
      </c>
      <c r="J611" t="s">
        <v>28</v>
      </c>
      <c r="K611">
        <v>240000</v>
      </c>
    </row>
    <row r="612" spans="1:11" x14ac:dyDescent="0.25">
      <c r="A612" s="10">
        <v>45750</v>
      </c>
      <c r="B612" t="s">
        <v>25</v>
      </c>
      <c r="C612" t="s">
        <v>32</v>
      </c>
      <c r="D612" t="s">
        <v>13</v>
      </c>
      <c r="E612" t="s">
        <v>14</v>
      </c>
      <c r="F612" t="s">
        <v>36</v>
      </c>
      <c r="G612" t="s">
        <v>31</v>
      </c>
      <c r="H612">
        <v>150000</v>
      </c>
      <c r="I612">
        <v>8</v>
      </c>
      <c r="J612" t="s">
        <v>17</v>
      </c>
      <c r="K612">
        <v>120000</v>
      </c>
    </row>
    <row r="613" spans="1:11" x14ac:dyDescent="0.25">
      <c r="A613" s="10">
        <v>45740</v>
      </c>
      <c r="B613" t="s">
        <v>11</v>
      </c>
      <c r="C613" t="s">
        <v>32</v>
      </c>
      <c r="D613" t="s">
        <v>13</v>
      </c>
      <c r="E613" t="s">
        <v>20</v>
      </c>
      <c r="F613" t="s">
        <v>36</v>
      </c>
      <c r="G613" t="s">
        <v>31</v>
      </c>
      <c r="H613">
        <v>150000</v>
      </c>
      <c r="I613">
        <v>3</v>
      </c>
      <c r="J613" t="s">
        <v>35</v>
      </c>
      <c r="K613">
        <v>120000</v>
      </c>
    </row>
    <row r="614" spans="1:11" x14ac:dyDescent="0.25">
      <c r="A614" s="10">
        <v>45737</v>
      </c>
      <c r="B614" t="s">
        <v>29</v>
      </c>
      <c r="C614" t="s">
        <v>32</v>
      </c>
      <c r="D614" t="s">
        <v>13</v>
      </c>
      <c r="E614" t="s">
        <v>20</v>
      </c>
      <c r="F614" t="s">
        <v>34</v>
      </c>
      <c r="G614" t="s">
        <v>16</v>
      </c>
      <c r="H614">
        <v>320000</v>
      </c>
      <c r="I614">
        <v>3</v>
      </c>
      <c r="J614" t="s">
        <v>17</v>
      </c>
      <c r="K614">
        <v>256000</v>
      </c>
    </row>
    <row r="615" spans="1:11" x14ac:dyDescent="0.25">
      <c r="A615" s="10">
        <v>45763</v>
      </c>
      <c r="B615" t="s">
        <v>25</v>
      </c>
      <c r="C615" t="s">
        <v>26</v>
      </c>
      <c r="D615" t="s">
        <v>13</v>
      </c>
      <c r="E615" t="s">
        <v>14</v>
      </c>
      <c r="F615" t="s">
        <v>33</v>
      </c>
      <c r="G615" t="s">
        <v>22</v>
      </c>
      <c r="H615">
        <v>180000</v>
      </c>
      <c r="I615">
        <v>8</v>
      </c>
      <c r="J615" t="s">
        <v>17</v>
      </c>
      <c r="K615">
        <v>144000</v>
      </c>
    </row>
    <row r="616" spans="1:11" x14ac:dyDescent="0.25">
      <c r="A616" s="10">
        <v>45689</v>
      </c>
      <c r="B616" t="s">
        <v>25</v>
      </c>
      <c r="C616" t="s">
        <v>26</v>
      </c>
      <c r="D616" t="s">
        <v>13</v>
      </c>
      <c r="E616" t="s">
        <v>20</v>
      </c>
      <c r="F616" t="s">
        <v>33</v>
      </c>
      <c r="G616" t="s">
        <v>22</v>
      </c>
      <c r="H616">
        <v>180000</v>
      </c>
      <c r="I616">
        <v>1</v>
      </c>
      <c r="J616" t="s">
        <v>24</v>
      </c>
      <c r="K616">
        <v>144000</v>
      </c>
    </row>
    <row r="617" spans="1:11" x14ac:dyDescent="0.25">
      <c r="A617" s="10">
        <v>45703</v>
      </c>
      <c r="B617" t="s">
        <v>11</v>
      </c>
      <c r="C617" t="s">
        <v>19</v>
      </c>
      <c r="D617" t="s">
        <v>13</v>
      </c>
      <c r="E617" t="s">
        <v>20</v>
      </c>
      <c r="F617" t="s">
        <v>27</v>
      </c>
      <c r="G617" t="s">
        <v>22</v>
      </c>
      <c r="H617">
        <v>60000</v>
      </c>
      <c r="I617">
        <v>7</v>
      </c>
      <c r="J617" t="s">
        <v>37</v>
      </c>
      <c r="K617">
        <v>48000</v>
      </c>
    </row>
    <row r="618" spans="1:11" x14ac:dyDescent="0.25">
      <c r="A618" s="10">
        <v>45751</v>
      </c>
      <c r="B618" t="s">
        <v>18</v>
      </c>
      <c r="C618" t="s">
        <v>26</v>
      </c>
      <c r="D618" t="s">
        <v>23</v>
      </c>
      <c r="E618" t="s">
        <v>20</v>
      </c>
      <c r="F618" t="s">
        <v>34</v>
      </c>
      <c r="G618" t="s">
        <v>16</v>
      </c>
      <c r="H618">
        <v>320000</v>
      </c>
      <c r="I618">
        <v>7</v>
      </c>
      <c r="J618" t="s">
        <v>24</v>
      </c>
      <c r="K618">
        <v>256000</v>
      </c>
    </row>
    <row r="619" spans="1:11" x14ac:dyDescent="0.25">
      <c r="A619" s="10">
        <v>45769</v>
      </c>
      <c r="B619" t="s">
        <v>25</v>
      </c>
      <c r="C619" t="s">
        <v>19</v>
      </c>
      <c r="D619" t="s">
        <v>23</v>
      </c>
      <c r="E619" t="s">
        <v>14</v>
      </c>
      <c r="F619" t="s">
        <v>15</v>
      </c>
      <c r="G619" t="s">
        <v>16</v>
      </c>
      <c r="H619">
        <v>85000</v>
      </c>
      <c r="I619">
        <v>9</v>
      </c>
      <c r="J619" t="s">
        <v>24</v>
      </c>
      <c r="K619">
        <v>68000</v>
      </c>
    </row>
    <row r="620" spans="1:11" x14ac:dyDescent="0.25">
      <c r="A620" s="10">
        <v>45775</v>
      </c>
      <c r="B620" t="s">
        <v>11</v>
      </c>
      <c r="C620" t="s">
        <v>19</v>
      </c>
      <c r="D620" t="s">
        <v>13</v>
      </c>
      <c r="E620" t="s">
        <v>14</v>
      </c>
      <c r="F620" t="s">
        <v>34</v>
      </c>
      <c r="G620" t="s">
        <v>16</v>
      </c>
      <c r="H620">
        <v>320000</v>
      </c>
      <c r="I620">
        <v>3</v>
      </c>
      <c r="J620" t="s">
        <v>37</v>
      </c>
      <c r="K620">
        <v>256000</v>
      </c>
    </row>
    <row r="621" spans="1:11" x14ac:dyDescent="0.25">
      <c r="A621" s="10">
        <v>45658</v>
      </c>
      <c r="B621" t="s">
        <v>25</v>
      </c>
      <c r="C621" t="s">
        <v>32</v>
      </c>
      <c r="D621" t="s">
        <v>13</v>
      </c>
      <c r="E621" t="s">
        <v>14</v>
      </c>
      <c r="F621" t="s">
        <v>41</v>
      </c>
      <c r="G621" t="s">
        <v>22</v>
      </c>
      <c r="H621">
        <v>220000</v>
      </c>
      <c r="I621">
        <v>4</v>
      </c>
      <c r="J621" t="s">
        <v>37</v>
      </c>
      <c r="K621">
        <v>176000</v>
      </c>
    </row>
    <row r="622" spans="1:11" x14ac:dyDescent="0.25">
      <c r="A622" s="10">
        <v>45708</v>
      </c>
      <c r="B622" t="s">
        <v>18</v>
      </c>
      <c r="C622" t="s">
        <v>26</v>
      </c>
      <c r="D622" t="s">
        <v>23</v>
      </c>
      <c r="E622" t="s">
        <v>14</v>
      </c>
      <c r="F622" t="s">
        <v>34</v>
      </c>
      <c r="G622" t="s">
        <v>16</v>
      </c>
      <c r="H622">
        <v>320000</v>
      </c>
      <c r="I622">
        <v>7</v>
      </c>
      <c r="J622" t="s">
        <v>35</v>
      </c>
      <c r="K622">
        <v>256000</v>
      </c>
    </row>
    <row r="623" spans="1:11" x14ac:dyDescent="0.25">
      <c r="A623" s="10">
        <v>45769</v>
      </c>
      <c r="B623" t="s">
        <v>18</v>
      </c>
      <c r="C623" t="s">
        <v>12</v>
      </c>
      <c r="D623" t="s">
        <v>23</v>
      </c>
      <c r="E623" t="s">
        <v>14</v>
      </c>
      <c r="F623" t="s">
        <v>40</v>
      </c>
      <c r="G623" t="s">
        <v>31</v>
      </c>
      <c r="H623">
        <v>250000</v>
      </c>
      <c r="I623">
        <v>1</v>
      </c>
      <c r="J623" t="s">
        <v>28</v>
      </c>
      <c r="K623">
        <v>200000</v>
      </c>
    </row>
    <row r="624" spans="1:11" x14ac:dyDescent="0.25">
      <c r="A624" s="10">
        <v>45677</v>
      </c>
      <c r="B624" t="s">
        <v>18</v>
      </c>
      <c r="C624" t="s">
        <v>26</v>
      </c>
      <c r="D624" t="s">
        <v>13</v>
      </c>
      <c r="E624" t="s">
        <v>20</v>
      </c>
      <c r="F624" t="s">
        <v>21</v>
      </c>
      <c r="G624" t="s">
        <v>22</v>
      </c>
      <c r="H624">
        <v>30000</v>
      </c>
      <c r="I624">
        <v>5</v>
      </c>
      <c r="J624" t="s">
        <v>28</v>
      </c>
      <c r="K624">
        <v>24000</v>
      </c>
    </row>
    <row r="625" spans="1:11" x14ac:dyDescent="0.25">
      <c r="A625" s="10">
        <v>45726</v>
      </c>
      <c r="B625" t="s">
        <v>25</v>
      </c>
      <c r="C625" t="s">
        <v>26</v>
      </c>
      <c r="D625" t="s">
        <v>23</v>
      </c>
      <c r="E625" t="s">
        <v>14</v>
      </c>
      <c r="F625" t="s">
        <v>41</v>
      </c>
      <c r="G625" t="s">
        <v>22</v>
      </c>
      <c r="H625">
        <v>220000</v>
      </c>
      <c r="I625">
        <v>5</v>
      </c>
      <c r="J625" t="s">
        <v>24</v>
      </c>
      <c r="K625">
        <v>176000</v>
      </c>
    </row>
    <row r="626" spans="1:11" x14ac:dyDescent="0.25">
      <c r="A626" s="10">
        <v>45734</v>
      </c>
      <c r="B626" t="s">
        <v>29</v>
      </c>
      <c r="C626" t="s">
        <v>26</v>
      </c>
      <c r="D626" t="s">
        <v>23</v>
      </c>
      <c r="E626" t="s">
        <v>20</v>
      </c>
      <c r="F626" t="s">
        <v>40</v>
      </c>
      <c r="G626" t="s">
        <v>31</v>
      </c>
      <c r="H626">
        <v>250000</v>
      </c>
      <c r="I626">
        <v>4</v>
      </c>
      <c r="J626" t="s">
        <v>35</v>
      </c>
      <c r="K626">
        <v>200000</v>
      </c>
    </row>
    <row r="627" spans="1:11" x14ac:dyDescent="0.25">
      <c r="A627" s="10">
        <v>45665</v>
      </c>
      <c r="B627" t="s">
        <v>29</v>
      </c>
      <c r="C627" t="s">
        <v>12</v>
      </c>
      <c r="D627" t="s">
        <v>13</v>
      </c>
      <c r="E627" t="s">
        <v>20</v>
      </c>
      <c r="F627" t="s">
        <v>33</v>
      </c>
      <c r="G627" t="s">
        <v>22</v>
      </c>
      <c r="H627">
        <v>180000</v>
      </c>
      <c r="I627">
        <v>4</v>
      </c>
      <c r="J627" t="s">
        <v>17</v>
      </c>
      <c r="K627">
        <v>144000</v>
      </c>
    </row>
    <row r="628" spans="1:11" x14ac:dyDescent="0.25">
      <c r="A628" s="10">
        <v>45767</v>
      </c>
      <c r="B628" t="s">
        <v>25</v>
      </c>
      <c r="C628" t="s">
        <v>12</v>
      </c>
      <c r="D628" t="s">
        <v>23</v>
      </c>
      <c r="E628" t="s">
        <v>20</v>
      </c>
      <c r="F628" t="s">
        <v>27</v>
      </c>
      <c r="G628" t="s">
        <v>22</v>
      </c>
      <c r="H628">
        <v>60000</v>
      </c>
      <c r="I628">
        <v>10</v>
      </c>
      <c r="J628" t="s">
        <v>24</v>
      </c>
      <c r="K628">
        <v>48000</v>
      </c>
    </row>
    <row r="629" spans="1:11" x14ac:dyDescent="0.25">
      <c r="A629" s="10">
        <v>45693</v>
      </c>
      <c r="B629" t="s">
        <v>18</v>
      </c>
      <c r="C629" t="s">
        <v>26</v>
      </c>
      <c r="D629" t="s">
        <v>13</v>
      </c>
      <c r="E629" t="s">
        <v>14</v>
      </c>
      <c r="F629" t="s">
        <v>34</v>
      </c>
      <c r="G629" t="s">
        <v>16</v>
      </c>
      <c r="H629">
        <v>320000</v>
      </c>
      <c r="I629">
        <v>10</v>
      </c>
      <c r="J629" t="s">
        <v>17</v>
      </c>
      <c r="K629">
        <v>256000</v>
      </c>
    </row>
    <row r="630" spans="1:11" x14ac:dyDescent="0.25">
      <c r="A630" s="10">
        <v>45678</v>
      </c>
      <c r="B630" t="s">
        <v>18</v>
      </c>
      <c r="C630" t="s">
        <v>26</v>
      </c>
      <c r="D630" t="s">
        <v>13</v>
      </c>
      <c r="E630" t="s">
        <v>20</v>
      </c>
      <c r="F630" t="s">
        <v>36</v>
      </c>
      <c r="G630" t="s">
        <v>31</v>
      </c>
      <c r="H630">
        <v>150000</v>
      </c>
      <c r="I630">
        <v>4</v>
      </c>
      <c r="J630" t="s">
        <v>28</v>
      </c>
      <c r="K630">
        <v>120000</v>
      </c>
    </row>
    <row r="631" spans="1:11" x14ac:dyDescent="0.25">
      <c r="A631" s="10">
        <v>45703</v>
      </c>
      <c r="B631" t="s">
        <v>11</v>
      </c>
      <c r="C631" t="s">
        <v>12</v>
      </c>
      <c r="D631" t="s">
        <v>23</v>
      </c>
      <c r="E631" t="s">
        <v>20</v>
      </c>
      <c r="F631" t="s">
        <v>34</v>
      </c>
      <c r="G631" t="s">
        <v>16</v>
      </c>
      <c r="H631">
        <v>320000</v>
      </c>
      <c r="I631">
        <v>4</v>
      </c>
      <c r="J631" t="s">
        <v>17</v>
      </c>
      <c r="K631">
        <v>256000</v>
      </c>
    </row>
    <row r="632" spans="1:11" x14ac:dyDescent="0.25">
      <c r="A632" s="10">
        <v>45704</v>
      </c>
      <c r="B632" t="s">
        <v>25</v>
      </c>
      <c r="C632" t="s">
        <v>19</v>
      </c>
      <c r="D632" t="s">
        <v>23</v>
      </c>
      <c r="E632" t="s">
        <v>14</v>
      </c>
      <c r="F632" t="s">
        <v>30</v>
      </c>
      <c r="G632" t="s">
        <v>31</v>
      </c>
      <c r="H632">
        <v>300000</v>
      </c>
      <c r="I632">
        <v>7</v>
      </c>
      <c r="J632" t="s">
        <v>37</v>
      </c>
      <c r="K632">
        <v>240000</v>
      </c>
    </row>
    <row r="633" spans="1:11" x14ac:dyDescent="0.25">
      <c r="A633" s="10">
        <v>45708</v>
      </c>
      <c r="B633" t="s">
        <v>29</v>
      </c>
      <c r="C633" t="s">
        <v>12</v>
      </c>
      <c r="D633" t="s">
        <v>23</v>
      </c>
      <c r="E633" t="s">
        <v>20</v>
      </c>
      <c r="F633" t="s">
        <v>36</v>
      </c>
      <c r="G633" t="s">
        <v>31</v>
      </c>
      <c r="H633">
        <v>150000</v>
      </c>
      <c r="I633">
        <v>10</v>
      </c>
      <c r="J633" t="s">
        <v>17</v>
      </c>
      <c r="K633">
        <v>120000</v>
      </c>
    </row>
    <row r="634" spans="1:11" x14ac:dyDescent="0.25">
      <c r="A634" s="10">
        <v>45740</v>
      </c>
      <c r="B634" t="s">
        <v>25</v>
      </c>
      <c r="C634" t="s">
        <v>19</v>
      </c>
      <c r="D634" t="s">
        <v>23</v>
      </c>
      <c r="E634" t="s">
        <v>14</v>
      </c>
      <c r="F634" t="s">
        <v>41</v>
      </c>
      <c r="G634" t="s">
        <v>22</v>
      </c>
      <c r="H634">
        <v>220000</v>
      </c>
      <c r="I634">
        <v>9</v>
      </c>
      <c r="J634" t="s">
        <v>17</v>
      </c>
      <c r="K634">
        <v>176000</v>
      </c>
    </row>
    <row r="635" spans="1:11" x14ac:dyDescent="0.25">
      <c r="A635" s="10">
        <v>45701</v>
      </c>
      <c r="B635" t="s">
        <v>11</v>
      </c>
      <c r="C635" t="s">
        <v>32</v>
      </c>
      <c r="D635" t="s">
        <v>23</v>
      </c>
      <c r="E635" t="s">
        <v>20</v>
      </c>
      <c r="F635" t="s">
        <v>15</v>
      </c>
      <c r="G635" t="s">
        <v>16</v>
      </c>
      <c r="H635">
        <v>85000</v>
      </c>
      <c r="I635">
        <v>4</v>
      </c>
      <c r="J635" t="s">
        <v>28</v>
      </c>
      <c r="K635">
        <v>68000</v>
      </c>
    </row>
    <row r="636" spans="1:11" x14ac:dyDescent="0.25">
      <c r="A636" s="10">
        <v>45672</v>
      </c>
      <c r="B636" t="s">
        <v>25</v>
      </c>
      <c r="C636" t="s">
        <v>26</v>
      </c>
      <c r="D636" t="s">
        <v>23</v>
      </c>
      <c r="E636" t="s">
        <v>14</v>
      </c>
      <c r="F636" t="s">
        <v>34</v>
      </c>
      <c r="G636" t="s">
        <v>16</v>
      </c>
      <c r="H636">
        <v>320000</v>
      </c>
      <c r="I636">
        <v>1</v>
      </c>
      <c r="J636" t="s">
        <v>39</v>
      </c>
      <c r="K636">
        <v>256000</v>
      </c>
    </row>
    <row r="637" spans="1:11" x14ac:dyDescent="0.25">
      <c r="A637" s="10">
        <v>45677</v>
      </c>
      <c r="B637" t="s">
        <v>18</v>
      </c>
      <c r="C637" t="s">
        <v>32</v>
      </c>
      <c r="D637" t="s">
        <v>23</v>
      </c>
      <c r="E637" t="s">
        <v>20</v>
      </c>
      <c r="F637" t="s">
        <v>38</v>
      </c>
      <c r="G637" t="s">
        <v>31</v>
      </c>
      <c r="H637">
        <v>420000</v>
      </c>
      <c r="I637">
        <v>1</v>
      </c>
      <c r="J637" t="s">
        <v>35</v>
      </c>
      <c r="K637">
        <v>336000</v>
      </c>
    </row>
    <row r="638" spans="1:11" x14ac:dyDescent="0.25">
      <c r="A638" s="10">
        <v>45776</v>
      </c>
      <c r="B638" t="s">
        <v>25</v>
      </c>
      <c r="C638" t="s">
        <v>26</v>
      </c>
      <c r="D638" t="s">
        <v>23</v>
      </c>
      <c r="E638" t="s">
        <v>20</v>
      </c>
      <c r="F638" t="s">
        <v>38</v>
      </c>
      <c r="G638" t="s">
        <v>31</v>
      </c>
      <c r="H638">
        <v>420000</v>
      </c>
      <c r="I638">
        <v>6</v>
      </c>
      <c r="J638" t="s">
        <v>24</v>
      </c>
      <c r="K638">
        <v>336000</v>
      </c>
    </row>
    <row r="639" spans="1:11" x14ac:dyDescent="0.25">
      <c r="A639" s="10">
        <v>45689</v>
      </c>
      <c r="B639" t="s">
        <v>29</v>
      </c>
      <c r="C639" t="s">
        <v>19</v>
      </c>
      <c r="D639" t="s">
        <v>23</v>
      </c>
      <c r="E639" t="s">
        <v>14</v>
      </c>
      <c r="F639" t="s">
        <v>27</v>
      </c>
      <c r="G639" t="s">
        <v>22</v>
      </c>
      <c r="H639">
        <v>60000</v>
      </c>
      <c r="I639">
        <v>8</v>
      </c>
      <c r="J639" t="s">
        <v>37</v>
      </c>
      <c r="K639">
        <v>48000</v>
      </c>
    </row>
    <row r="640" spans="1:11" x14ac:dyDescent="0.25">
      <c r="A640" s="10">
        <v>45684</v>
      </c>
      <c r="B640" t="s">
        <v>18</v>
      </c>
      <c r="C640" t="s">
        <v>12</v>
      </c>
      <c r="D640" t="s">
        <v>23</v>
      </c>
      <c r="E640" t="s">
        <v>20</v>
      </c>
      <c r="F640" t="s">
        <v>41</v>
      </c>
      <c r="G640" t="s">
        <v>22</v>
      </c>
      <c r="H640">
        <v>220000</v>
      </c>
      <c r="I640">
        <v>7</v>
      </c>
      <c r="J640" t="s">
        <v>17</v>
      </c>
      <c r="K640">
        <v>176000</v>
      </c>
    </row>
    <row r="641" spans="1:11" x14ac:dyDescent="0.25">
      <c r="A641" s="10">
        <v>45751</v>
      </c>
      <c r="B641" t="s">
        <v>25</v>
      </c>
      <c r="C641" t="s">
        <v>12</v>
      </c>
      <c r="D641" t="s">
        <v>23</v>
      </c>
      <c r="E641" t="s">
        <v>14</v>
      </c>
      <c r="F641" t="s">
        <v>34</v>
      </c>
      <c r="G641" t="s">
        <v>16</v>
      </c>
      <c r="H641">
        <v>320000</v>
      </c>
      <c r="I641">
        <v>9</v>
      </c>
      <c r="J641" t="s">
        <v>35</v>
      </c>
      <c r="K641">
        <v>256000</v>
      </c>
    </row>
    <row r="642" spans="1:11" x14ac:dyDescent="0.25">
      <c r="A642" s="10">
        <v>45696</v>
      </c>
      <c r="B642" t="s">
        <v>11</v>
      </c>
      <c r="C642" t="s">
        <v>32</v>
      </c>
      <c r="D642" t="s">
        <v>23</v>
      </c>
      <c r="E642" t="s">
        <v>20</v>
      </c>
      <c r="F642" t="s">
        <v>30</v>
      </c>
      <c r="G642" t="s">
        <v>31</v>
      </c>
      <c r="H642">
        <v>300000</v>
      </c>
      <c r="I642">
        <v>2</v>
      </c>
      <c r="J642" t="s">
        <v>37</v>
      </c>
      <c r="K642">
        <v>240000</v>
      </c>
    </row>
    <row r="643" spans="1:11" x14ac:dyDescent="0.25">
      <c r="A643" s="10">
        <v>45773</v>
      </c>
      <c r="B643" t="s">
        <v>25</v>
      </c>
      <c r="C643" t="s">
        <v>12</v>
      </c>
      <c r="D643" t="s">
        <v>23</v>
      </c>
      <c r="E643" t="s">
        <v>14</v>
      </c>
      <c r="F643" t="s">
        <v>40</v>
      </c>
      <c r="G643" t="s">
        <v>31</v>
      </c>
      <c r="H643">
        <v>250000</v>
      </c>
      <c r="I643">
        <v>4</v>
      </c>
      <c r="J643" t="s">
        <v>37</v>
      </c>
      <c r="K643">
        <v>200000</v>
      </c>
    </row>
    <row r="644" spans="1:11" x14ac:dyDescent="0.25">
      <c r="A644" s="10">
        <v>45701</v>
      </c>
      <c r="B644" t="s">
        <v>29</v>
      </c>
      <c r="C644" t="s">
        <v>19</v>
      </c>
      <c r="D644" t="s">
        <v>13</v>
      </c>
      <c r="E644" t="s">
        <v>14</v>
      </c>
      <c r="F644" t="s">
        <v>21</v>
      </c>
      <c r="G644" t="s">
        <v>22</v>
      </c>
      <c r="H644">
        <v>30000</v>
      </c>
      <c r="I644">
        <v>4</v>
      </c>
      <c r="J644" t="s">
        <v>37</v>
      </c>
      <c r="K644">
        <v>24000</v>
      </c>
    </row>
    <row r="645" spans="1:11" x14ac:dyDescent="0.25">
      <c r="A645" s="10">
        <v>45690</v>
      </c>
      <c r="B645" t="s">
        <v>11</v>
      </c>
      <c r="C645" t="s">
        <v>19</v>
      </c>
      <c r="D645" t="s">
        <v>13</v>
      </c>
      <c r="E645" t="s">
        <v>20</v>
      </c>
      <c r="F645" t="s">
        <v>41</v>
      </c>
      <c r="G645" t="s">
        <v>22</v>
      </c>
      <c r="H645">
        <v>220000</v>
      </c>
      <c r="I645">
        <v>4</v>
      </c>
      <c r="J645" t="s">
        <v>17</v>
      </c>
      <c r="K645">
        <v>176000</v>
      </c>
    </row>
    <row r="646" spans="1:11" x14ac:dyDescent="0.25">
      <c r="A646" s="10">
        <v>45724</v>
      </c>
      <c r="B646" t="s">
        <v>29</v>
      </c>
      <c r="C646" t="s">
        <v>32</v>
      </c>
      <c r="D646" t="s">
        <v>13</v>
      </c>
      <c r="E646" t="s">
        <v>20</v>
      </c>
      <c r="F646" t="s">
        <v>30</v>
      </c>
      <c r="G646" t="s">
        <v>31</v>
      </c>
      <c r="H646">
        <v>300000</v>
      </c>
      <c r="I646">
        <v>2</v>
      </c>
      <c r="J646" t="s">
        <v>37</v>
      </c>
      <c r="K646">
        <v>240000</v>
      </c>
    </row>
    <row r="647" spans="1:11" x14ac:dyDescent="0.25">
      <c r="A647" s="10">
        <v>45735</v>
      </c>
      <c r="B647" t="s">
        <v>25</v>
      </c>
      <c r="C647" t="s">
        <v>19</v>
      </c>
      <c r="D647" t="s">
        <v>13</v>
      </c>
      <c r="E647" t="s">
        <v>14</v>
      </c>
      <c r="F647" t="s">
        <v>34</v>
      </c>
      <c r="G647" t="s">
        <v>16</v>
      </c>
      <c r="H647">
        <v>320000</v>
      </c>
      <c r="I647">
        <v>7</v>
      </c>
      <c r="J647" t="s">
        <v>24</v>
      </c>
      <c r="K647">
        <v>256000</v>
      </c>
    </row>
    <row r="648" spans="1:11" x14ac:dyDescent="0.25">
      <c r="A648" s="10">
        <v>45745</v>
      </c>
      <c r="B648" t="s">
        <v>18</v>
      </c>
      <c r="C648" t="s">
        <v>32</v>
      </c>
      <c r="D648" t="s">
        <v>23</v>
      </c>
      <c r="E648" t="s">
        <v>14</v>
      </c>
      <c r="F648" t="s">
        <v>27</v>
      </c>
      <c r="G648" t="s">
        <v>22</v>
      </c>
      <c r="H648">
        <v>60000</v>
      </c>
      <c r="I648">
        <v>5</v>
      </c>
      <c r="J648" t="s">
        <v>28</v>
      </c>
      <c r="K648">
        <v>48000</v>
      </c>
    </row>
    <row r="649" spans="1:11" x14ac:dyDescent="0.25">
      <c r="A649" s="10">
        <v>45697</v>
      </c>
      <c r="B649" t="s">
        <v>25</v>
      </c>
      <c r="C649" t="s">
        <v>26</v>
      </c>
      <c r="D649" t="s">
        <v>13</v>
      </c>
      <c r="E649" t="s">
        <v>14</v>
      </c>
      <c r="F649" t="s">
        <v>15</v>
      </c>
      <c r="G649" t="s">
        <v>16</v>
      </c>
      <c r="H649">
        <v>85000</v>
      </c>
      <c r="I649">
        <v>7</v>
      </c>
      <c r="J649" t="s">
        <v>35</v>
      </c>
      <c r="K649">
        <v>68000</v>
      </c>
    </row>
    <row r="650" spans="1:11" x14ac:dyDescent="0.25">
      <c r="A650" s="10">
        <v>45735</v>
      </c>
      <c r="B650" t="s">
        <v>11</v>
      </c>
      <c r="C650" t="s">
        <v>19</v>
      </c>
      <c r="D650" t="s">
        <v>13</v>
      </c>
      <c r="E650" t="s">
        <v>20</v>
      </c>
      <c r="F650" t="s">
        <v>30</v>
      </c>
      <c r="G650" t="s">
        <v>31</v>
      </c>
      <c r="H650">
        <v>300000</v>
      </c>
      <c r="I650">
        <v>6</v>
      </c>
      <c r="J650" t="s">
        <v>39</v>
      </c>
      <c r="K650">
        <v>240000</v>
      </c>
    </row>
    <row r="651" spans="1:11" x14ac:dyDescent="0.25">
      <c r="A651" s="10">
        <v>45744</v>
      </c>
      <c r="B651" t="s">
        <v>18</v>
      </c>
      <c r="C651" t="s">
        <v>26</v>
      </c>
      <c r="D651" t="s">
        <v>23</v>
      </c>
      <c r="E651" t="s">
        <v>14</v>
      </c>
      <c r="F651" t="s">
        <v>33</v>
      </c>
      <c r="G651" t="s">
        <v>22</v>
      </c>
      <c r="H651">
        <v>180000</v>
      </c>
      <c r="I651">
        <v>5</v>
      </c>
      <c r="J651" t="s">
        <v>28</v>
      </c>
      <c r="K651">
        <v>144000</v>
      </c>
    </row>
    <row r="652" spans="1:11" x14ac:dyDescent="0.25">
      <c r="A652" s="10">
        <v>45749</v>
      </c>
      <c r="B652" t="s">
        <v>18</v>
      </c>
      <c r="C652" t="s">
        <v>19</v>
      </c>
      <c r="D652" t="s">
        <v>23</v>
      </c>
      <c r="E652" t="s">
        <v>20</v>
      </c>
      <c r="F652" t="s">
        <v>30</v>
      </c>
      <c r="G652" t="s">
        <v>31</v>
      </c>
      <c r="H652">
        <v>300000</v>
      </c>
      <c r="I652">
        <v>1</v>
      </c>
      <c r="J652" t="s">
        <v>37</v>
      </c>
      <c r="K652">
        <v>240000</v>
      </c>
    </row>
    <row r="653" spans="1:11" x14ac:dyDescent="0.25">
      <c r="A653" s="10">
        <v>45742</v>
      </c>
      <c r="B653" t="s">
        <v>11</v>
      </c>
      <c r="C653" t="s">
        <v>12</v>
      </c>
      <c r="D653" t="s">
        <v>13</v>
      </c>
      <c r="E653" t="s">
        <v>20</v>
      </c>
      <c r="F653" t="s">
        <v>27</v>
      </c>
      <c r="G653" t="s">
        <v>22</v>
      </c>
      <c r="H653">
        <v>60000</v>
      </c>
      <c r="I653">
        <v>7</v>
      </c>
      <c r="J653" t="s">
        <v>24</v>
      </c>
      <c r="K653">
        <v>48000</v>
      </c>
    </row>
    <row r="654" spans="1:11" x14ac:dyDescent="0.25">
      <c r="A654" s="10">
        <v>45662</v>
      </c>
      <c r="B654" t="s">
        <v>25</v>
      </c>
      <c r="C654" t="s">
        <v>26</v>
      </c>
      <c r="D654" t="s">
        <v>13</v>
      </c>
      <c r="E654" t="s">
        <v>14</v>
      </c>
      <c r="F654" t="s">
        <v>21</v>
      </c>
      <c r="G654" t="s">
        <v>22</v>
      </c>
      <c r="H654">
        <v>30000</v>
      </c>
      <c r="I654">
        <v>8</v>
      </c>
      <c r="J654" t="s">
        <v>28</v>
      </c>
      <c r="K654">
        <v>24000</v>
      </c>
    </row>
    <row r="655" spans="1:11" x14ac:dyDescent="0.25">
      <c r="A655" s="10">
        <v>45748</v>
      </c>
      <c r="B655" t="s">
        <v>11</v>
      </c>
      <c r="C655" t="s">
        <v>19</v>
      </c>
      <c r="D655" t="s">
        <v>23</v>
      </c>
      <c r="E655" t="s">
        <v>14</v>
      </c>
      <c r="F655" t="s">
        <v>41</v>
      </c>
      <c r="G655" t="s">
        <v>22</v>
      </c>
      <c r="H655">
        <v>220000</v>
      </c>
      <c r="I655">
        <v>3</v>
      </c>
      <c r="J655" t="s">
        <v>35</v>
      </c>
      <c r="K655">
        <v>176000</v>
      </c>
    </row>
    <row r="656" spans="1:11" x14ac:dyDescent="0.25">
      <c r="A656" s="10">
        <v>45753</v>
      </c>
      <c r="B656" t="s">
        <v>25</v>
      </c>
      <c r="C656" t="s">
        <v>19</v>
      </c>
      <c r="D656" t="s">
        <v>23</v>
      </c>
      <c r="E656" t="s">
        <v>14</v>
      </c>
      <c r="F656" t="s">
        <v>41</v>
      </c>
      <c r="G656" t="s">
        <v>22</v>
      </c>
      <c r="H656">
        <v>220000</v>
      </c>
      <c r="I656">
        <v>7</v>
      </c>
      <c r="J656" t="s">
        <v>35</v>
      </c>
      <c r="K656">
        <v>176000</v>
      </c>
    </row>
    <row r="657" spans="1:11" x14ac:dyDescent="0.25">
      <c r="A657" s="10">
        <v>45720</v>
      </c>
      <c r="B657" t="s">
        <v>29</v>
      </c>
      <c r="C657" t="s">
        <v>12</v>
      </c>
      <c r="D657" t="s">
        <v>13</v>
      </c>
      <c r="E657" t="s">
        <v>20</v>
      </c>
      <c r="F657" t="s">
        <v>33</v>
      </c>
      <c r="G657" t="s">
        <v>22</v>
      </c>
      <c r="H657">
        <v>180000</v>
      </c>
      <c r="I657">
        <v>2</v>
      </c>
      <c r="J657" t="s">
        <v>24</v>
      </c>
      <c r="K657">
        <v>144000</v>
      </c>
    </row>
    <row r="658" spans="1:11" x14ac:dyDescent="0.25">
      <c r="A658" s="10">
        <v>45725</v>
      </c>
      <c r="B658" t="s">
        <v>11</v>
      </c>
      <c r="C658" t="s">
        <v>26</v>
      </c>
      <c r="D658" t="s">
        <v>13</v>
      </c>
      <c r="E658" t="s">
        <v>20</v>
      </c>
      <c r="F658" t="s">
        <v>27</v>
      </c>
      <c r="G658" t="s">
        <v>22</v>
      </c>
      <c r="H658">
        <v>60000</v>
      </c>
      <c r="I658">
        <v>8</v>
      </c>
      <c r="J658" t="s">
        <v>37</v>
      </c>
      <c r="K658">
        <v>48000</v>
      </c>
    </row>
    <row r="659" spans="1:11" x14ac:dyDescent="0.25">
      <c r="A659" s="10">
        <v>45658</v>
      </c>
      <c r="B659" t="s">
        <v>29</v>
      </c>
      <c r="C659" t="s">
        <v>19</v>
      </c>
      <c r="D659" t="s">
        <v>13</v>
      </c>
      <c r="E659" t="s">
        <v>14</v>
      </c>
      <c r="F659" t="s">
        <v>21</v>
      </c>
      <c r="G659" t="s">
        <v>22</v>
      </c>
      <c r="H659">
        <v>30000</v>
      </c>
      <c r="I659">
        <v>2</v>
      </c>
      <c r="J659" t="s">
        <v>35</v>
      </c>
      <c r="K659">
        <v>24000</v>
      </c>
    </row>
    <row r="660" spans="1:11" x14ac:dyDescent="0.25">
      <c r="A660" s="10">
        <v>45683</v>
      </c>
      <c r="B660" t="s">
        <v>29</v>
      </c>
      <c r="C660" t="s">
        <v>19</v>
      </c>
      <c r="D660" t="s">
        <v>23</v>
      </c>
      <c r="E660" t="s">
        <v>14</v>
      </c>
      <c r="F660" t="s">
        <v>36</v>
      </c>
      <c r="G660" t="s">
        <v>31</v>
      </c>
      <c r="H660">
        <v>150000</v>
      </c>
      <c r="I660">
        <v>5</v>
      </c>
      <c r="J660" t="s">
        <v>35</v>
      </c>
      <c r="K660">
        <v>120000</v>
      </c>
    </row>
    <row r="661" spans="1:11" x14ac:dyDescent="0.25">
      <c r="A661" s="10">
        <v>45736</v>
      </c>
      <c r="B661" t="s">
        <v>11</v>
      </c>
      <c r="C661" t="s">
        <v>19</v>
      </c>
      <c r="D661" t="s">
        <v>23</v>
      </c>
      <c r="E661" t="s">
        <v>20</v>
      </c>
      <c r="F661" t="s">
        <v>40</v>
      </c>
      <c r="G661" t="s">
        <v>31</v>
      </c>
      <c r="H661">
        <v>250000</v>
      </c>
      <c r="I661">
        <v>5</v>
      </c>
      <c r="J661" t="s">
        <v>35</v>
      </c>
      <c r="K661">
        <v>200000</v>
      </c>
    </row>
    <row r="662" spans="1:11" x14ac:dyDescent="0.25">
      <c r="A662" s="10">
        <v>45715</v>
      </c>
      <c r="B662" t="s">
        <v>25</v>
      </c>
      <c r="C662" t="s">
        <v>12</v>
      </c>
      <c r="D662" t="s">
        <v>23</v>
      </c>
      <c r="E662" t="s">
        <v>14</v>
      </c>
      <c r="F662" t="s">
        <v>15</v>
      </c>
      <c r="G662" t="s">
        <v>16</v>
      </c>
      <c r="H662">
        <v>85000</v>
      </c>
      <c r="I662">
        <v>4</v>
      </c>
      <c r="J662" t="s">
        <v>24</v>
      </c>
      <c r="K662">
        <v>68000</v>
      </c>
    </row>
    <row r="663" spans="1:11" x14ac:dyDescent="0.25">
      <c r="A663" s="10">
        <v>45726</v>
      </c>
      <c r="B663" t="s">
        <v>11</v>
      </c>
      <c r="C663" t="s">
        <v>26</v>
      </c>
      <c r="D663" t="s">
        <v>13</v>
      </c>
      <c r="E663" t="s">
        <v>20</v>
      </c>
      <c r="F663" t="s">
        <v>30</v>
      </c>
      <c r="G663" t="s">
        <v>31</v>
      </c>
      <c r="H663">
        <v>300000</v>
      </c>
      <c r="I663">
        <v>10</v>
      </c>
      <c r="J663" t="s">
        <v>24</v>
      </c>
      <c r="K663">
        <v>240000</v>
      </c>
    </row>
    <row r="664" spans="1:11" x14ac:dyDescent="0.25">
      <c r="A664" s="10">
        <v>45727</v>
      </c>
      <c r="B664" t="s">
        <v>25</v>
      </c>
      <c r="C664" t="s">
        <v>12</v>
      </c>
      <c r="D664" t="s">
        <v>23</v>
      </c>
      <c r="E664" t="s">
        <v>14</v>
      </c>
      <c r="F664" t="s">
        <v>40</v>
      </c>
      <c r="G664" t="s">
        <v>31</v>
      </c>
      <c r="H664">
        <v>250000</v>
      </c>
      <c r="I664">
        <v>8</v>
      </c>
      <c r="J664" t="s">
        <v>39</v>
      </c>
      <c r="K664">
        <v>200000</v>
      </c>
    </row>
    <row r="665" spans="1:11" x14ac:dyDescent="0.25">
      <c r="A665" s="10">
        <v>45769</v>
      </c>
      <c r="B665" t="s">
        <v>11</v>
      </c>
      <c r="C665" t="s">
        <v>19</v>
      </c>
      <c r="D665" t="s">
        <v>13</v>
      </c>
      <c r="E665" t="s">
        <v>20</v>
      </c>
      <c r="F665" t="s">
        <v>34</v>
      </c>
      <c r="G665" t="s">
        <v>16</v>
      </c>
      <c r="H665">
        <v>320000</v>
      </c>
      <c r="I665">
        <v>4</v>
      </c>
      <c r="J665" t="s">
        <v>39</v>
      </c>
      <c r="K665">
        <v>256000</v>
      </c>
    </row>
    <row r="666" spans="1:11" x14ac:dyDescent="0.25">
      <c r="A666" s="10">
        <v>45748</v>
      </c>
      <c r="B666" t="s">
        <v>29</v>
      </c>
      <c r="C666" t="s">
        <v>19</v>
      </c>
      <c r="D666" t="s">
        <v>23</v>
      </c>
      <c r="E666" t="s">
        <v>20</v>
      </c>
      <c r="F666" t="s">
        <v>21</v>
      </c>
      <c r="G666" t="s">
        <v>22</v>
      </c>
      <c r="H666">
        <v>30000</v>
      </c>
      <c r="I666">
        <v>10</v>
      </c>
      <c r="J666" t="s">
        <v>28</v>
      </c>
      <c r="K666">
        <v>24000</v>
      </c>
    </row>
    <row r="667" spans="1:11" x14ac:dyDescent="0.25">
      <c r="A667" s="10">
        <v>45763</v>
      </c>
      <c r="B667" t="s">
        <v>29</v>
      </c>
      <c r="C667" t="s">
        <v>12</v>
      </c>
      <c r="D667" t="s">
        <v>23</v>
      </c>
      <c r="E667" t="s">
        <v>14</v>
      </c>
      <c r="F667" t="s">
        <v>40</v>
      </c>
      <c r="G667" t="s">
        <v>31</v>
      </c>
      <c r="H667">
        <v>250000</v>
      </c>
      <c r="I667">
        <v>4</v>
      </c>
      <c r="J667" t="s">
        <v>37</v>
      </c>
      <c r="K667">
        <v>200000</v>
      </c>
    </row>
    <row r="668" spans="1:11" x14ac:dyDescent="0.25">
      <c r="A668" s="10">
        <v>45680</v>
      </c>
      <c r="B668" t="s">
        <v>18</v>
      </c>
      <c r="C668" t="s">
        <v>12</v>
      </c>
      <c r="D668" t="s">
        <v>23</v>
      </c>
      <c r="E668" t="s">
        <v>14</v>
      </c>
      <c r="F668" t="s">
        <v>34</v>
      </c>
      <c r="G668" t="s">
        <v>16</v>
      </c>
      <c r="H668">
        <v>320000</v>
      </c>
      <c r="I668">
        <v>5</v>
      </c>
      <c r="J668" t="s">
        <v>28</v>
      </c>
      <c r="K668">
        <v>256000</v>
      </c>
    </row>
    <row r="669" spans="1:11" x14ac:dyDescent="0.25">
      <c r="A669" s="10">
        <v>45733</v>
      </c>
      <c r="B669" t="s">
        <v>18</v>
      </c>
      <c r="C669" t="s">
        <v>19</v>
      </c>
      <c r="D669" t="s">
        <v>13</v>
      </c>
      <c r="E669" t="s">
        <v>20</v>
      </c>
      <c r="F669" t="s">
        <v>34</v>
      </c>
      <c r="G669" t="s">
        <v>16</v>
      </c>
      <c r="H669">
        <v>320000</v>
      </c>
      <c r="I669">
        <v>9</v>
      </c>
      <c r="J669" t="s">
        <v>39</v>
      </c>
      <c r="K669">
        <v>256000</v>
      </c>
    </row>
    <row r="670" spans="1:11" x14ac:dyDescent="0.25">
      <c r="A670" s="10">
        <v>45723</v>
      </c>
      <c r="B670" t="s">
        <v>18</v>
      </c>
      <c r="C670" t="s">
        <v>19</v>
      </c>
      <c r="D670" t="s">
        <v>13</v>
      </c>
      <c r="E670" t="s">
        <v>14</v>
      </c>
      <c r="F670" t="s">
        <v>33</v>
      </c>
      <c r="G670" t="s">
        <v>22</v>
      </c>
      <c r="H670">
        <v>180000</v>
      </c>
      <c r="I670">
        <v>1</v>
      </c>
      <c r="J670" t="s">
        <v>37</v>
      </c>
      <c r="K670">
        <v>144000</v>
      </c>
    </row>
    <row r="671" spans="1:11" x14ac:dyDescent="0.25">
      <c r="A671" s="10">
        <v>45765</v>
      </c>
      <c r="B671" t="s">
        <v>25</v>
      </c>
      <c r="C671" t="s">
        <v>12</v>
      </c>
      <c r="D671" t="s">
        <v>13</v>
      </c>
      <c r="E671" t="s">
        <v>14</v>
      </c>
      <c r="F671" t="s">
        <v>21</v>
      </c>
      <c r="G671" t="s">
        <v>22</v>
      </c>
      <c r="H671">
        <v>30000</v>
      </c>
      <c r="I671">
        <v>7</v>
      </c>
      <c r="J671" t="s">
        <v>28</v>
      </c>
      <c r="K671">
        <v>24000</v>
      </c>
    </row>
    <row r="672" spans="1:11" x14ac:dyDescent="0.25">
      <c r="A672" s="10">
        <v>45776</v>
      </c>
      <c r="B672" t="s">
        <v>29</v>
      </c>
      <c r="C672" t="s">
        <v>32</v>
      </c>
      <c r="D672" t="s">
        <v>23</v>
      </c>
      <c r="E672" t="s">
        <v>20</v>
      </c>
      <c r="F672" t="s">
        <v>41</v>
      </c>
      <c r="G672" t="s">
        <v>22</v>
      </c>
      <c r="H672">
        <v>220000</v>
      </c>
      <c r="I672">
        <v>5</v>
      </c>
      <c r="J672" t="s">
        <v>35</v>
      </c>
      <c r="K672">
        <v>176000</v>
      </c>
    </row>
    <row r="673" spans="1:11" x14ac:dyDescent="0.25">
      <c r="A673" s="10">
        <v>45714</v>
      </c>
      <c r="B673" t="s">
        <v>29</v>
      </c>
      <c r="C673" t="s">
        <v>32</v>
      </c>
      <c r="D673" t="s">
        <v>23</v>
      </c>
      <c r="E673" t="s">
        <v>14</v>
      </c>
      <c r="F673" t="s">
        <v>33</v>
      </c>
      <c r="G673" t="s">
        <v>22</v>
      </c>
      <c r="H673">
        <v>180000</v>
      </c>
      <c r="I673">
        <v>4</v>
      </c>
      <c r="J673" t="s">
        <v>39</v>
      </c>
      <c r="K673">
        <v>144000</v>
      </c>
    </row>
    <row r="674" spans="1:11" x14ac:dyDescent="0.25">
      <c r="A674" s="10">
        <v>45729</v>
      </c>
      <c r="B674" t="s">
        <v>25</v>
      </c>
      <c r="C674" t="s">
        <v>12</v>
      </c>
      <c r="D674" t="s">
        <v>23</v>
      </c>
      <c r="E674" t="s">
        <v>14</v>
      </c>
      <c r="F674" t="s">
        <v>33</v>
      </c>
      <c r="G674" t="s">
        <v>22</v>
      </c>
      <c r="H674">
        <v>180000</v>
      </c>
      <c r="I674">
        <v>2</v>
      </c>
      <c r="J674" t="s">
        <v>28</v>
      </c>
      <c r="K674">
        <v>144000</v>
      </c>
    </row>
    <row r="675" spans="1:11" x14ac:dyDescent="0.25">
      <c r="A675" s="10">
        <v>45700</v>
      </c>
      <c r="B675" t="s">
        <v>11</v>
      </c>
      <c r="C675" t="s">
        <v>26</v>
      </c>
      <c r="D675" t="s">
        <v>23</v>
      </c>
      <c r="E675" t="s">
        <v>14</v>
      </c>
      <c r="F675" t="s">
        <v>41</v>
      </c>
      <c r="G675" t="s">
        <v>22</v>
      </c>
      <c r="H675">
        <v>220000</v>
      </c>
      <c r="I675">
        <v>2</v>
      </c>
      <c r="J675" t="s">
        <v>37</v>
      </c>
      <c r="K675">
        <v>176000</v>
      </c>
    </row>
    <row r="676" spans="1:11" x14ac:dyDescent="0.25">
      <c r="A676" s="10">
        <v>45750</v>
      </c>
      <c r="B676" t="s">
        <v>11</v>
      </c>
      <c r="C676" t="s">
        <v>19</v>
      </c>
      <c r="D676" t="s">
        <v>23</v>
      </c>
      <c r="E676" t="s">
        <v>20</v>
      </c>
      <c r="F676" t="s">
        <v>27</v>
      </c>
      <c r="G676" t="s">
        <v>22</v>
      </c>
      <c r="H676">
        <v>60000</v>
      </c>
      <c r="I676">
        <v>10</v>
      </c>
      <c r="J676" t="s">
        <v>37</v>
      </c>
      <c r="K676">
        <v>48000</v>
      </c>
    </row>
    <row r="677" spans="1:11" x14ac:dyDescent="0.25">
      <c r="A677" s="10">
        <v>45707</v>
      </c>
      <c r="B677" t="s">
        <v>29</v>
      </c>
      <c r="C677" t="s">
        <v>12</v>
      </c>
      <c r="D677" t="s">
        <v>13</v>
      </c>
      <c r="E677" t="s">
        <v>20</v>
      </c>
      <c r="F677" t="s">
        <v>21</v>
      </c>
      <c r="G677" t="s">
        <v>22</v>
      </c>
      <c r="H677">
        <v>30000</v>
      </c>
      <c r="I677">
        <v>2</v>
      </c>
      <c r="J677" t="s">
        <v>39</v>
      </c>
      <c r="K677">
        <v>24000</v>
      </c>
    </row>
    <row r="678" spans="1:11" x14ac:dyDescent="0.25">
      <c r="A678" s="10">
        <v>45668</v>
      </c>
      <c r="B678" t="s">
        <v>18</v>
      </c>
      <c r="C678" t="s">
        <v>19</v>
      </c>
      <c r="D678" t="s">
        <v>23</v>
      </c>
      <c r="E678" t="s">
        <v>14</v>
      </c>
      <c r="F678" t="s">
        <v>30</v>
      </c>
      <c r="G678" t="s">
        <v>31</v>
      </c>
      <c r="H678">
        <v>300000</v>
      </c>
      <c r="I678">
        <v>3</v>
      </c>
      <c r="J678" t="s">
        <v>24</v>
      </c>
      <c r="K678">
        <v>240000</v>
      </c>
    </row>
    <row r="679" spans="1:11" x14ac:dyDescent="0.25">
      <c r="A679" s="10">
        <v>45729</v>
      </c>
      <c r="B679" t="s">
        <v>25</v>
      </c>
      <c r="C679" t="s">
        <v>26</v>
      </c>
      <c r="D679" t="s">
        <v>13</v>
      </c>
      <c r="E679" t="s">
        <v>20</v>
      </c>
      <c r="F679" t="s">
        <v>21</v>
      </c>
      <c r="G679" t="s">
        <v>22</v>
      </c>
      <c r="H679">
        <v>30000</v>
      </c>
      <c r="I679">
        <v>8</v>
      </c>
      <c r="J679" t="s">
        <v>17</v>
      </c>
      <c r="K679">
        <v>24000</v>
      </c>
    </row>
    <row r="680" spans="1:11" x14ac:dyDescent="0.25">
      <c r="A680" s="10">
        <v>45719</v>
      </c>
      <c r="B680" t="s">
        <v>29</v>
      </c>
      <c r="C680" t="s">
        <v>12</v>
      </c>
      <c r="D680" t="s">
        <v>13</v>
      </c>
      <c r="E680" t="s">
        <v>14</v>
      </c>
      <c r="F680" t="s">
        <v>30</v>
      </c>
      <c r="G680" t="s">
        <v>31</v>
      </c>
      <c r="H680">
        <v>300000</v>
      </c>
      <c r="I680">
        <v>7</v>
      </c>
      <c r="J680" t="s">
        <v>17</v>
      </c>
      <c r="K680">
        <v>240000</v>
      </c>
    </row>
    <row r="681" spans="1:11" x14ac:dyDescent="0.25">
      <c r="A681" s="10">
        <v>45752</v>
      </c>
      <c r="B681" t="s">
        <v>18</v>
      </c>
      <c r="C681" t="s">
        <v>12</v>
      </c>
      <c r="D681" t="s">
        <v>13</v>
      </c>
      <c r="E681" t="s">
        <v>14</v>
      </c>
      <c r="F681" t="s">
        <v>21</v>
      </c>
      <c r="G681" t="s">
        <v>22</v>
      </c>
      <c r="H681">
        <v>30000</v>
      </c>
      <c r="I681">
        <v>2</v>
      </c>
      <c r="J681" t="s">
        <v>35</v>
      </c>
      <c r="K681">
        <v>24000</v>
      </c>
    </row>
    <row r="682" spans="1:11" x14ac:dyDescent="0.25">
      <c r="A682" s="10">
        <v>45723</v>
      </c>
      <c r="B682" t="s">
        <v>18</v>
      </c>
      <c r="C682" t="s">
        <v>12</v>
      </c>
      <c r="D682" t="s">
        <v>23</v>
      </c>
      <c r="E682" t="s">
        <v>20</v>
      </c>
      <c r="F682" t="s">
        <v>41</v>
      </c>
      <c r="G682" t="s">
        <v>22</v>
      </c>
      <c r="H682">
        <v>220000</v>
      </c>
      <c r="I682">
        <v>8</v>
      </c>
      <c r="J682" t="s">
        <v>28</v>
      </c>
      <c r="K682">
        <v>176000</v>
      </c>
    </row>
    <row r="683" spans="1:11" x14ac:dyDescent="0.25">
      <c r="A683" s="10">
        <v>45767</v>
      </c>
      <c r="B683" t="s">
        <v>11</v>
      </c>
      <c r="C683" t="s">
        <v>26</v>
      </c>
      <c r="D683" t="s">
        <v>13</v>
      </c>
      <c r="E683" t="s">
        <v>14</v>
      </c>
      <c r="F683" t="s">
        <v>27</v>
      </c>
      <c r="G683" t="s">
        <v>22</v>
      </c>
      <c r="H683">
        <v>60000</v>
      </c>
      <c r="I683">
        <v>1</v>
      </c>
      <c r="J683" t="s">
        <v>17</v>
      </c>
      <c r="K683">
        <v>48000</v>
      </c>
    </row>
    <row r="684" spans="1:11" x14ac:dyDescent="0.25">
      <c r="A684" s="10">
        <v>45717</v>
      </c>
      <c r="B684" t="s">
        <v>25</v>
      </c>
      <c r="C684" t="s">
        <v>26</v>
      </c>
      <c r="D684" t="s">
        <v>23</v>
      </c>
      <c r="E684" t="s">
        <v>14</v>
      </c>
      <c r="F684" t="s">
        <v>15</v>
      </c>
      <c r="G684" t="s">
        <v>16</v>
      </c>
      <c r="H684">
        <v>85000</v>
      </c>
      <c r="I684">
        <v>9</v>
      </c>
      <c r="J684" t="s">
        <v>37</v>
      </c>
      <c r="K684">
        <v>68000</v>
      </c>
    </row>
    <row r="685" spans="1:11" x14ac:dyDescent="0.25">
      <c r="A685" s="10">
        <v>45714</v>
      </c>
      <c r="B685" t="s">
        <v>18</v>
      </c>
      <c r="C685" t="s">
        <v>19</v>
      </c>
      <c r="D685" t="s">
        <v>13</v>
      </c>
      <c r="E685" t="s">
        <v>20</v>
      </c>
      <c r="F685" t="s">
        <v>15</v>
      </c>
      <c r="G685" t="s">
        <v>16</v>
      </c>
      <c r="H685">
        <v>85000</v>
      </c>
      <c r="I685">
        <v>4</v>
      </c>
      <c r="J685" t="s">
        <v>35</v>
      </c>
      <c r="K685">
        <v>68000</v>
      </c>
    </row>
    <row r="686" spans="1:11" x14ac:dyDescent="0.25">
      <c r="A686" s="10">
        <v>45688</v>
      </c>
      <c r="B686" t="s">
        <v>18</v>
      </c>
      <c r="C686" t="s">
        <v>32</v>
      </c>
      <c r="D686" t="s">
        <v>23</v>
      </c>
      <c r="E686" t="s">
        <v>20</v>
      </c>
      <c r="F686" t="s">
        <v>33</v>
      </c>
      <c r="G686" t="s">
        <v>22</v>
      </c>
      <c r="H686">
        <v>180000</v>
      </c>
      <c r="I686">
        <v>6</v>
      </c>
      <c r="J686" t="s">
        <v>17</v>
      </c>
      <c r="K686">
        <v>144000</v>
      </c>
    </row>
    <row r="687" spans="1:11" x14ac:dyDescent="0.25">
      <c r="A687" s="10">
        <v>45746</v>
      </c>
      <c r="B687" t="s">
        <v>11</v>
      </c>
      <c r="C687" t="s">
        <v>32</v>
      </c>
      <c r="D687" t="s">
        <v>13</v>
      </c>
      <c r="E687" t="s">
        <v>14</v>
      </c>
      <c r="F687" t="s">
        <v>33</v>
      </c>
      <c r="G687" t="s">
        <v>22</v>
      </c>
      <c r="H687">
        <v>180000</v>
      </c>
      <c r="I687">
        <v>2</v>
      </c>
      <c r="J687" t="s">
        <v>39</v>
      </c>
      <c r="K687">
        <v>144000</v>
      </c>
    </row>
    <row r="688" spans="1:11" x14ac:dyDescent="0.25">
      <c r="A688" s="10">
        <v>45664</v>
      </c>
      <c r="B688" t="s">
        <v>29</v>
      </c>
      <c r="C688" t="s">
        <v>12</v>
      </c>
      <c r="D688" t="s">
        <v>13</v>
      </c>
      <c r="E688" t="s">
        <v>14</v>
      </c>
      <c r="F688" t="s">
        <v>27</v>
      </c>
      <c r="G688" t="s">
        <v>22</v>
      </c>
      <c r="H688">
        <v>60000</v>
      </c>
      <c r="I688">
        <v>8</v>
      </c>
      <c r="J688" t="s">
        <v>28</v>
      </c>
      <c r="K688">
        <v>48000</v>
      </c>
    </row>
    <row r="689" spans="1:11" x14ac:dyDescent="0.25">
      <c r="A689" s="10">
        <v>45658</v>
      </c>
      <c r="B689" t="s">
        <v>29</v>
      </c>
      <c r="C689" t="s">
        <v>32</v>
      </c>
      <c r="D689" t="s">
        <v>13</v>
      </c>
      <c r="E689" t="s">
        <v>14</v>
      </c>
      <c r="F689" t="s">
        <v>34</v>
      </c>
      <c r="G689" t="s">
        <v>16</v>
      </c>
      <c r="H689">
        <v>320000</v>
      </c>
      <c r="I689">
        <v>4</v>
      </c>
      <c r="J689" t="s">
        <v>35</v>
      </c>
      <c r="K689">
        <v>256000</v>
      </c>
    </row>
    <row r="690" spans="1:11" x14ac:dyDescent="0.25">
      <c r="A690" s="10">
        <v>45749</v>
      </c>
      <c r="B690" t="s">
        <v>18</v>
      </c>
      <c r="C690" t="s">
        <v>19</v>
      </c>
      <c r="D690" t="s">
        <v>23</v>
      </c>
      <c r="E690" t="s">
        <v>14</v>
      </c>
      <c r="F690" t="s">
        <v>33</v>
      </c>
      <c r="G690" t="s">
        <v>22</v>
      </c>
      <c r="H690">
        <v>180000</v>
      </c>
      <c r="I690">
        <v>3</v>
      </c>
      <c r="J690" t="s">
        <v>24</v>
      </c>
      <c r="K690">
        <v>144000</v>
      </c>
    </row>
    <row r="691" spans="1:11" x14ac:dyDescent="0.25">
      <c r="A691" s="10">
        <v>45736</v>
      </c>
      <c r="B691" t="s">
        <v>18</v>
      </c>
      <c r="C691" t="s">
        <v>12</v>
      </c>
      <c r="D691" t="s">
        <v>13</v>
      </c>
      <c r="E691" t="s">
        <v>20</v>
      </c>
      <c r="F691" t="s">
        <v>36</v>
      </c>
      <c r="G691" t="s">
        <v>31</v>
      </c>
      <c r="H691">
        <v>150000</v>
      </c>
      <c r="I691">
        <v>9</v>
      </c>
      <c r="J691" t="s">
        <v>28</v>
      </c>
      <c r="K691">
        <v>120000</v>
      </c>
    </row>
    <row r="692" spans="1:11" x14ac:dyDescent="0.25">
      <c r="A692" s="10">
        <v>45764</v>
      </c>
      <c r="B692" t="s">
        <v>18</v>
      </c>
      <c r="C692" t="s">
        <v>19</v>
      </c>
      <c r="D692" t="s">
        <v>23</v>
      </c>
      <c r="E692" t="s">
        <v>20</v>
      </c>
      <c r="F692" t="s">
        <v>15</v>
      </c>
      <c r="G692" t="s">
        <v>16</v>
      </c>
      <c r="H692">
        <v>85000</v>
      </c>
      <c r="I692">
        <v>4</v>
      </c>
      <c r="J692" t="s">
        <v>17</v>
      </c>
      <c r="K692">
        <v>68000</v>
      </c>
    </row>
    <row r="693" spans="1:11" x14ac:dyDescent="0.25">
      <c r="A693" s="10">
        <v>45750</v>
      </c>
      <c r="B693" t="s">
        <v>25</v>
      </c>
      <c r="C693" t="s">
        <v>26</v>
      </c>
      <c r="D693" t="s">
        <v>13</v>
      </c>
      <c r="E693" t="s">
        <v>14</v>
      </c>
      <c r="F693" t="s">
        <v>41</v>
      </c>
      <c r="G693" t="s">
        <v>22</v>
      </c>
      <c r="H693">
        <v>220000</v>
      </c>
      <c r="I693">
        <v>4</v>
      </c>
      <c r="J693" t="s">
        <v>17</v>
      </c>
      <c r="K693">
        <v>176000</v>
      </c>
    </row>
    <row r="694" spans="1:11" x14ac:dyDescent="0.25">
      <c r="A694" s="10">
        <v>45706</v>
      </c>
      <c r="B694" t="s">
        <v>29</v>
      </c>
      <c r="C694" t="s">
        <v>12</v>
      </c>
      <c r="D694" t="s">
        <v>13</v>
      </c>
      <c r="E694" t="s">
        <v>14</v>
      </c>
      <c r="F694" t="s">
        <v>21</v>
      </c>
      <c r="G694" t="s">
        <v>22</v>
      </c>
      <c r="H694">
        <v>30000</v>
      </c>
      <c r="I694">
        <v>8</v>
      </c>
      <c r="J694" t="s">
        <v>37</v>
      </c>
      <c r="K694">
        <v>24000</v>
      </c>
    </row>
    <row r="695" spans="1:11" x14ac:dyDescent="0.25">
      <c r="A695" s="10">
        <v>45668</v>
      </c>
      <c r="B695" t="s">
        <v>25</v>
      </c>
      <c r="C695" t="s">
        <v>12</v>
      </c>
      <c r="D695" t="s">
        <v>13</v>
      </c>
      <c r="E695" t="s">
        <v>14</v>
      </c>
      <c r="F695" t="s">
        <v>15</v>
      </c>
      <c r="G695" t="s">
        <v>16</v>
      </c>
      <c r="H695">
        <v>85000</v>
      </c>
      <c r="I695">
        <v>4</v>
      </c>
      <c r="J695" t="s">
        <v>17</v>
      </c>
      <c r="K695">
        <v>68000</v>
      </c>
    </row>
    <row r="696" spans="1:11" x14ac:dyDescent="0.25">
      <c r="A696" s="10">
        <v>45692</v>
      </c>
      <c r="B696" t="s">
        <v>29</v>
      </c>
      <c r="C696" t="s">
        <v>12</v>
      </c>
      <c r="D696" t="s">
        <v>13</v>
      </c>
      <c r="E696" t="s">
        <v>14</v>
      </c>
      <c r="F696" t="s">
        <v>30</v>
      </c>
      <c r="G696" t="s">
        <v>31</v>
      </c>
      <c r="H696">
        <v>300000</v>
      </c>
      <c r="I696">
        <v>2</v>
      </c>
      <c r="J696" t="s">
        <v>28</v>
      </c>
      <c r="K696">
        <v>240000</v>
      </c>
    </row>
    <row r="697" spans="1:11" x14ac:dyDescent="0.25">
      <c r="A697" s="10">
        <v>45738</v>
      </c>
      <c r="B697" t="s">
        <v>11</v>
      </c>
      <c r="C697" t="s">
        <v>26</v>
      </c>
      <c r="D697" t="s">
        <v>23</v>
      </c>
      <c r="E697" t="s">
        <v>20</v>
      </c>
      <c r="F697" t="s">
        <v>15</v>
      </c>
      <c r="G697" t="s">
        <v>16</v>
      </c>
      <c r="H697">
        <v>85000</v>
      </c>
      <c r="I697">
        <v>2</v>
      </c>
      <c r="J697" t="s">
        <v>37</v>
      </c>
      <c r="K697">
        <v>68000</v>
      </c>
    </row>
    <row r="698" spans="1:11" x14ac:dyDescent="0.25">
      <c r="A698" s="10">
        <v>45772</v>
      </c>
      <c r="B698" t="s">
        <v>11</v>
      </c>
      <c r="C698" t="s">
        <v>12</v>
      </c>
      <c r="D698" t="s">
        <v>23</v>
      </c>
      <c r="E698" t="s">
        <v>14</v>
      </c>
      <c r="F698" t="s">
        <v>38</v>
      </c>
      <c r="G698" t="s">
        <v>31</v>
      </c>
      <c r="H698">
        <v>420000</v>
      </c>
      <c r="I698">
        <v>5</v>
      </c>
      <c r="J698" t="s">
        <v>17</v>
      </c>
      <c r="K698">
        <v>336000</v>
      </c>
    </row>
    <row r="699" spans="1:11" x14ac:dyDescent="0.25">
      <c r="A699" s="10">
        <v>45754</v>
      </c>
      <c r="B699" t="s">
        <v>25</v>
      </c>
      <c r="C699" t="s">
        <v>26</v>
      </c>
      <c r="D699" t="s">
        <v>23</v>
      </c>
      <c r="E699" t="s">
        <v>14</v>
      </c>
      <c r="F699" t="s">
        <v>30</v>
      </c>
      <c r="G699" t="s">
        <v>31</v>
      </c>
      <c r="H699">
        <v>300000</v>
      </c>
      <c r="I699">
        <v>8</v>
      </c>
      <c r="J699" t="s">
        <v>24</v>
      </c>
      <c r="K699">
        <v>240000</v>
      </c>
    </row>
    <row r="700" spans="1:11" x14ac:dyDescent="0.25">
      <c r="A700" s="10">
        <v>45750</v>
      </c>
      <c r="B700" t="s">
        <v>11</v>
      </c>
      <c r="C700" t="s">
        <v>19</v>
      </c>
      <c r="D700" t="s">
        <v>23</v>
      </c>
      <c r="E700" t="s">
        <v>20</v>
      </c>
      <c r="F700" t="s">
        <v>27</v>
      </c>
      <c r="G700" t="s">
        <v>22</v>
      </c>
      <c r="H700">
        <v>60000</v>
      </c>
      <c r="I700">
        <v>1</v>
      </c>
      <c r="J700" t="s">
        <v>17</v>
      </c>
      <c r="K700">
        <v>48000</v>
      </c>
    </row>
    <row r="701" spans="1:11" x14ac:dyDescent="0.25">
      <c r="A701" s="10">
        <v>45715</v>
      </c>
      <c r="B701" t="s">
        <v>11</v>
      </c>
      <c r="C701" t="s">
        <v>26</v>
      </c>
      <c r="D701" t="s">
        <v>13</v>
      </c>
      <c r="E701" t="s">
        <v>14</v>
      </c>
      <c r="F701" t="s">
        <v>40</v>
      </c>
      <c r="G701" t="s">
        <v>31</v>
      </c>
      <c r="H701">
        <v>250000</v>
      </c>
      <c r="I701">
        <v>8</v>
      </c>
      <c r="J701" t="s">
        <v>17</v>
      </c>
      <c r="K701">
        <v>200000</v>
      </c>
    </row>
    <row r="702" spans="1:11" x14ac:dyDescent="0.25">
      <c r="A702" s="10">
        <v>45761</v>
      </c>
      <c r="B702" t="s">
        <v>11</v>
      </c>
      <c r="C702" t="s">
        <v>19</v>
      </c>
      <c r="D702" t="s">
        <v>23</v>
      </c>
      <c r="E702" t="s">
        <v>14</v>
      </c>
      <c r="F702" t="s">
        <v>30</v>
      </c>
      <c r="G702" t="s">
        <v>31</v>
      </c>
      <c r="H702">
        <v>300000</v>
      </c>
      <c r="I702">
        <v>4</v>
      </c>
      <c r="J702" t="s">
        <v>17</v>
      </c>
      <c r="K702">
        <v>240000</v>
      </c>
    </row>
    <row r="703" spans="1:11" x14ac:dyDescent="0.25">
      <c r="A703" s="10">
        <v>45689</v>
      </c>
      <c r="B703" t="s">
        <v>18</v>
      </c>
      <c r="C703" t="s">
        <v>26</v>
      </c>
      <c r="D703" t="s">
        <v>23</v>
      </c>
      <c r="E703" t="s">
        <v>14</v>
      </c>
      <c r="F703" t="s">
        <v>30</v>
      </c>
      <c r="G703" t="s">
        <v>31</v>
      </c>
      <c r="H703">
        <v>300000</v>
      </c>
      <c r="I703">
        <v>10</v>
      </c>
      <c r="J703" t="s">
        <v>37</v>
      </c>
      <c r="K703">
        <v>240000</v>
      </c>
    </row>
    <row r="704" spans="1:11" x14ac:dyDescent="0.25">
      <c r="A704" s="10">
        <v>45664</v>
      </c>
      <c r="B704" t="s">
        <v>25</v>
      </c>
      <c r="C704" t="s">
        <v>19</v>
      </c>
      <c r="D704" t="s">
        <v>13</v>
      </c>
      <c r="E704" t="s">
        <v>14</v>
      </c>
      <c r="F704" t="s">
        <v>30</v>
      </c>
      <c r="G704" t="s">
        <v>31</v>
      </c>
      <c r="H704">
        <v>300000</v>
      </c>
      <c r="I704">
        <v>2</v>
      </c>
      <c r="J704" t="s">
        <v>39</v>
      </c>
      <c r="K704">
        <v>240000</v>
      </c>
    </row>
    <row r="705" spans="1:11" x14ac:dyDescent="0.25">
      <c r="A705" s="10">
        <v>45716</v>
      </c>
      <c r="B705" t="s">
        <v>11</v>
      </c>
      <c r="C705" t="s">
        <v>32</v>
      </c>
      <c r="D705" t="s">
        <v>13</v>
      </c>
      <c r="E705" t="s">
        <v>20</v>
      </c>
      <c r="F705" t="s">
        <v>15</v>
      </c>
      <c r="G705" t="s">
        <v>16</v>
      </c>
      <c r="H705">
        <v>85000</v>
      </c>
      <c r="I705">
        <v>2</v>
      </c>
      <c r="J705" t="s">
        <v>35</v>
      </c>
      <c r="K705">
        <v>68000</v>
      </c>
    </row>
    <row r="706" spans="1:11" x14ac:dyDescent="0.25">
      <c r="A706" s="10">
        <v>45753</v>
      </c>
      <c r="B706" t="s">
        <v>29</v>
      </c>
      <c r="C706" t="s">
        <v>19</v>
      </c>
      <c r="D706" t="s">
        <v>13</v>
      </c>
      <c r="E706" t="s">
        <v>14</v>
      </c>
      <c r="F706" t="s">
        <v>34</v>
      </c>
      <c r="G706" t="s">
        <v>16</v>
      </c>
      <c r="H706">
        <v>320000</v>
      </c>
      <c r="I706">
        <v>3</v>
      </c>
      <c r="J706" t="s">
        <v>28</v>
      </c>
      <c r="K706">
        <v>256000</v>
      </c>
    </row>
    <row r="707" spans="1:11" x14ac:dyDescent="0.25">
      <c r="A707" s="10">
        <v>45712</v>
      </c>
      <c r="B707" t="s">
        <v>11</v>
      </c>
      <c r="C707" t="s">
        <v>26</v>
      </c>
      <c r="D707" t="s">
        <v>13</v>
      </c>
      <c r="E707" t="s">
        <v>20</v>
      </c>
      <c r="F707" t="s">
        <v>36</v>
      </c>
      <c r="G707" t="s">
        <v>31</v>
      </c>
      <c r="H707">
        <v>150000</v>
      </c>
      <c r="I707">
        <v>4</v>
      </c>
      <c r="J707" t="s">
        <v>17</v>
      </c>
      <c r="K707">
        <v>120000</v>
      </c>
    </row>
    <row r="708" spans="1:11" x14ac:dyDescent="0.25">
      <c r="A708" s="10">
        <v>45675</v>
      </c>
      <c r="B708" t="s">
        <v>11</v>
      </c>
      <c r="C708" t="s">
        <v>26</v>
      </c>
      <c r="D708" t="s">
        <v>23</v>
      </c>
      <c r="E708" t="s">
        <v>20</v>
      </c>
      <c r="F708" t="s">
        <v>27</v>
      </c>
      <c r="G708" t="s">
        <v>22</v>
      </c>
      <c r="H708">
        <v>60000</v>
      </c>
      <c r="I708">
        <v>8</v>
      </c>
      <c r="J708" t="s">
        <v>28</v>
      </c>
      <c r="K708">
        <v>48000</v>
      </c>
    </row>
    <row r="709" spans="1:11" x14ac:dyDescent="0.25">
      <c r="A709" s="10">
        <v>45746</v>
      </c>
      <c r="B709" t="s">
        <v>29</v>
      </c>
      <c r="C709" t="s">
        <v>12</v>
      </c>
      <c r="D709" t="s">
        <v>23</v>
      </c>
      <c r="E709" t="s">
        <v>20</v>
      </c>
      <c r="F709" t="s">
        <v>15</v>
      </c>
      <c r="G709" t="s">
        <v>16</v>
      </c>
      <c r="H709">
        <v>85000</v>
      </c>
      <c r="I709">
        <v>2</v>
      </c>
      <c r="J709" t="s">
        <v>17</v>
      </c>
      <c r="K709">
        <v>68000</v>
      </c>
    </row>
    <row r="710" spans="1:11" x14ac:dyDescent="0.25">
      <c r="A710" s="10">
        <v>45776</v>
      </c>
      <c r="B710" t="s">
        <v>29</v>
      </c>
      <c r="C710" t="s">
        <v>19</v>
      </c>
      <c r="D710" t="s">
        <v>23</v>
      </c>
      <c r="E710" t="s">
        <v>20</v>
      </c>
      <c r="F710" t="s">
        <v>30</v>
      </c>
      <c r="G710" t="s">
        <v>31</v>
      </c>
      <c r="H710">
        <v>300000</v>
      </c>
      <c r="I710">
        <v>8</v>
      </c>
      <c r="J710" t="s">
        <v>24</v>
      </c>
      <c r="K710">
        <v>240000</v>
      </c>
    </row>
    <row r="711" spans="1:11" x14ac:dyDescent="0.25">
      <c r="A711" s="10">
        <v>45775</v>
      </c>
      <c r="B711" t="s">
        <v>29</v>
      </c>
      <c r="C711" t="s">
        <v>12</v>
      </c>
      <c r="D711" t="s">
        <v>13</v>
      </c>
      <c r="E711" t="s">
        <v>14</v>
      </c>
      <c r="F711" t="s">
        <v>34</v>
      </c>
      <c r="G711" t="s">
        <v>16</v>
      </c>
      <c r="H711">
        <v>320000</v>
      </c>
      <c r="I711">
        <v>5</v>
      </c>
      <c r="J711" t="s">
        <v>37</v>
      </c>
      <c r="K711">
        <v>256000</v>
      </c>
    </row>
    <row r="712" spans="1:11" x14ac:dyDescent="0.25">
      <c r="A712" s="10">
        <v>45664</v>
      </c>
      <c r="B712" t="s">
        <v>11</v>
      </c>
      <c r="C712" t="s">
        <v>19</v>
      </c>
      <c r="D712" t="s">
        <v>23</v>
      </c>
      <c r="E712" t="s">
        <v>20</v>
      </c>
      <c r="F712" t="s">
        <v>21</v>
      </c>
      <c r="G712" t="s">
        <v>22</v>
      </c>
      <c r="H712">
        <v>30000</v>
      </c>
      <c r="I712">
        <v>3</v>
      </c>
      <c r="J712" t="s">
        <v>24</v>
      </c>
      <c r="K712">
        <v>24000</v>
      </c>
    </row>
    <row r="713" spans="1:11" x14ac:dyDescent="0.25">
      <c r="A713" s="10">
        <v>45778</v>
      </c>
      <c r="B713" t="s">
        <v>25</v>
      </c>
      <c r="C713" t="s">
        <v>12</v>
      </c>
      <c r="D713" t="s">
        <v>13</v>
      </c>
      <c r="E713" t="s">
        <v>20</v>
      </c>
      <c r="F713" t="s">
        <v>21</v>
      </c>
      <c r="G713" t="s">
        <v>22</v>
      </c>
      <c r="H713">
        <v>30000</v>
      </c>
      <c r="I713">
        <v>1</v>
      </c>
      <c r="J713" t="s">
        <v>24</v>
      </c>
      <c r="K713">
        <v>24000</v>
      </c>
    </row>
    <row r="714" spans="1:11" x14ac:dyDescent="0.25">
      <c r="A714" s="10">
        <v>45729</v>
      </c>
      <c r="B714" t="s">
        <v>25</v>
      </c>
      <c r="C714" t="s">
        <v>32</v>
      </c>
      <c r="D714" t="s">
        <v>23</v>
      </c>
      <c r="E714" t="s">
        <v>20</v>
      </c>
      <c r="F714" t="s">
        <v>36</v>
      </c>
      <c r="G714" t="s">
        <v>31</v>
      </c>
      <c r="H714">
        <v>150000</v>
      </c>
      <c r="I714">
        <v>3</v>
      </c>
      <c r="J714" t="s">
        <v>24</v>
      </c>
      <c r="K714">
        <v>120000</v>
      </c>
    </row>
    <row r="715" spans="1:11" x14ac:dyDescent="0.25">
      <c r="A715" s="10">
        <v>45751</v>
      </c>
      <c r="B715" t="s">
        <v>25</v>
      </c>
      <c r="C715" t="s">
        <v>26</v>
      </c>
      <c r="D715" t="s">
        <v>13</v>
      </c>
      <c r="E715" t="s">
        <v>14</v>
      </c>
      <c r="F715" t="s">
        <v>21</v>
      </c>
      <c r="G715" t="s">
        <v>22</v>
      </c>
      <c r="H715">
        <v>30000</v>
      </c>
      <c r="I715">
        <v>5</v>
      </c>
      <c r="J715" t="s">
        <v>35</v>
      </c>
      <c r="K715">
        <v>24000</v>
      </c>
    </row>
    <row r="716" spans="1:11" x14ac:dyDescent="0.25">
      <c r="A716" s="10">
        <v>45694</v>
      </c>
      <c r="B716" t="s">
        <v>29</v>
      </c>
      <c r="C716" t="s">
        <v>32</v>
      </c>
      <c r="D716" t="s">
        <v>23</v>
      </c>
      <c r="E716" t="s">
        <v>20</v>
      </c>
      <c r="F716" t="s">
        <v>33</v>
      </c>
      <c r="G716" t="s">
        <v>22</v>
      </c>
      <c r="H716">
        <v>180000</v>
      </c>
      <c r="I716">
        <v>4</v>
      </c>
      <c r="J716" t="s">
        <v>24</v>
      </c>
      <c r="K716">
        <v>144000</v>
      </c>
    </row>
    <row r="717" spans="1:11" x14ac:dyDescent="0.25">
      <c r="A717" s="10">
        <v>45661</v>
      </c>
      <c r="B717" t="s">
        <v>25</v>
      </c>
      <c r="C717" t="s">
        <v>26</v>
      </c>
      <c r="D717" t="s">
        <v>23</v>
      </c>
      <c r="E717" t="s">
        <v>20</v>
      </c>
      <c r="F717" t="s">
        <v>33</v>
      </c>
      <c r="G717" t="s">
        <v>22</v>
      </c>
      <c r="H717">
        <v>180000</v>
      </c>
      <c r="I717">
        <v>3</v>
      </c>
      <c r="J717" t="s">
        <v>39</v>
      </c>
      <c r="K717">
        <v>144000</v>
      </c>
    </row>
    <row r="718" spans="1:11" x14ac:dyDescent="0.25">
      <c r="A718" s="10">
        <v>45699</v>
      </c>
      <c r="B718" t="s">
        <v>18</v>
      </c>
      <c r="C718" t="s">
        <v>19</v>
      </c>
      <c r="D718" t="s">
        <v>23</v>
      </c>
      <c r="E718" t="s">
        <v>20</v>
      </c>
      <c r="F718" t="s">
        <v>30</v>
      </c>
      <c r="G718" t="s">
        <v>31</v>
      </c>
      <c r="H718">
        <v>300000</v>
      </c>
      <c r="I718">
        <v>8</v>
      </c>
      <c r="J718" t="s">
        <v>17</v>
      </c>
      <c r="K718">
        <v>240000</v>
      </c>
    </row>
    <row r="719" spans="1:11" x14ac:dyDescent="0.25">
      <c r="A719" s="10">
        <v>45714</v>
      </c>
      <c r="B719" t="s">
        <v>18</v>
      </c>
      <c r="C719" t="s">
        <v>32</v>
      </c>
      <c r="D719" t="s">
        <v>23</v>
      </c>
      <c r="E719" t="s">
        <v>14</v>
      </c>
      <c r="F719" t="s">
        <v>15</v>
      </c>
      <c r="G719" t="s">
        <v>16</v>
      </c>
      <c r="H719">
        <v>85000</v>
      </c>
      <c r="I719">
        <v>8</v>
      </c>
      <c r="J719" t="s">
        <v>24</v>
      </c>
      <c r="K719">
        <v>68000</v>
      </c>
    </row>
    <row r="720" spans="1:11" x14ac:dyDescent="0.25">
      <c r="A720" s="10">
        <v>45706</v>
      </c>
      <c r="B720" t="s">
        <v>29</v>
      </c>
      <c r="C720" t="s">
        <v>19</v>
      </c>
      <c r="D720" t="s">
        <v>13</v>
      </c>
      <c r="E720" t="s">
        <v>20</v>
      </c>
      <c r="F720" t="s">
        <v>33</v>
      </c>
      <c r="G720" t="s">
        <v>22</v>
      </c>
      <c r="H720">
        <v>180000</v>
      </c>
      <c r="I720">
        <v>1</v>
      </c>
      <c r="J720" t="s">
        <v>17</v>
      </c>
      <c r="K720">
        <v>144000</v>
      </c>
    </row>
    <row r="721" spans="1:11" x14ac:dyDescent="0.25">
      <c r="A721" s="10">
        <v>45757</v>
      </c>
      <c r="B721" t="s">
        <v>25</v>
      </c>
      <c r="C721" t="s">
        <v>12</v>
      </c>
      <c r="D721" t="s">
        <v>23</v>
      </c>
      <c r="E721" t="s">
        <v>14</v>
      </c>
      <c r="F721" t="s">
        <v>38</v>
      </c>
      <c r="G721" t="s">
        <v>31</v>
      </c>
      <c r="H721">
        <v>420000</v>
      </c>
      <c r="I721">
        <v>6</v>
      </c>
      <c r="J721" t="s">
        <v>24</v>
      </c>
      <c r="K721">
        <v>336000</v>
      </c>
    </row>
    <row r="722" spans="1:11" x14ac:dyDescent="0.25">
      <c r="A722" s="10">
        <v>45764</v>
      </c>
      <c r="B722" t="s">
        <v>11</v>
      </c>
      <c r="C722" t="s">
        <v>32</v>
      </c>
      <c r="D722" t="s">
        <v>13</v>
      </c>
      <c r="E722" t="s">
        <v>20</v>
      </c>
      <c r="F722" t="s">
        <v>38</v>
      </c>
      <c r="G722" t="s">
        <v>31</v>
      </c>
      <c r="H722">
        <v>420000</v>
      </c>
      <c r="I722">
        <v>4</v>
      </c>
      <c r="J722" t="s">
        <v>37</v>
      </c>
      <c r="K722">
        <v>336000</v>
      </c>
    </row>
    <row r="723" spans="1:11" x14ac:dyDescent="0.25">
      <c r="A723" s="10">
        <v>45735</v>
      </c>
      <c r="B723" t="s">
        <v>18</v>
      </c>
      <c r="C723" t="s">
        <v>32</v>
      </c>
      <c r="D723" t="s">
        <v>23</v>
      </c>
      <c r="E723" t="s">
        <v>20</v>
      </c>
      <c r="F723" t="s">
        <v>33</v>
      </c>
      <c r="G723" t="s">
        <v>22</v>
      </c>
      <c r="H723">
        <v>180000</v>
      </c>
      <c r="I723">
        <v>3</v>
      </c>
      <c r="J723" t="s">
        <v>24</v>
      </c>
      <c r="K723">
        <v>144000</v>
      </c>
    </row>
    <row r="724" spans="1:11" x14ac:dyDescent="0.25">
      <c r="A724" s="10">
        <v>45731</v>
      </c>
      <c r="B724" t="s">
        <v>25</v>
      </c>
      <c r="C724" t="s">
        <v>19</v>
      </c>
      <c r="D724" t="s">
        <v>13</v>
      </c>
      <c r="E724" t="s">
        <v>14</v>
      </c>
      <c r="F724" t="s">
        <v>27</v>
      </c>
      <c r="G724" t="s">
        <v>22</v>
      </c>
      <c r="H724">
        <v>60000</v>
      </c>
      <c r="I724">
        <v>3</v>
      </c>
      <c r="J724" t="s">
        <v>24</v>
      </c>
      <c r="K724">
        <v>48000</v>
      </c>
    </row>
    <row r="725" spans="1:11" x14ac:dyDescent="0.25">
      <c r="A725" s="10">
        <v>45674</v>
      </c>
      <c r="B725" t="s">
        <v>18</v>
      </c>
      <c r="C725" t="s">
        <v>32</v>
      </c>
      <c r="D725" t="s">
        <v>13</v>
      </c>
      <c r="E725" t="s">
        <v>20</v>
      </c>
      <c r="F725" t="s">
        <v>36</v>
      </c>
      <c r="G725" t="s">
        <v>31</v>
      </c>
      <c r="H725">
        <v>150000</v>
      </c>
      <c r="I725">
        <v>1</v>
      </c>
      <c r="J725" t="s">
        <v>28</v>
      </c>
      <c r="K725">
        <v>120000</v>
      </c>
    </row>
    <row r="726" spans="1:11" x14ac:dyDescent="0.25">
      <c r="A726" s="10">
        <v>45686</v>
      </c>
      <c r="B726" t="s">
        <v>25</v>
      </c>
      <c r="C726" t="s">
        <v>12</v>
      </c>
      <c r="D726" t="s">
        <v>23</v>
      </c>
      <c r="E726" t="s">
        <v>14</v>
      </c>
      <c r="F726" t="s">
        <v>38</v>
      </c>
      <c r="G726" t="s">
        <v>31</v>
      </c>
      <c r="H726">
        <v>420000</v>
      </c>
      <c r="I726">
        <v>4</v>
      </c>
      <c r="J726" t="s">
        <v>24</v>
      </c>
      <c r="K726">
        <v>336000</v>
      </c>
    </row>
    <row r="727" spans="1:11" x14ac:dyDescent="0.25">
      <c r="A727" s="10">
        <v>45760</v>
      </c>
      <c r="B727" t="s">
        <v>29</v>
      </c>
      <c r="C727" t="s">
        <v>19</v>
      </c>
      <c r="D727" t="s">
        <v>23</v>
      </c>
      <c r="E727" t="s">
        <v>14</v>
      </c>
      <c r="F727" t="s">
        <v>40</v>
      </c>
      <c r="G727" t="s">
        <v>31</v>
      </c>
      <c r="H727">
        <v>250000</v>
      </c>
      <c r="I727">
        <v>6</v>
      </c>
      <c r="J727" t="s">
        <v>28</v>
      </c>
      <c r="K727">
        <v>200000</v>
      </c>
    </row>
    <row r="728" spans="1:11" x14ac:dyDescent="0.25">
      <c r="A728" s="10">
        <v>45720</v>
      </c>
      <c r="B728" t="s">
        <v>25</v>
      </c>
      <c r="C728" t="s">
        <v>12</v>
      </c>
      <c r="D728" t="s">
        <v>23</v>
      </c>
      <c r="E728" t="s">
        <v>20</v>
      </c>
      <c r="F728" t="s">
        <v>34</v>
      </c>
      <c r="G728" t="s">
        <v>16</v>
      </c>
      <c r="H728">
        <v>320000</v>
      </c>
      <c r="I728">
        <v>1</v>
      </c>
      <c r="J728" t="s">
        <v>35</v>
      </c>
      <c r="K728">
        <v>256000</v>
      </c>
    </row>
    <row r="729" spans="1:11" x14ac:dyDescent="0.25">
      <c r="A729" s="10">
        <v>45680</v>
      </c>
      <c r="B729" t="s">
        <v>29</v>
      </c>
      <c r="C729" t="s">
        <v>32</v>
      </c>
      <c r="D729" t="s">
        <v>23</v>
      </c>
      <c r="E729" t="s">
        <v>20</v>
      </c>
      <c r="F729" t="s">
        <v>41</v>
      </c>
      <c r="G729" t="s">
        <v>22</v>
      </c>
      <c r="H729">
        <v>220000</v>
      </c>
      <c r="I729">
        <v>10</v>
      </c>
      <c r="J729" t="s">
        <v>39</v>
      </c>
      <c r="K729">
        <v>176000</v>
      </c>
    </row>
    <row r="730" spans="1:11" x14ac:dyDescent="0.25">
      <c r="A730" s="10">
        <v>45762</v>
      </c>
      <c r="B730" t="s">
        <v>29</v>
      </c>
      <c r="C730" t="s">
        <v>19</v>
      </c>
      <c r="D730" t="s">
        <v>13</v>
      </c>
      <c r="E730" t="s">
        <v>14</v>
      </c>
      <c r="F730" t="s">
        <v>41</v>
      </c>
      <c r="G730" t="s">
        <v>22</v>
      </c>
      <c r="H730">
        <v>220000</v>
      </c>
      <c r="I730">
        <v>5</v>
      </c>
      <c r="J730" t="s">
        <v>24</v>
      </c>
      <c r="K730">
        <v>176000</v>
      </c>
    </row>
    <row r="731" spans="1:11" x14ac:dyDescent="0.25">
      <c r="A731" s="10">
        <v>45666</v>
      </c>
      <c r="B731" t="s">
        <v>25</v>
      </c>
      <c r="C731" t="s">
        <v>26</v>
      </c>
      <c r="D731" t="s">
        <v>23</v>
      </c>
      <c r="E731" t="s">
        <v>20</v>
      </c>
      <c r="F731" t="s">
        <v>41</v>
      </c>
      <c r="G731" t="s">
        <v>22</v>
      </c>
      <c r="H731">
        <v>220000</v>
      </c>
      <c r="I731">
        <v>8</v>
      </c>
      <c r="J731" t="s">
        <v>39</v>
      </c>
      <c r="K731">
        <v>176000</v>
      </c>
    </row>
    <row r="732" spans="1:11" x14ac:dyDescent="0.25">
      <c r="A732" s="10">
        <v>45741</v>
      </c>
      <c r="B732" t="s">
        <v>18</v>
      </c>
      <c r="C732" t="s">
        <v>12</v>
      </c>
      <c r="D732" t="s">
        <v>13</v>
      </c>
      <c r="E732" t="s">
        <v>14</v>
      </c>
      <c r="F732" t="s">
        <v>41</v>
      </c>
      <c r="G732" t="s">
        <v>22</v>
      </c>
      <c r="H732">
        <v>220000</v>
      </c>
      <c r="I732">
        <v>9</v>
      </c>
      <c r="J732" t="s">
        <v>28</v>
      </c>
      <c r="K732">
        <v>176000</v>
      </c>
    </row>
    <row r="733" spans="1:11" x14ac:dyDescent="0.25">
      <c r="A733" s="10">
        <v>45722</v>
      </c>
      <c r="B733" t="s">
        <v>29</v>
      </c>
      <c r="C733" t="s">
        <v>26</v>
      </c>
      <c r="D733" t="s">
        <v>23</v>
      </c>
      <c r="E733" t="s">
        <v>14</v>
      </c>
      <c r="F733" t="s">
        <v>30</v>
      </c>
      <c r="G733" t="s">
        <v>31</v>
      </c>
      <c r="H733">
        <v>300000</v>
      </c>
      <c r="I733">
        <v>7</v>
      </c>
      <c r="J733" t="s">
        <v>39</v>
      </c>
      <c r="K733">
        <v>240000</v>
      </c>
    </row>
    <row r="734" spans="1:11" x14ac:dyDescent="0.25">
      <c r="A734" s="10">
        <v>45723</v>
      </c>
      <c r="B734" t="s">
        <v>11</v>
      </c>
      <c r="C734" t="s">
        <v>32</v>
      </c>
      <c r="D734" t="s">
        <v>13</v>
      </c>
      <c r="E734" t="s">
        <v>14</v>
      </c>
      <c r="F734" t="s">
        <v>38</v>
      </c>
      <c r="G734" t="s">
        <v>31</v>
      </c>
      <c r="H734">
        <v>420000</v>
      </c>
      <c r="I734">
        <v>1</v>
      </c>
      <c r="J734" t="s">
        <v>28</v>
      </c>
      <c r="K734">
        <v>336000</v>
      </c>
    </row>
    <row r="735" spans="1:11" x14ac:dyDescent="0.25">
      <c r="A735" s="10">
        <v>45692</v>
      </c>
      <c r="B735" t="s">
        <v>11</v>
      </c>
      <c r="C735" t="s">
        <v>19</v>
      </c>
      <c r="D735" t="s">
        <v>23</v>
      </c>
      <c r="E735" t="s">
        <v>20</v>
      </c>
      <c r="F735" t="s">
        <v>33</v>
      </c>
      <c r="G735" t="s">
        <v>22</v>
      </c>
      <c r="H735">
        <v>180000</v>
      </c>
      <c r="I735">
        <v>6</v>
      </c>
      <c r="J735" t="s">
        <v>28</v>
      </c>
      <c r="K735">
        <v>144000</v>
      </c>
    </row>
    <row r="736" spans="1:11" x14ac:dyDescent="0.25">
      <c r="A736" s="10">
        <v>45753</v>
      </c>
      <c r="B736" t="s">
        <v>29</v>
      </c>
      <c r="C736" t="s">
        <v>12</v>
      </c>
      <c r="D736" t="s">
        <v>13</v>
      </c>
      <c r="E736" t="s">
        <v>14</v>
      </c>
      <c r="F736" t="s">
        <v>40</v>
      </c>
      <c r="G736" t="s">
        <v>31</v>
      </c>
      <c r="H736">
        <v>250000</v>
      </c>
      <c r="I736">
        <v>3</v>
      </c>
      <c r="J736" t="s">
        <v>28</v>
      </c>
      <c r="K736">
        <v>200000</v>
      </c>
    </row>
    <row r="737" spans="1:11" x14ac:dyDescent="0.25">
      <c r="A737" s="10">
        <v>45761</v>
      </c>
      <c r="B737" t="s">
        <v>29</v>
      </c>
      <c r="C737" t="s">
        <v>32</v>
      </c>
      <c r="D737" t="s">
        <v>13</v>
      </c>
      <c r="E737" t="s">
        <v>14</v>
      </c>
      <c r="F737" t="s">
        <v>34</v>
      </c>
      <c r="G737" t="s">
        <v>16</v>
      </c>
      <c r="H737">
        <v>320000</v>
      </c>
      <c r="I737">
        <v>2</v>
      </c>
      <c r="J737" t="s">
        <v>17</v>
      </c>
      <c r="K737">
        <v>256000</v>
      </c>
    </row>
    <row r="738" spans="1:11" x14ac:dyDescent="0.25">
      <c r="A738" s="10">
        <v>45773</v>
      </c>
      <c r="B738" t="s">
        <v>18</v>
      </c>
      <c r="C738" t="s">
        <v>19</v>
      </c>
      <c r="D738" t="s">
        <v>23</v>
      </c>
      <c r="E738" t="s">
        <v>14</v>
      </c>
      <c r="F738" t="s">
        <v>27</v>
      </c>
      <c r="G738" t="s">
        <v>22</v>
      </c>
      <c r="H738">
        <v>60000</v>
      </c>
      <c r="I738">
        <v>3</v>
      </c>
      <c r="J738" t="s">
        <v>24</v>
      </c>
      <c r="K738">
        <v>48000</v>
      </c>
    </row>
    <row r="739" spans="1:11" x14ac:dyDescent="0.25">
      <c r="A739" s="10">
        <v>45750</v>
      </c>
      <c r="B739" t="s">
        <v>25</v>
      </c>
      <c r="C739" t="s">
        <v>32</v>
      </c>
      <c r="D739" t="s">
        <v>23</v>
      </c>
      <c r="E739" t="s">
        <v>20</v>
      </c>
      <c r="F739" t="s">
        <v>21</v>
      </c>
      <c r="G739" t="s">
        <v>22</v>
      </c>
      <c r="H739">
        <v>30000</v>
      </c>
      <c r="I739">
        <v>9</v>
      </c>
      <c r="J739" t="s">
        <v>24</v>
      </c>
      <c r="K739">
        <v>24000</v>
      </c>
    </row>
    <row r="740" spans="1:11" x14ac:dyDescent="0.25">
      <c r="A740" s="10">
        <v>45694</v>
      </c>
      <c r="B740" t="s">
        <v>18</v>
      </c>
      <c r="C740" t="s">
        <v>26</v>
      </c>
      <c r="D740" t="s">
        <v>23</v>
      </c>
      <c r="E740" t="s">
        <v>20</v>
      </c>
      <c r="F740" t="s">
        <v>33</v>
      </c>
      <c r="G740" t="s">
        <v>22</v>
      </c>
      <c r="H740">
        <v>180000</v>
      </c>
      <c r="I740">
        <v>6</v>
      </c>
      <c r="J740" t="s">
        <v>24</v>
      </c>
      <c r="K740">
        <v>144000</v>
      </c>
    </row>
    <row r="741" spans="1:11" x14ac:dyDescent="0.25">
      <c r="A741" s="10">
        <v>45753</v>
      </c>
      <c r="B741" t="s">
        <v>25</v>
      </c>
      <c r="C741" t="s">
        <v>26</v>
      </c>
      <c r="D741" t="s">
        <v>23</v>
      </c>
      <c r="E741" t="s">
        <v>14</v>
      </c>
      <c r="F741" t="s">
        <v>27</v>
      </c>
      <c r="G741" t="s">
        <v>22</v>
      </c>
      <c r="H741">
        <v>60000</v>
      </c>
      <c r="I741">
        <v>8</v>
      </c>
      <c r="J741" t="s">
        <v>37</v>
      </c>
      <c r="K741">
        <v>48000</v>
      </c>
    </row>
    <row r="742" spans="1:11" x14ac:dyDescent="0.25">
      <c r="A742" s="10">
        <v>45683</v>
      </c>
      <c r="B742" t="s">
        <v>25</v>
      </c>
      <c r="C742" t="s">
        <v>26</v>
      </c>
      <c r="D742" t="s">
        <v>23</v>
      </c>
      <c r="E742" t="s">
        <v>14</v>
      </c>
      <c r="F742" t="s">
        <v>27</v>
      </c>
      <c r="G742" t="s">
        <v>22</v>
      </c>
      <c r="H742">
        <v>60000</v>
      </c>
      <c r="I742">
        <v>8</v>
      </c>
      <c r="J742" t="s">
        <v>39</v>
      </c>
      <c r="K742">
        <v>48000</v>
      </c>
    </row>
    <row r="743" spans="1:11" x14ac:dyDescent="0.25">
      <c r="A743" s="10">
        <v>45763</v>
      </c>
      <c r="B743" t="s">
        <v>25</v>
      </c>
      <c r="C743" t="s">
        <v>26</v>
      </c>
      <c r="D743" t="s">
        <v>23</v>
      </c>
      <c r="E743" t="s">
        <v>20</v>
      </c>
      <c r="F743" t="s">
        <v>40</v>
      </c>
      <c r="G743" t="s">
        <v>31</v>
      </c>
      <c r="H743">
        <v>250000</v>
      </c>
      <c r="I743">
        <v>3</v>
      </c>
      <c r="J743" t="s">
        <v>35</v>
      </c>
      <c r="K743">
        <v>200000</v>
      </c>
    </row>
    <row r="744" spans="1:11" x14ac:dyDescent="0.25">
      <c r="A744" s="10">
        <v>45686</v>
      </c>
      <c r="B744" t="s">
        <v>29</v>
      </c>
      <c r="C744" t="s">
        <v>26</v>
      </c>
      <c r="D744" t="s">
        <v>23</v>
      </c>
      <c r="E744" t="s">
        <v>20</v>
      </c>
      <c r="F744" t="s">
        <v>15</v>
      </c>
      <c r="G744" t="s">
        <v>16</v>
      </c>
      <c r="H744">
        <v>85000</v>
      </c>
      <c r="I744">
        <v>6</v>
      </c>
      <c r="J744" t="s">
        <v>37</v>
      </c>
      <c r="K744">
        <v>68000</v>
      </c>
    </row>
    <row r="745" spans="1:11" x14ac:dyDescent="0.25">
      <c r="A745" s="10">
        <v>45672</v>
      </c>
      <c r="B745" t="s">
        <v>18</v>
      </c>
      <c r="C745" t="s">
        <v>32</v>
      </c>
      <c r="D745" t="s">
        <v>23</v>
      </c>
      <c r="E745" t="s">
        <v>14</v>
      </c>
      <c r="F745" t="s">
        <v>41</v>
      </c>
      <c r="G745" t="s">
        <v>22</v>
      </c>
      <c r="H745">
        <v>220000</v>
      </c>
      <c r="I745">
        <v>9</v>
      </c>
      <c r="J745" t="s">
        <v>28</v>
      </c>
      <c r="K745">
        <v>176000</v>
      </c>
    </row>
    <row r="746" spans="1:11" x14ac:dyDescent="0.25">
      <c r="A746" s="10">
        <v>45660</v>
      </c>
      <c r="B746" t="s">
        <v>29</v>
      </c>
      <c r="C746" t="s">
        <v>32</v>
      </c>
      <c r="D746" t="s">
        <v>23</v>
      </c>
      <c r="E746" t="s">
        <v>20</v>
      </c>
      <c r="F746" t="s">
        <v>40</v>
      </c>
      <c r="G746" t="s">
        <v>31</v>
      </c>
      <c r="H746">
        <v>250000</v>
      </c>
      <c r="I746">
        <v>4</v>
      </c>
      <c r="J746" t="s">
        <v>28</v>
      </c>
      <c r="K746">
        <v>200000</v>
      </c>
    </row>
    <row r="747" spans="1:11" x14ac:dyDescent="0.25">
      <c r="A747" s="10">
        <v>45733</v>
      </c>
      <c r="B747" t="s">
        <v>25</v>
      </c>
      <c r="C747" t="s">
        <v>26</v>
      </c>
      <c r="D747" t="s">
        <v>23</v>
      </c>
      <c r="E747" t="s">
        <v>20</v>
      </c>
      <c r="F747" t="s">
        <v>40</v>
      </c>
      <c r="G747" t="s">
        <v>31</v>
      </c>
      <c r="H747">
        <v>250000</v>
      </c>
      <c r="I747">
        <v>3</v>
      </c>
      <c r="J747" t="s">
        <v>17</v>
      </c>
      <c r="K747">
        <v>200000</v>
      </c>
    </row>
    <row r="748" spans="1:11" x14ac:dyDescent="0.25">
      <c r="A748" s="10">
        <v>45681</v>
      </c>
      <c r="B748" t="s">
        <v>25</v>
      </c>
      <c r="C748" t="s">
        <v>32</v>
      </c>
      <c r="D748" t="s">
        <v>23</v>
      </c>
      <c r="E748" t="s">
        <v>20</v>
      </c>
      <c r="F748" t="s">
        <v>21</v>
      </c>
      <c r="G748" t="s">
        <v>22</v>
      </c>
      <c r="H748">
        <v>30000</v>
      </c>
      <c r="I748">
        <v>10</v>
      </c>
      <c r="J748" t="s">
        <v>17</v>
      </c>
      <c r="K748">
        <v>24000</v>
      </c>
    </row>
    <row r="749" spans="1:11" x14ac:dyDescent="0.25">
      <c r="A749" s="10">
        <v>45778</v>
      </c>
      <c r="B749" t="s">
        <v>29</v>
      </c>
      <c r="C749" t="s">
        <v>26</v>
      </c>
      <c r="D749" t="s">
        <v>23</v>
      </c>
      <c r="E749" t="s">
        <v>20</v>
      </c>
      <c r="F749" t="s">
        <v>30</v>
      </c>
      <c r="G749" t="s">
        <v>31</v>
      </c>
      <c r="H749">
        <v>300000</v>
      </c>
      <c r="I749">
        <v>4</v>
      </c>
      <c r="J749" t="s">
        <v>39</v>
      </c>
      <c r="K749">
        <v>240000</v>
      </c>
    </row>
    <row r="750" spans="1:11" x14ac:dyDescent="0.25">
      <c r="A750" s="10">
        <v>45763</v>
      </c>
      <c r="B750" t="s">
        <v>25</v>
      </c>
      <c r="C750" t="s">
        <v>12</v>
      </c>
      <c r="D750" t="s">
        <v>23</v>
      </c>
      <c r="E750" t="s">
        <v>20</v>
      </c>
      <c r="F750" t="s">
        <v>34</v>
      </c>
      <c r="G750" t="s">
        <v>16</v>
      </c>
      <c r="H750">
        <v>320000</v>
      </c>
      <c r="I750">
        <v>2</v>
      </c>
      <c r="J750" t="s">
        <v>35</v>
      </c>
      <c r="K750">
        <v>256000</v>
      </c>
    </row>
    <row r="751" spans="1:11" x14ac:dyDescent="0.25">
      <c r="A751" s="10">
        <v>45663</v>
      </c>
      <c r="B751" t="s">
        <v>25</v>
      </c>
      <c r="C751" t="s">
        <v>32</v>
      </c>
      <c r="D751" t="s">
        <v>23</v>
      </c>
      <c r="E751" t="s">
        <v>20</v>
      </c>
      <c r="F751" t="s">
        <v>38</v>
      </c>
      <c r="G751" t="s">
        <v>31</v>
      </c>
      <c r="H751">
        <v>420000</v>
      </c>
      <c r="I751">
        <v>8</v>
      </c>
      <c r="J751" t="s">
        <v>39</v>
      </c>
      <c r="K751">
        <v>336000</v>
      </c>
    </row>
    <row r="752" spans="1:11" x14ac:dyDescent="0.25">
      <c r="A752" s="10">
        <v>45712</v>
      </c>
      <c r="B752" t="s">
        <v>25</v>
      </c>
      <c r="C752" t="s">
        <v>32</v>
      </c>
      <c r="D752" t="s">
        <v>23</v>
      </c>
      <c r="E752" t="s">
        <v>20</v>
      </c>
      <c r="F752" t="s">
        <v>21</v>
      </c>
      <c r="G752" t="s">
        <v>22</v>
      </c>
      <c r="H752">
        <v>30000</v>
      </c>
      <c r="I752">
        <v>2</v>
      </c>
      <c r="J752" t="s">
        <v>24</v>
      </c>
      <c r="K752">
        <v>24000</v>
      </c>
    </row>
    <row r="753" spans="1:11" x14ac:dyDescent="0.25">
      <c r="A753" s="10">
        <v>45691</v>
      </c>
      <c r="B753" t="s">
        <v>29</v>
      </c>
      <c r="C753" t="s">
        <v>32</v>
      </c>
      <c r="D753" t="s">
        <v>23</v>
      </c>
      <c r="E753" t="s">
        <v>20</v>
      </c>
      <c r="F753" t="s">
        <v>36</v>
      </c>
      <c r="G753" t="s">
        <v>31</v>
      </c>
      <c r="H753">
        <v>150000</v>
      </c>
      <c r="I753">
        <v>3</v>
      </c>
      <c r="J753" t="s">
        <v>17</v>
      </c>
      <c r="K753">
        <v>120000</v>
      </c>
    </row>
    <row r="754" spans="1:11" x14ac:dyDescent="0.25">
      <c r="A754" s="10">
        <v>45720</v>
      </c>
      <c r="B754" t="s">
        <v>25</v>
      </c>
      <c r="C754" t="s">
        <v>19</v>
      </c>
      <c r="D754" t="s">
        <v>23</v>
      </c>
      <c r="E754" t="s">
        <v>20</v>
      </c>
      <c r="F754" t="s">
        <v>41</v>
      </c>
      <c r="G754" t="s">
        <v>22</v>
      </c>
      <c r="H754">
        <v>220000</v>
      </c>
      <c r="I754">
        <v>6</v>
      </c>
      <c r="J754" t="s">
        <v>24</v>
      </c>
      <c r="K754">
        <v>176000</v>
      </c>
    </row>
    <row r="755" spans="1:11" x14ac:dyDescent="0.25">
      <c r="A755" s="10">
        <v>45753</v>
      </c>
      <c r="B755" t="s">
        <v>11</v>
      </c>
      <c r="C755" t="s">
        <v>12</v>
      </c>
      <c r="D755" t="s">
        <v>23</v>
      </c>
      <c r="E755" t="s">
        <v>14</v>
      </c>
      <c r="F755" t="s">
        <v>27</v>
      </c>
      <c r="G755" t="s">
        <v>22</v>
      </c>
      <c r="H755">
        <v>60000</v>
      </c>
      <c r="I755">
        <v>7</v>
      </c>
      <c r="J755" t="s">
        <v>35</v>
      </c>
      <c r="K755">
        <v>48000</v>
      </c>
    </row>
    <row r="756" spans="1:11" x14ac:dyDescent="0.25">
      <c r="A756" s="10">
        <v>45690</v>
      </c>
      <c r="B756" t="s">
        <v>25</v>
      </c>
      <c r="C756" t="s">
        <v>12</v>
      </c>
      <c r="D756" t="s">
        <v>13</v>
      </c>
      <c r="E756" t="s">
        <v>14</v>
      </c>
      <c r="F756" t="s">
        <v>15</v>
      </c>
      <c r="G756" t="s">
        <v>16</v>
      </c>
      <c r="H756">
        <v>85000</v>
      </c>
      <c r="I756">
        <v>7</v>
      </c>
      <c r="J756" t="s">
        <v>35</v>
      </c>
      <c r="K756">
        <v>68000</v>
      </c>
    </row>
    <row r="757" spans="1:11" x14ac:dyDescent="0.25">
      <c r="A757" s="10">
        <v>45671</v>
      </c>
      <c r="B757" t="s">
        <v>11</v>
      </c>
      <c r="C757" t="s">
        <v>19</v>
      </c>
      <c r="D757" t="s">
        <v>13</v>
      </c>
      <c r="E757" t="s">
        <v>14</v>
      </c>
      <c r="F757" t="s">
        <v>38</v>
      </c>
      <c r="G757" t="s">
        <v>31</v>
      </c>
      <c r="H757">
        <v>420000</v>
      </c>
      <c r="I757">
        <v>6</v>
      </c>
      <c r="J757" t="s">
        <v>17</v>
      </c>
      <c r="K757">
        <v>336000</v>
      </c>
    </row>
    <row r="758" spans="1:11" x14ac:dyDescent="0.25">
      <c r="A758" s="10">
        <v>45762</v>
      </c>
      <c r="B758" t="s">
        <v>11</v>
      </c>
      <c r="C758" t="s">
        <v>12</v>
      </c>
      <c r="D758" t="s">
        <v>13</v>
      </c>
      <c r="E758" t="s">
        <v>20</v>
      </c>
      <c r="F758" t="s">
        <v>30</v>
      </c>
      <c r="G758" t="s">
        <v>31</v>
      </c>
      <c r="H758">
        <v>300000</v>
      </c>
      <c r="I758">
        <v>3</v>
      </c>
      <c r="J758" t="s">
        <v>28</v>
      </c>
      <c r="K758">
        <v>240000</v>
      </c>
    </row>
    <row r="759" spans="1:11" x14ac:dyDescent="0.25">
      <c r="A759" s="10">
        <v>45682</v>
      </c>
      <c r="B759" t="s">
        <v>29</v>
      </c>
      <c r="C759" t="s">
        <v>32</v>
      </c>
      <c r="D759" t="s">
        <v>13</v>
      </c>
      <c r="E759" t="s">
        <v>14</v>
      </c>
      <c r="F759" t="s">
        <v>41</v>
      </c>
      <c r="G759" t="s">
        <v>22</v>
      </c>
      <c r="H759">
        <v>220000</v>
      </c>
      <c r="I759">
        <v>10</v>
      </c>
      <c r="J759" t="s">
        <v>17</v>
      </c>
      <c r="K759">
        <v>176000</v>
      </c>
    </row>
    <row r="760" spans="1:11" x14ac:dyDescent="0.25">
      <c r="A760" s="10">
        <v>45715</v>
      </c>
      <c r="B760" t="s">
        <v>29</v>
      </c>
      <c r="C760" t="s">
        <v>12</v>
      </c>
      <c r="D760" t="s">
        <v>23</v>
      </c>
      <c r="E760" t="s">
        <v>20</v>
      </c>
      <c r="F760" t="s">
        <v>15</v>
      </c>
      <c r="G760" t="s">
        <v>16</v>
      </c>
      <c r="H760">
        <v>85000</v>
      </c>
      <c r="I760">
        <v>4</v>
      </c>
      <c r="J760" t="s">
        <v>35</v>
      </c>
      <c r="K760">
        <v>68000</v>
      </c>
    </row>
    <row r="761" spans="1:11" x14ac:dyDescent="0.25">
      <c r="A761" s="10">
        <v>45726</v>
      </c>
      <c r="B761" t="s">
        <v>29</v>
      </c>
      <c r="C761" t="s">
        <v>19</v>
      </c>
      <c r="D761" t="s">
        <v>13</v>
      </c>
      <c r="E761" t="s">
        <v>20</v>
      </c>
      <c r="F761" t="s">
        <v>34</v>
      </c>
      <c r="G761" t="s">
        <v>16</v>
      </c>
      <c r="H761">
        <v>320000</v>
      </c>
      <c r="I761">
        <v>4</v>
      </c>
      <c r="J761" t="s">
        <v>39</v>
      </c>
      <c r="K761">
        <v>256000</v>
      </c>
    </row>
    <row r="762" spans="1:11" x14ac:dyDescent="0.25">
      <c r="A762" s="10">
        <v>45684</v>
      </c>
      <c r="B762" t="s">
        <v>25</v>
      </c>
      <c r="C762" t="s">
        <v>32</v>
      </c>
      <c r="D762" t="s">
        <v>13</v>
      </c>
      <c r="E762" t="s">
        <v>20</v>
      </c>
      <c r="F762" t="s">
        <v>36</v>
      </c>
      <c r="G762" t="s">
        <v>31</v>
      </c>
      <c r="H762">
        <v>150000</v>
      </c>
      <c r="I762">
        <v>6</v>
      </c>
      <c r="J762" t="s">
        <v>39</v>
      </c>
      <c r="K762">
        <v>120000</v>
      </c>
    </row>
    <row r="763" spans="1:11" x14ac:dyDescent="0.25">
      <c r="A763" s="10">
        <v>45684</v>
      </c>
      <c r="B763" t="s">
        <v>11</v>
      </c>
      <c r="C763" t="s">
        <v>19</v>
      </c>
      <c r="D763" t="s">
        <v>13</v>
      </c>
      <c r="E763" t="s">
        <v>20</v>
      </c>
      <c r="F763" t="s">
        <v>34</v>
      </c>
      <c r="G763" t="s">
        <v>16</v>
      </c>
      <c r="H763">
        <v>320000</v>
      </c>
      <c r="I763">
        <v>2</v>
      </c>
      <c r="J763" t="s">
        <v>39</v>
      </c>
      <c r="K763">
        <v>256000</v>
      </c>
    </row>
    <row r="764" spans="1:11" x14ac:dyDescent="0.25">
      <c r="A764" s="10">
        <v>45711</v>
      </c>
      <c r="B764" t="s">
        <v>29</v>
      </c>
      <c r="C764" t="s">
        <v>26</v>
      </c>
      <c r="D764" t="s">
        <v>13</v>
      </c>
      <c r="E764" t="s">
        <v>14</v>
      </c>
      <c r="F764" t="s">
        <v>34</v>
      </c>
      <c r="G764" t="s">
        <v>16</v>
      </c>
      <c r="H764">
        <v>320000</v>
      </c>
      <c r="I764">
        <v>10</v>
      </c>
      <c r="J764" t="s">
        <v>39</v>
      </c>
      <c r="K764">
        <v>256000</v>
      </c>
    </row>
    <row r="765" spans="1:11" x14ac:dyDescent="0.25">
      <c r="A765" s="10">
        <v>45702</v>
      </c>
      <c r="B765" t="s">
        <v>25</v>
      </c>
      <c r="C765" t="s">
        <v>19</v>
      </c>
      <c r="D765" t="s">
        <v>23</v>
      </c>
      <c r="E765" t="s">
        <v>14</v>
      </c>
      <c r="F765" t="s">
        <v>38</v>
      </c>
      <c r="G765" t="s">
        <v>31</v>
      </c>
      <c r="H765">
        <v>420000</v>
      </c>
      <c r="I765">
        <v>8</v>
      </c>
      <c r="J765" t="s">
        <v>17</v>
      </c>
      <c r="K765">
        <v>336000</v>
      </c>
    </row>
    <row r="766" spans="1:11" x14ac:dyDescent="0.25">
      <c r="A766" s="10">
        <v>45717</v>
      </c>
      <c r="B766" t="s">
        <v>29</v>
      </c>
      <c r="C766" t="s">
        <v>12</v>
      </c>
      <c r="D766" t="s">
        <v>23</v>
      </c>
      <c r="E766" t="s">
        <v>14</v>
      </c>
      <c r="F766" t="s">
        <v>36</v>
      </c>
      <c r="G766" t="s">
        <v>31</v>
      </c>
      <c r="H766">
        <v>150000</v>
      </c>
      <c r="I766">
        <v>5</v>
      </c>
      <c r="J766" t="s">
        <v>37</v>
      </c>
      <c r="K766">
        <v>120000</v>
      </c>
    </row>
    <row r="767" spans="1:11" x14ac:dyDescent="0.25">
      <c r="A767" s="10">
        <v>45760</v>
      </c>
      <c r="B767" t="s">
        <v>11</v>
      </c>
      <c r="C767" t="s">
        <v>26</v>
      </c>
      <c r="D767" t="s">
        <v>23</v>
      </c>
      <c r="E767" t="s">
        <v>20</v>
      </c>
      <c r="F767" t="s">
        <v>15</v>
      </c>
      <c r="G767" t="s">
        <v>16</v>
      </c>
      <c r="H767">
        <v>85000</v>
      </c>
      <c r="I767">
        <v>1</v>
      </c>
      <c r="J767" t="s">
        <v>37</v>
      </c>
      <c r="K767">
        <v>68000</v>
      </c>
    </row>
    <row r="768" spans="1:11" x14ac:dyDescent="0.25">
      <c r="A768" s="10">
        <v>45768</v>
      </c>
      <c r="B768" t="s">
        <v>18</v>
      </c>
      <c r="C768" t="s">
        <v>32</v>
      </c>
      <c r="D768" t="s">
        <v>23</v>
      </c>
      <c r="E768" t="s">
        <v>20</v>
      </c>
      <c r="F768" t="s">
        <v>38</v>
      </c>
      <c r="G768" t="s">
        <v>31</v>
      </c>
      <c r="H768">
        <v>420000</v>
      </c>
      <c r="I768">
        <v>2</v>
      </c>
      <c r="J768" t="s">
        <v>39</v>
      </c>
      <c r="K768">
        <v>336000</v>
      </c>
    </row>
    <row r="769" spans="1:11" x14ac:dyDescent="0.25">
      <c r="A769" s="10">
        <v>45680</v>
      </c>
      <c r="B769" t="s">
        <v>18</v>
      </c>
      <c r="C769" t="s">
        <v>32</v>
      </c>
      <c r="D769" t="s">
        <v>13</v>
      </c>
      <c r="E769" t="s">
        <v>20</v>
      </c>
      <c r="F769" t="s">
        <v>33</v>
      </c>
      <c r="G769" t="s">
        <v>22</v>
      </c>
      <c r="H769">
        <v>180000</v>
      </c>
      <c r="I769">
        <v>6</v>
      </c>
      <c r="J769" t="s">
        <v>39</v>
      </c>
      <c r="K769">
        <v>144000</v>
      </c>
    </row>
    <row r="770" spans="1:11" x14ac:dyDescent="0.25">
      <c r="A770" s="10">
        <v>45703</v>
      </c>
      <c r="B770" t="s">
        <v>18</v>
      </c>
      <c r="C770" t="s">
        <v>12</v>
      </c>
      <c r="D770" t="s">
        <v>13</v>
      </c>
      <c r="E770" t="s">
        <v>20</v>
      </c>
      <c r="F770" t="s">
        <v>41</v>
      </c>
      <c r="G770" t="s">
        <v>22</v>
      </c>
      <c r="H770">
        <v>220000</v>
      </c>
      <c r="I770">
        <v>7</v>
      </c>
      <c r="J770" t="s">
        <v>17</v>
      </c>
      <c r="K770">
        <v>176000</v>
      </c>
    </row>
    <row r="771" spans="1:11" x14ac:dyDescent="0.25">
      <c r="A771" s="10">
        <v>45774</v>
      </c>
      <c r="B771" t="s">
        <v>18</v>
      </c>
      <c r="C771" t="s">
        <v>12</v>
      </c>
      <c r="D771" t="s">
        <v>13</v>
      </c>
      <c r="E771" t="s">
        <v>14</v>
      </c>
      <c r="F771" t="s">
        <v>41</v>
      </c>
      <c r="G771" t="s">
        <v>22</v>
      </c>
      <c r="H771">
        <v>220000</v>
      </c>
      <c r="I771">
        <v>5</v>
      </c>
      <c r="J771" t="s">
        <v>24</v>
      </c>
      <c r="K771">
        <v>176000</v>
      </c>
    </row>
    <row r="772" spans="1:11" x14ac:dyDescent="0.25">
      <c r="A772" s="10">
        <v>45733</v>
      </c>
      <c r="B772" t="s">
        <v>29</v>
      </c>
      <c r="C772" t="s">
        <v>12</v>
      </c>
      <c r="D772" t="s">
        <v>13</v>
      </c>
      <c r="E772" t="s">
        <v>20</v>
      </c>
      <c r="F772" t="s">
        <v>30</v>
      </c>
      <c r="G772" t="s">
        <v>31</v>
      </c>
      <c r="H772">
        <v>300000</v>
      </c>
      <c r="I772">
        <v>6</v>
      </c>
      <c r="J772" t="s">
        <v>28</v>
      </c>
      <c r="K772">
        <v>240000</v>
      </c>
    </row>
    <row r="773" spans="1:11" x14ac:dyDescent="0.25">
      <c r="A773" s="10">
        <v>45771</v>
      </c>
      <c r="B773" t="s">
        <v>11</v>
      </c>
      <c r="C773" t="s">
        <v>26</v>
      </c>
      <c r="D773" t="s">
        <v>13</v>
      </c>
      <c r="E773" t="s">
        <v>20</v>
      </c>
      <c r="F773" t="s">
        <v>40</v>
      </c>
      <c r="G773" t="s">
        <v>31</v>
      </c>
      <c r="H773">
        <v>250000</v>
      </c>
      <c r="I773">
        <v>4</v>
      </c>
      <c r="J773" t="s">
        <v>28</v>
      </c>
      <c r="K773">
        <v>200000</v>
      </c>
    </row>
    <row r="774" spans="1:11" x14ac:dyDescent="0.25">
      <c r="A774" s="10">
        <v>45753</v>
      </c>
      <c r="B774" t="s">
        <v>29</v>
      </c>
      <c r="C774" t="s">
        <v>19</v>
      </c>
      <c r="D774" t="s">
        <v>23</v>
      </c>
      <c r="E774" t="s">
        <v>14</v>
      </c>
      <c r="F774" t="s">
        <v>34</v>
      </c>
      <c r="G774" t="s">
        <v>16</v>
      </c>
      <c r="H774">
        <v>320000</v>
      </c>
      <c r="I774">
        <v>5</v>
      </c>
      <c r="J774" t="s">
        <v>24</v>
      </c>
      <c r="K774">
        <v>256000</v>
      </c>
    </row>
    <row r="775" spans="1:11" x14ac:dyDescent="0.25">
      <c r="A775" s="10">
        <v>45741</v>
      </c>
      <c r="B775" t="s">
        <v>29</v>
      </c>
      <c r="C775" t="s">
        <v>12</v>
      </c>
      <c r="D775" t="s">
        <v>13</v>
      </c>
      <c r="E775" t="s">
        <v>20</v>
      </c>
      <c r="F775" t="s">
        <v>30</v>
      </c>
      <c r="G775" t="s">
        <v>31</v>
      </c>
      <c r="H775">
        <v>300000</v>
      </c>
      <c r="I775">
        <v>10</v>
      </c>
      <c r="J775" t="s">
        <v>39</v>
      </c>
      <c r="K775">
        <v>240000</v>
      </c>
    </row>
    <row r="776" spans="1:11" x14ac:dyDescent="0.25">
      <c r="A776" s="10">
        <v>45729</v>
      </c>
      <c r="B776" t="s">
        <v>29</v>
      </c>
      <c r="C776" t="s">
        <v>12</v>
      </c>
      <c r="D776" t="s">
        <v>13</v>
      </c>
      <c r="E776" t="s">
        <v>20</v>
      </c>
      <c r="F776" t="s">
        <v>27</v>
      </c>
      <c r="G776" t="s">
        <v>22</v>
      </c>
      <c r="H776">
        <v>60000</v>
      </c>
      <c r="I776">
        <v>5</v>
      </c>
      <c r="J776" t="s">
        <v>37</v>
      </c>
      <c r="K776">
        <v>48000</v>
      </c>
    </row>
    <row r="777" spans="1:11" x14ac:dyDescent="0.25">
      <c r="A777" s="10">
        <v>45749</v>
      </c>
      <c r="B777" t="s">
        <v>29</v>
      </c>
      <c r="C777" t="s">
        <v>26</v>
      </c>
      <c r="D777" t="s">
        <v>13</v>
      </c>
      <c r="E777" t="s">
        <v>14</v>
      </c>
      <c r="F777" t="s">
        <v>38</v>
      </c>
      <c r="G777" t="s">
        <v>31</v>
      </c>
      <c r="H777">
        <v>420000</v>
      </c>
      <c r="I777">
        <v>8</v>
      </c>
      <c r="J777" t="s">
        <v>35</v>
      </c>
      <c r="K777">
        <v>336000</v>
      </c>
    </row>
    <row r="778" spans="1:11" x14ac:dyDescent="0.25">
      <c r="A778" s="10">
        <v>45680</v>
      </c>
      <c r="B778" t="s">
        <v>11</v>
      </c>
      <c r="C778" t="s">
        <v>32</v>
      </c>
      <c r="D778" t="s">
        <v>23</v>
      </c>
      <c r="E778" t="s">
        <v>14</v>
      </c>
      <c r="F778" t="s">
        <v>30</v>
      </c>
      <c r="G778" t="s">
        <v>31</v>
      </c>
      <c r="H778">
        <v>300000</v>
      </c>
      <c r="I778">
        <v>1</v>
      </c>
      <c r="J778" t="s">
        <v>24</v>
      </c>
      <c r="K778">
        <v>240000</v>
      </c>
    </row>
    <row r="779" spans="1:11" x14ac:dyDescent="0.25">
      <c r="A779" s="10">
        <v>45729</v>
      </c>
      <c r="B779" t="s">
        <v>11</v>
      </c>
      <c r="C779" t="s">
        <v>26</v>
      </c>
      <c r="D779" t="s">
        <v>23</v>
      </c>
      <c r="E779" t="s">
        <v>20</v>
      </c>
      <c r="F779" t="s">
        <v>38</v>
      </c>
      <c r="G779" t="s">
        <v>31</v>
      </c>
      <c r="H779">
        <v>420000</v>
      </c>
      <c r="I779">
        <v>2</v>
      </c>
      <c r="J779" t="s">
        <v>37</v>
      </c>
      <c r="K779">
        <v>336000</v>
      </c>
    </row>
    <row r="780" spans="1:11" x14ac:dyDescent="0.25">
      <c r="A780" s="10">
        <v>45682</v>
      </c>
      <c r="B780" t="s">
        <v>25</v>
      </c>
      <c r="C780" t="s">
        <v>19</v>
      </c>
      <c r="D780" t="s">
        <v>23</v>
      </c>
      <c r="E780" t="s">
        <v>14</v>
      </c>
      <c r="F780" t="s">
        <v>38</v>
      </c>
      <c r="G780" t="s">
        <v>31</v>
      </c>
      <c r="H780">
        <v>420000</v>
      </c>
      <c r="I780">
        <v>7</v>
      </c>
      <c r="J780" t="s">
        <v>35</v>
      </c>
      <c r="K780">
        <v>336000</v>
      </c>
    </row>
    <row r="781" spans="1:11" x14ac:dyDescent="0.25">
      <c r="A781" s="10">
        <v>45688</v>
      </c>
      <c r="B781" t="s">
        <v>11</v>
      </c>
      <c r="C781" t="s">
        <v>26</v>
      </c>
      <c r="D781" t="s">
        <v>23</v>
      </c>
      <c r="E781" t="s">
        <v>14</v>
      </c>
      <c r="F781" t="s">
        <v>33</v>
      </c>
      <c r="G781" t="s">
        <v>22</v>
      </c>
      <c r="H781">
        <v>180000</v>
      </c>
      <c r="I781">
        <v>8</v>
      </c>
      <c r="J781" t="s">
        <v>28</v>
      </c>
      <c r="K781">
        <v>144000</v>
      </c>
    </row>
    <row r="782" spans="1:11" x14ac:dyDescent="0.25">
      <c r="A782" s="10">
        <v>45679</v>
      </c>
      <c r="B782" t="s">
        <v>11</v>
      </c>
      <c r="C782" t="s">
        <v>26</v>
      </c>
      <c r="D782" t="s">
        <v>13</v>
      </c>
      <c r="E782" t="s">
        <v>14</v>
      </c>
      <c r="F782" t="s">
        <v>27</v>
      </c>
      <c r="G782" t="s">
        <v>22</v>
      </c>
      <c r="H782">
        <v>60000</v>
      </c>
      <c r="I782">
        <v>7</v>
      </c>
      <c r="J782" t="s">
        <v>28</v>
      </c>
      <c r="K782">
        <v>48000</v>
      </c>
    </row>
    <row r="783" spans="1:11" x14ac:dyDescent="0.25">
      <c r="A783" s="10">
        <v>45765</v>
      </c>
      <c r="B783" t="s">
        <v>18</v>
      </c>
      <c r="C783" t="s">
        <v>19</v>
      </c>
      <c r="D783" t="s">
        <v>23</v>
      </c>
      <c r="E783" t="s">
        <v>14</v>
      </c>
      <c r="F783" t="s">
        <v>38</v>
      </c>
      <c r="G783" t="s">
        <v>31</v>
      </c>
      <c r="H783">
        <v>420000</v>
      </c>
      <c r="I783">
        <v>7</v>
      </c>
      <c r="J783" t="s">
        <v>28</v>
      </c>
      <c r="K783">
        <v>336000</v>
      </c>
    </row>
    <row r="784" spans="1:11" x14ac:dyDescent="0.25">
      <c r="A784" s="10">
        <v>45706</v>
      </c>
      <c r="B784" t="s">
        <v>18</v>
      </c>
      <c r="C784" t="s">
        <v>12</v>
      </c>
      <c r="D784" t="s">
        <v>13</v>
      </c>
      <c r="E784" t="s">
        <v>14</v>
      </c>
      <c r="F784" t="s">
        <v>33</v>
      </c>
      <c r="G784" t="s">
        <v>22</v>
      </c>
      <c r="H784">
        <v>180000</v>
      </c>
      <c r="I784">
        <v>5</v>
      </c>
      <c r="J784" t="s">
        <v>39</v>
      </c>
      <c r="K784">
        <v>144000</v>
      </c>
    </row>
    <row r="785" spans="1:11" x14ac:dyDescent="0.25">
      <c r="A785" s="10">
        <v>45743</v>
      </c>
      <c r="B785" t="s">
        <v>18</v>
      </c>
      <c r="C785" t="s">
        <v>26</v>
      </c>
      <c r="D785" t="s">
        <v>23</v>
      </c>
      <c r="E785" t="s">
        <v>20</v>
      </c>
      <c r="F785" t="s">
        <v>38</v>
      </c>
      <c r="G785" t="s">
        <v>31</v>
      </c>
      <c r="H785">
        <v>420000</v>
      </c>
      <c r="I785">
        <v>9</v>
      </c>
      <c r="J785" t="s">
        <v>39</v>
      </c>
      <c r="K785">
        <v>336000</v>
      </c>
    </row>
    <row r="786" spans="1:11" x14ac:dyDescent="0.25">
      <c r="A786" s="10">
        <v>45698</v>
      </c>
      <c r="B786" t="s">
        <v>18</v>
      </c>
      <c r="C786" t="s">
        <v>26</v>
      </c>
      <c r="D786" t="s">
        <v>23</v>
      </c>
      <c r="E786" t="s">
        <v>20</v>
      </c>
      <c r="F786" t="s">
        <v>30</v>
      </c>
      <c r="G786" t="s">
        <v>31</v>
      </c>
      <c r="H786">
        <v>300000</v>
      </c>
      <c r="I786">
        <v>7</v>
      </c>
      <c r="J786" t="s">
        <v>35</v>
      </c>
      <c r="K786">
        <v>240000</v>
      </c>
    </row>
    <row r="787" spans="1:11" x14ac:dyDescent="0.25">
      <c r="A787" s="10">
        <v>45762</v>
      </c>
      <c r="B787" t="s">
        <v>11</v>
      </c>
      <c r="C787" t="s">
        <v>32</v>
      </c>
      <c r="D787" t="s">
        <v>13</v>
      </c>
      <c r="E787" t="s">
        <v>20</v>
      </c>
      <c r="F787" t="s">
        <v>36</v>
      </c>
      <c r="G787" t="s">
        <v>31</v>
      </c>
      <c r="H787">
        <v>150000</v>
      </c>
      <c r="I787">
        <v>3</v>
      </c>
      <c r="J787" t="s">
        <v>24</v>
      </c>
      <c r="K787">
        <v>120000</v>
      </c>
    </row>
    <row r="788" spans="1:11" x14ac:dyDescent="0.25">
      <c r="A788" s="10">
        <v>45678</v>
      </c>
      <c r="B788" t="s">
        <v>11</v>
      </c>
      <c r="C788" t="s">
        <v>19</v>
      </c>
      <c r="D788" t="s">
        <v>13</v>
      </c>
      <c r="E788" t="s">
        <v>20</v>
      </c>
      <c r="F788" t="s">
        <v>30</v>
      </c>
      <c r="G788" t="s">
        <v>31</v>
      </c>
      <c r="H788">
        <v>300000</v>
      </c>
      <c r="I788">
        <v>10</v>
      </c>
      <c r="J788" t="s">
        <v>39</v>
      </c>
      <c r="K788">
        <v>240000</v>
      </c>
    </row>
    <row r="789" spans="1:11" x14ac:dyDescent="0.25">
      <c r="A789" s="10">
        <v>45707</v>
      </c>
      <c r="B789" t="s">
        <v>18</v>
      </c>
      <c r="C789" t="s">
        <v>12</v>
      </c>
      <c r="D789" t="s">
        <v>13</v>
      </c>
      <c r="E789" t="s">
        <v>14</v>
      </c>
      <c r="F789" t="s">
        <v>38</v>
      </c>
      <c r="G789" t="s">
        <v>31</v>
      </c>
      <c r="H789">
        <v>420000</v>
      </c>
      <c r="I789">
        <v>8</v>
      </c>
      <c r="J789" t="s">
        <v>39</v>
      </c>
      <c r="K789">
        <v>336000</v>
      </c>
    </row>
    <row r="790" spans="1:11" x14ac:dyDescent="0.25">
      <c r="A790" s="10">
        <v>45726</v>
      </c>
      <c r="B790" t="s">
        <v>11</v>
      </c>
      <c r="C790" t="s">
        <v>26</v>
      </c>
      <c r="D790" t="s">
        <v>23</v>
      </c>
      <c r="E790" t="s">
        <v>20</v>
      </c>
      <c r="F790" t="s">
        <v>41</v>
      </c>
      <c r="G790" t="s">
        <v>22</v>
      </c>
      <c r="H790">
        <v>220000</v>
      </c>
      <c r="I790">
        <v>2</v>
      </c>
      <c r="J790" t="s">
        <v>28</v>
      </c>
      <c r="K790">
        <v>176000</v>
      </c>
    </row>
    <row r="791" spans="1:11" x14ac:dyDescent="0.25">
      <c r="A791" s="10">
        <v>45711</v>
      </c>
      <c r="B791" t="s">
        <v>11</v>
      </c>
      <c r="C791" t="s">
        <v>32</v>
      </c>
      <c r="D791" t="s">
        <v>13</v>
      </c>
      <c r="E791" t="s">
        <v>14</v>
      </c>
      <c r="F791" t="s">
        <v>36</v>
      </c>
      <c r="G791" t="s">
        <v>31</v>
      </c>
      <c r="H791">
        <v>150000</v>
      </c>
      <c r="I791">
        <v>4</v>
      </c>
      <c r="J791" t="s">
        <v>17</v>
      </c>
      <c r="K791">
        <v>120000</v>
      </c>
    </row>
    <row r="792" spans="1:11" x14ac:dyDescent="0.25">
      <c r="A792" s="10">
        <v>45686</v>
      </c>
      <c r="B792" t="s">
        <v>11</v>
      </c>
      <c r="C792" t="s">
        <v>19</v>
      </c>
      <c r="D792" t="s">
        <v>13</v>
      </c>
      <c r="E792" t="s">
        <v>14</v>
      </c>
      <c r="F792" t="s">
        <v>21</v>
      </c>
      <c r="G792" t="s">
        <v>22</v>
      </c>
      <c r="H792">
        <v>30000</v>
      </c>
      <c r="I792">
        <v>8</v>
      </c>
      <c r="J792" t="s">
        <v>35</v>
      </c>
      <c r="K792">
        <v>24000</v>
      </c>
    </row>
    <row r="793" spans="1:11" x14ac:dyDescent="0.25">
      <c r="A793" s="10">
        <v>45696</v>
      </c>
      <c r="B793" t="s">
        <v>11</v>
      </c>
      <c r="C793" t="s">
        <v>26</v>
      </c>
      <c r="D793" t="s">
        <v>23</v>
      </c>
      <c r="E793" t="s">
        <v>20</v>
      </c>
      <c r="F793" t="s">
        <v>38</v>
      </c>
      <c r="G793" t="s">
        <v>31</v>
      </c>
      <c r="H793">
        <v>420000</v>
      </c>
      <c r="I793">
        <v>3</v>
      </c>
      <c r="J793" t="s">
        <v>37</v>
      </c>
      <c r="K793">
        <v>336000</v>
      </c>
    </row>
    <row r="794" spans="1:11" x14ac:dyDescent="0.25">
      <c r="A794" s="10">
        <v>45678</v>
      </c>
      <c r="B794" t="s">
        <v>11</v>
      </c>
      <c r="C794" t="s">
        <v>12</v>
      </c>
      <c r="D794" t="s">
        <v>23</v>
      </c>
      <c r="E794" t="s">
        <v>20</v>
      </c>
      <c r="F794" t="s">
        <v>30</v>
      </c>
      <c r="G794" t="s">
        <v>31</v>
      </c>
      <c r="H794">
        <v>300000</v>
      </c>
      <c r="I794">
        <v>4</v>
      </c>
      <c r="J794" t="s">
        <v>39</v>
      </c>
      <c r="K794">
        <v>240000</v>
      </c>
    </row>
    <row r="795" spans="1:11" x14ac:dyDescent="0.25">
      <c r="A795" s="10">
        <v>45736</v>
      </c>
      <c r="B795" t="s">
        <v>11</v>
      </c>
      <c r="C795" t="s">
        <v>19</v>
      </c>
      <c r="D795" t="s">
        <v>13</v>
      </c>
      <c r="E795" t="s">
        <v>14</v>
      </c>
      <c r="F795" t="s">
        <v>40</v>
      </c>
      <c r="G795" t="s">
        <v>31</v>
      </c>
      <c r="H795">
        <v>250000</v>
      </c>
      <c r="I795">
        <v>6</v>
      </c>
      <c r="J795" t="s">
        <v>24</v>
      </c>
      <c r="K795">
        <v>200000</v>
      </c>
    </row>
    <row r="796" spans="1:11" x14ac:dyDescent="0.25">
      <c r="A796" s="10">
        <v>45771</v>
      </c>
      <c r="B796" t="s">
        <v>11</v>
      </c>
      <c r="C796" t="s">
        <v>26</v>
      </c>
      <c r="D796" t="s">
        <v>23</v>
      </c>
      <c r="E796" t="s">
        <v>20</v>
      </c>
      <c r="F796" t="s">
        <v>34</v>
      </c>
      <c r="G796" t="s">
        <v>16</v>
      </c>
      <c r="H796">
        <v>320000</v>
      </c>
      <c r="I796">
        <v>6</v>
      </c>
      <c r="J796" t="s">
        <v>35</v>
      </c>
      <c r="K796">
        <v>256000</v>
      </c>
    </row>
    <row r="797" spans="1:11" x14ac:dyDescent="0.25">
      <c r="A797" s="10">
        <v>45668</v>
      </c>
      <c r="B797" t="s">
        <v>11</v>
      </c>
      <c r="C797" t="s">
        <v>26</v>
      </c>
      <c r="D797" t="s">
        <v>13</v>
      </c>
      <c r="E797" t="s">
        <v>14</v>
      </c>
      <c r="F797" t="s">
        <v>33</v>
      </c>
      <c r="G797" t="s">
        <v>22</v>
      </c>
      <c r="H797">
        <v>180000</v>
      </c>
      <c r="I797">
        <v>5</v>
      </c>
      <c r="J797" t="s">
        <v>35</v>
      </c>
      <c r="K797">
        <v>144000</v>
      </c>
    </row>
    <row r="798" spans="1:11" x14ac:dyDescent="0.25">
      <c r="A798" s="10">
        <v>45716</v>
      </c>
      <c r="B798" t="s">
        <v>11</v>
      </c>
      <c r="C798" t="s">
        <v>12</v>
      </c>
      <c r="D798" t="s">
        <v>13</v>
      </c>
      <c r="E798" t="s">
        <v>14</v>
      </c>
      <c r="F798" t="s">
        <v>36</v>
      </c>
      <c r="G798" t="s">
        <v>31</v>
      </c>
      <c r="H798">
        <v>150000</v>
      </c>
      <c r="I798">
        <v>1</v>
      </c>
      <c r="J798" t="s">
        <v>28</v>
      </c>
      <c r="K798">
        <v>120000</v>
      </c>
    </row>
    <row r="799" spans="1:11" x14ac:dyDescent="0.25">
      <c r="A799" s="10">
        <v>45659</v>
      </c>
      <c r="B799" t="s">
        <v>11</v>
      </c>
      <c r="C799" t="s">
        <v>12</v>
      </c>
      <c r="D799" t="s">
        <v>13</v>
      </c>
      <c r="E799" t="s">
        <v>20</v>
      </c>
      <c r="F799" t="s">
        <v>27</v>
      </c>
      <c r="G799" t="s">
        <v>22</v>
      </c>
      <c r="H799">
        <v>60000</v>
      </c>
      <c r="I799">
        <v>3</v>
      </c>
      <c r="J799" t="s">
        <v>39</v>
      </c>
      <c r="K799">
        <v>48000</v>
      </c>
    </row>
    <row r="800" spans="1:11" x14ac:dyDescent="0.25">
      <c r="A800" s="10">
        <v>45721</v>
      </c>
      <c r="B800" t="s">
        <v>18</v>
      </c>
      <c r="C800" t="s">
        <v>32</v>
      </c>
      <c r="D800" t="s">
        <v>23</v>
      </c>
      <c r="E800" t="s">
        <v>14</v>
      </c>
      <c r="F800" t="s">
        <v>15</v>
      </c>
      <c r="G800" t="s">
        <v>16</v>
      </c>
      <c r="H800">
        <v>85000</v>
      </c>
      <c r="I800">
        <v>10</v>
      </c>
      <c r="J800" t="s">
        <v>24</v>
      </c>
      <c r="K800">
        <v>68000</v>
      </c>
    </row>
    <row r="801" spans="1:11" x14ac:dyDescent="0.25">
      <c r="A801" s="10">
        <v>45749</v>
      </c>
      <c r="B801" t="s">
        <v>11</v>
      </c>
      <c r="C801" t="s">
        <v>32</v>
      </c>
      <c r="D801" t="s">
        <v>23</v>
      </c>
      <c r="E801" t="s">
        <v>20</v>
      </c>
      <c r="F801" t="s">
        <v>36</v>
      </c>
      <c r="G801" t="s">
        <v>31</v>
      </c>
      <c r="H801">
        <v>150000</v>
      </c>
      <c r="I801">
        <v>3</v>
      </c>
      <c r="J801" t="s">
        <v>37</v>
      </c>
      <c r="K801">
        <v>120000</v>
      </c>
    </row>
    <row r="802" spans="1:11" x14ac:dyDescent="0.25">
      <c r="A802" s="10">
        <v>45694</v>
      </c>
      <c r="B802" t="s">
        <v>25</v>
      </c>
      <c r="C802" t="s">
        <v>12</v>
      </c>
      <c r="D802" t="s">
        <v>23</v>
      </c>
      <c r="E802" t="s">
        <v>20</v>
      </c>
      <c r="F802" t="s">
        <v>38</v>
      </c>
      <c r="G802" t="s">
        <v>31</v>
      </c>
      <c r="H802">
        <v>420000</v>
      </c>
      <c r="I802">
        <v>9</v>
      </c>
      <c r="J802" t="s">
        <v>37</v>
      </c>
      <c r="K802">
        <v>336000</v>
      </c>
    </row>
    <row r="803" spans="1:11" x14ac:dyDescent="0.25">
      <c r="A803" s="10">
        <v>45758</v>
      </c>
      <c r="B803" t="s">
        <v>25</v>
      </c>
      <c r="C803" t="s">
        <v>32</v>
      </c>
      <c r="D803" t="s">
        <v>13</v>
      </c>
      <c r="E803" t="s">
        <v>20</v>
      </c>
      <c r="F803" t="s">
        <v>41</v>
      </c>
      <c r="G803" t="s">
        <v>22</v>
      </c>
      <c r="H803">
        <v>220000</v>
      </c>
      <c r="I803">
        <v>1</v>
      </c>
      <c r="J803" t="s">
        <v>35</v>
      </c>
      <c r="K803">
        <v>176000</v>
      </c>
    </row>
    <row r="804" spans="1:11" x14ac:dyDescent="0.25">
      <c r="A804" s="10">
        <v>45695</v>
      </c>
      <c r="B804" t="s">
        <v>18</v>
      </c>
      <c r="C804" t="s">
        <v>32</v>
      </c>
      <c r="D804" t="s">
        <v>23</v>
      </c>
      <c r="E804" t="s">
        <v>14</v>
      </c>
      <c r="F804" t="s">
        <v>15</v>
      </c>
      <c r="G804" t="s">
        <v>16</v>
      </c>
      <c r="H804">
        <v>85000</v>
      </c>
      <c r="I804">
        <v>4</v>
      </c>
      <c r="J804" t="s">
        <v>24</v>
      </c>
      <c r="K804">
        <v>68000</v>
      </c>
    </row>
    <row r="805" spans="1:11" x14ac:dyDescent="0.25">
      <c r="A805" s="10">
        <v>45750</v>
      </c>
      <c r="B805" t="s">
        <v>11</v>
      </c>
      <c r="C805" t="s">
        <v>12</v>
      </c>
      <c r="D805" t="s">
        <v>13</v>
      </c>
      <c r="E805" t="s">
        <v>14</v>
      </c>
      <c r="F805" t="s">
        <v>38</v>
      </c>
      <c r="G805" t="s">
        <v>31</v>
      </c>
      <c r="H805">
        <v>420000</v>
      </c>
      <c r="I805">
        <v>6</v>
      </c>
      <c r="J805" t="s">
        <v>37</v>
      </c>
      <c r="K805">
        <v>336000</v>
      </c>
    </row>
    <row r="806" spans="1:11" x14ac:dyDescent="0.25">
      <c r="A806" s="10">
        <v>45752</v>
      </c>
      <c r="B806" t="s">
        <v>29</v>
      </c>
      <c r="C806" t="s">
        <v>32</v>
      </c>
      <c r="D806" t="s">
        <v>23</v>
      </c>
      <c r="E806" t="s">
        <v>14</v>
      </c>
      <c r="F806" t="s">
        <v>38</v>
      </c>
      <c r="G806" t="s">
        <v>31</v>
      </c>
      <c r="H806">
        <v>420000</v>
      </c>
      <c r="I806">
        <v>6</v>
      </c>
      <c r="J806" t="s">
        <v>28</v>
      </c>
      <c r="K806">
        <v>336000</v>
      </c>
    </row>
    <row r="807" spans="1:11" x14ac:dyDescent="0.25">
      <c r="A807" s="10">
        <v>45659</v>
      </c>
      <c r="B807" t="s">
        <v>18</v>
      </c>
      <c r="C807" t="s">
        <v>12</v>
      </c>
      <c r="D807" t="s">
        <v>13</v>
      </c>
      <c r="E807" t="s">
        <v>14</v>
      </c>
      <c r="F807" t="s">
        <v>30</v>
      </c>
      <c r="G807" t="s">
        <v>31</v>
      </c>
      <c r="H807">
        <v>300000</v>
      </c>
      <c r="I807">
        <v>10</v>
      </c>
      <c r="J807" t="s">
        <v>35</v>
      </c>
      <c r="K807">
        <v>240000</v>
      </c>
    </row>
    <row r="808" spans="1:11" x14ac:dyDescent="0.25">
      <c r="A808" s="10">
        <v>45664</v>
      </c>
      <c r="B808" t="s">
        <v>25</v>
      </c>
      <c r="C808" t="s">
        <v>19</v>
      </c>
      <c r="D808" t="s">
        <v>13</v>
      </c>
      <c r="E808" t="s">
        <v>20</v>
      </c>
      <c r="F808" t="s">
        <v>41</v>
      </c>
      <c r="G808" t="s">
        <v>22</v>
      </c>
      <c r="H808">
        <v>220000</v>
      </c>
      <c r="I808">
        <v>4</v>
      </c>
      <c r="J808" t="s">
        <v>28</v>
      </c>
      <c r="K808">
        <v>176000</v>
      </c>
    </row>
    <row r="809" spans="1:11" x14ac:dyDescent="0.25">
      <c r="A809" s="10">
        <v>45735</v>
      </c>
      <c r="B809" t="s">
        <v>11</v>
      </c>
      <c r="C809" t="s">
        <v>32</v>
      </c>
      <c r="D809" t="s">
        <v>13</v>
      </c>
      <c r="E809" t="s">
        <v>20</v>
      </c>
      <c r="F809" t="s">
        <v>33</v>
      </c>
      <c r="G809" t="s">
        <v>22</v>
      </c>
      <c r="H809">
        <v>180000</v>
      </c>
      <c r="I809">
        <v>8</v>
      </c>
      <c r="J809" t="s">
        <v>37</v>
      </c>
      <c r="K809">
        <v>144000</v>
      </c>
    </row>
    <row r="810" spans="1:11" x14ac:dyDescent="0.25">
      <c r="A810" s="10">
        <v>45757</v>
      </c>
      <c r="B810" t="s">
        <v>11</v>
      </c>
      <c r="C810" t="s">
        <v>32</v>
      </c>
      <c r="D810" t="s">
        <v>13</v>
      </c>
      <c r="E810" t="s">
        <v>14</v>
      </c>
      <c r="F810" t="s">
        <v>40</v>
      </c>
      <c r="G810" t="s">
        <v>31</v>
      </c>
      <c r="H810">
        <v>250000</v>
      </c>
      <c r="I810">
        <v>3</v>
      </c>
      <c r="J810" t="s">
        <v>17</v>
      </c>
      <c r="K810">
        <v>200000</v>
      </c>
    </row>
    <row r="811" spans="1:11" x14ac:dyDescent="0.25">
      <c r="A811" s="10">
        <v>45662</v>
      </c>
      <c r="B811" t="s">
        <v>29</v>
      </c>
      <c r="C811" t="s">
        <v>26</v>
      </c>
      <c r="D811" t="s">
        <v>23</v>
      </c>
      <c r="E811" t="s">
        <v>14</v>
      </c>
      <c r="F811" t="s">
        <v>30</v>
      </c>
      <c r="G811" t="s">
        <v>31</v>
      </c>
      <c r="H811">
        <v>300000</v>
      </c>
      <c r="I811">
        <v>7</v>
      </c>
      <c r="J811" t="s">
        <v>17</v>
      </c>
      <c r="K811">
        <v>240000</v>
      </c>
    </row>
    <row r="812" spans="1:11" x14ac:dyDescent="0.25">
      <c r="A812" s="10">
        <v>45662</v>
      </c>
      <c r="B812" t="s">
        <v>29</v>
      </c>
      <c r="C812" t="s">
        <v>32</v>
      </c>
      <c r="D812" t="s">
        <v>13</v>
      </c>
      <c r="E812" t="s">
        <v>20</v>
      </c>
      <c r="F812" t="s">
        <v>30</v>
      </c>
      <c r="G812" t="s">
        <v>31</v>
      </c>
      <c r="H812">
        <v>300000</v>
      </c>
      <c r="I812">
        <v>7</v>
      </c>
      <c r="J812" t="s">
        <v>39</v>
      </c>
      <c r="K812">
        <v>240000</v>
      </c>
    </row>
    <row r="813" spans="1:11" x14ac:dyDescent="0.25">
      <c r="A813" s="10">
        <v>45759</v>
      </c>
      <c r="B813" t="s">
        <v>29</v>
      </c>
      <c r="C813" t="s">
        <v>32</v>
      </c>
      <c r="D813" t="s">
        <v>23</v>
      </c>
      <c r="E813" t="s">
        <v>20</v>
      </c>
      <c r="F813" t="s">
        <v>40</v>
      </c>
      <c r="G813" t="s">
        <v>31</v>
      </c>
      <c r="H813">
        <v>250000</v>
      </c>
      <c r="I813">
        <v>1</v>
      </c>
      <c r="J813" t="s">
        <v>37</v>
      </c>
      <c r="K813">
        <v>200000</v>
      </c>
    </row>
    <row r="814" spans="1:11" x14ac:dyDescent="0.25">
      <c r="A814" s="10">
        <v>45711</v>
      </c>
      <c r="B814" t="s">
        <v>11</v>
      </c>
      <c r="C814" t="s">
        <v>19</v>
      </c>
      <c r="D814" t="s">
        <v>23</v>
      </c>
      <c r="E814" t="s">
        <v>14</v>
      </c>
      <c r="F814" t="s">
        <v>30</v>
      </c>
      <c r="G814" t="s">
        <v>31</v>
      </c>
      <c r="H814">
        <v>300000</v>
      </c>
      <c r="I814">
        <v>3</v>
      </c>
      <c r="J814" t="s">
        <v>35</v>
      </c>
      <c r="K814">
        <v>240000</v>
      </c>
    </row>
    <row r="815" spans="1:11" x14ac:dyDescent="0.25">
      <c r="A815" s="10">
        <v>45748</v>
      </c>
      <c r="B815" t="s">
        <v>25</v>
      </c>
      <c r="C815" t="s">
        <v>12</v>
      </c>
      <c r="D815" t="s">
        <v>13</v>
      </c>
      <c r="E815" t="s">
        <v>14</v>
      </c>
      <c r="F815" t="s">
        <v>38</v>
      </c>
      <c r="G815" t="s">
        <v>31</v>
      </c>
      <c r="H815">
        <v>420000</v>
      </c>
      <c r="I815">
        <v>10</v>
      </c>
      <c r="J815" t="s">
        <v>28</v>
      </c>
      <c r="K815">
        <v>336000</v>
      </c>
    </row>
    <row r="816" spans="1:11" x14ac:dyDescent="0.25">
      <c r="A816" s="10">
        <v>45768</v>
      </c>
      <c r="B816" t="s">
        <v>29</v>
      </c>
      <c r="C816" t="s">
        <v>26</v>
      </c>
      <c r="D816" t="s">
        <v>23</v>
      </c>
      <c r="E816" t="s">
        <v>14</v>
      </c>
      <c r="F816" t="s">
        <v>27</v>
      </c>
      <c r="G816" t="s">
        <v>22</v>
      </c>
      <c r="H816">
        <v>60000</v>
      </c>
      <c r="I816">
        <v>9</v>
      </c>
      <c r="J816" t="s">
        <v>35</v>
      </c>
      <c r="K816">
        <v>48000</v>
      </c>
    </row>
    <row r="817" spans="1:11" x14ac:dyDescent="0.25">
      <c r="A817" s="10">
        <v>45777</v>
      </c>
      <c r="B817" t="s">
        <v>11</v>
      </c>
      <c r="C817" t="s">
        <v>12</v>
      </c>
      <c r="D817" t="s">
        <v>13</v>
      </c>
      <c r="E817" t="s">
        <v>14</v>
      </c>
      <c r="F817" t="s">
        <v>40</v>
      </c>
      <c r="G817" t="s">
        <v>31</v>
      </c>
      <c r="H817">
        <v>250000</v>
      </c>
      <c r="I817">
        <v>4</v>
      </c>
      <c r="J817" t="s">
        <v>28</v>
      </c>
      <c r="K817">
        <v>200000</v>
      </c>
    </row>
    <row r="818" spans="1:11" x14ac:dyDescent="0.25">
      <c r="A818" s="10">
        <v>45776</v>
      </c>
      <c r="B818" t="s">
        <v>18</v>
      </c>
      <c r="C818" t="s">
        <v>26</v>
      </c>
      <c r="D818" t="s">
        <v>13</v>
      </c>
      <c r="E818" t="s">
        <v>14</v>
      </c>
      <c r="F818" t="s">
        <v>40</v>
      </c>
      <c r="G818" t="s">
        <v>31</v>
      </c>
      <c r="H818">
        <v>250000</v>
      </c>
      <c r="I818">
        <v>3</v>
      </c>
      <c r="J818" t="s">
        <v>37</v>
      </c>
      <c r="K818">
        <v>200000</v>
      </c>
    </row>
    <row r="819" spans="1:11" x14ac:dyDescent="0.25">
      <c r="A819" s="10">
        <v>45704</v>
      </c>
      <c r="B819" t="s">
        <v>11</v>
      </c>
      <c r="C819" t="s">
        <v>32</v>
      </c>
      <c r="D819" t="s">
        <v>13</v>
      </c>
      <c r="E819" t="s">
        <v>20</v>
      </c>
      <c r="F819" t="s">
        <v>27</v>
      </c>
      <c r="G819" t="s">
        <v>22</v>
      </c>
      <c r="H819">
        <v>60000</v>
      </c>
      <c r="I819">
        <v>3</v>
      </c>
      <c r="J819" t="s">
        <v>17</v>
      </c>
      <c r="K819">
        <v>48000</v>
      </c>
    </row>
    <row r="820" spans="1:11" x14ac:dyDescent="0.25">
      <c r="A820" s="10">
        <v>45691</v>
      </c>
      <c r="B820" t="s">
        <v>11</v>
      </c>
      <c r="C820" t="s">
        <v>19</v>
      </c>
      <c r="D820" t="s">
        <v>23</v>
      </c>
      <c r="E820" t="s">
        <v>14</v>
      </c>
      <c r="F820" t="s">
        <v>34</v>
      </c>
      <c r="G820" t="s">
        <v>16</v>
      </c>
      <c r="H820">
        <v>320000</v>
      </c>
      <c r="I820">
        <v>1</v>
      </c>
      <c r="J820" t="s">
        <v>24</v>
      </c>
      <c r="K820">
        <v>256000</v>
      </c>
    </row>
    <row r="821" spans="1:11" x14ac:dyDescent="0.25">
      <c r="A821" s="10">
        <v>45689</v>
      </c>
      <c r="B821" t="s">
        <v>29</v>
      </c>
      <c r="C821" t="s">
        <v>32</v>
      </c>
      <c r="D821" t="s">
        <v>23</v>
      </c>
      <c r="E821" t="s">
        <v>20</v>
      </c>
      <c r="F821" t="s">
        <v>27</v>
      </c>
      <c r="G821" t="s">
        <v>22</v>
      </c>
      <c r="H821">
        <v>60000</v>
      </c>
      <c r="I821">
        <v>8</v>
      </c>
      <c r="J821" t="s">
        <v>24</v>
      </c>
      <c r="K821">
        <v>48000</v>
      </c>
    </row>
    <row r="822" spans="1:11" x14ac:dyDescent="0.25">
      <c r="A822" s="10">
        <v>45702</v>
      </c>
      <c r="B822" t="s">
        <v>18</v>
      </c>
      <c r="C822" t="s">
        <v>26</v>
      </c>
      <c r="D822" t="s">
        <v>23</v>
      </c>
      <c r="E822" t="s">
        <v>20</v>
      </c>
      <c r="F822" t="s">
        <v>40</v>
      </c>
      <c r="G822" t="s">
        <v>31</v>
      </c>
      <c r="H822">
        <v>250000</v>
      </c>
      <c r="I822">
        <v>5</v>
      </c>
      <c r="J822" t="s">
        <v>35</v>
      </c>
      <c r="K822">
        <v>200000</v>
      </c>
    </row>
    <row r="823" spans="1:11" x14ac:dyDescent="0.25">
      <c r="A823" s="10">
        <v>45720</v>
      </c>
      <c r="B823" t="s">
        <v>11</v>
      </c>
      <c r="C823" t="s">
        <v>12</v>
      </c>
      <c r="D823" t="s">
        <v>23</v>
      </c>
      <c r="E823" t="s">
        <v>20</v>
      </c>
      <c r="F823" t="s">
        <v>34</v>
      </c>
      <c r="G823" t="s">
        <v>16</v>
      </c>
      <c r="H823">
        <v>320000</v>
      </c>
      <c r="I823">
        <v>2</v>
      </c>
      <c r="J823" t="s">
        <v>39</v>
      </c>
      <c r="K823">
        <v>256000</v>
      </c>
    </row>
    <row r="824" spans="1:11" x14ac:dyDescent="0.25">
      <c r="A824" s="10">
        <v>45712</v>
      </c>
      <c r="B824" t="s">
        <v>25</v>
      </c>
      <c r="C824" t="s">
        <v>26</v>
      </c>
      <c r="D824" t="s">
        <v>23</v>
      </c>
      <c r="E824" t="s">
        <v>14</v>
      </c>
      <c r="F824" t="s">
        <v>41</v>
      </c>
      <c r="G824" t="s">
        <v>22</v>
      </c>
      <c r="H824">
        <v>220000</v>
      </c>
      <c r="I824">
        <v>5</v>
      </c>
      <c r="J824" t="s">
        <v>24</v>
      </c>
      <c r="K824">
        <v>176000</v>
      </c>
    </row>
    <row r="825" spans="1:11" x14ac:dyDescent="0.25">
      <c r="A825" s="10">
        <v>45732</v>
      </c>
      <c r="B825" t="s">
        <v>11</v>
      </c>
      <c r="C825" t="s">
        <v>19</v>
      </c>
      <c r="D825" t="s">
        <v>23</v>
      </c>
      <c r="E825" t="s">
        <v>20</v>
      </c>
      <c r="F825" t="s">
        <v>40</v>
      </c>
      <c r="G825" t="s">
        <v>31</v>
      </c>
      <c r="H825">
        <v>250000</v>
      </c>
      <c r="I825">
        <v>3</v>
      </c>
      <c r="J825" t="s">
        <v>17</v>
      </c>
      <c r="K825">
        <v>200000</v>
      </c>
    </row>
    <row r="826" spans="1:11" x14ac:dyDescent="0.25">
      <c r="A826" s="10">
        <v>45739</v>
      </c>
      <c r="B826" t="s">
        <v>11</v>
      </c>
      <c r="C826" t="s">
        <v>26</v>
      </c>
      <c r="D826" t="s">
        <v>13</v>
      </c>
      <c r="E826" t="s">
        <v>20</v>
      </c>
      <c r="F826" t="s">
        <v>15</v>
      </c>
      <c r="G826" t="s">
        <v>16</v>
      </c>
      <c r="H826">
        <v>85000</v>
      </c>
      <c r="I826">
        <v>10</v>
      </c>
      <c r="J826" t="s">
        <v>28</v>
      </c>
      <c r="K826">
        <v>68000</v>
      </c>
    </row>
    <row r="827" spans="1:11" x14ac:dyDescent="0.25">
      <c r="A827" s="10">
        <v>45695</v>
      </c>
      <c r="B827" t="s">
        <v>25</v>
      </c>
      <c r="C827" t="s">
        <v>12</v>
      </c>
      <c r="D827" t="s">
        <v>13</v>
      </c>
      <c r="E827" t="s">
        <v>20</v>
      </c>
      <c r="F827" t="s">
        <v>38</v>
      </c>
      <c r="G827" t="s">
        <v>31</v>
      </c>
      <c r="H827">
        <v>420000</v>
      </c>
      <c r="I827">
        <v>6</v>
      </c>
      <c r="J827" t="s">
        <v>35</v>
      </c>
      <c r="K827">
        <v>336000</v>
      </c>
    </row>
    <row r="828" spans="1:11" x14ac:dyDescent="0.25">
      <c r="A828" s="10">
        <v>45757</v>
      </c>
      <c r="B828" t="s">
        <v>29</v>
      </c>
      <c r="C828" t="s">
        <v>19</v>
      </c>
      <c r="D828" t="s">
        <v>13</v>
      </c>
      <c r="E828" t="s">
        <v>20</v>
      </c>
      <c r="F828" t="s">
        <v>36</v>
      </c>
      <c r="G828" t="s">
        <v>31</v>
      </c>
      <c r="H828">
        <v>150000</v>
      </c>
      <c r="I828">
        <v>5</v>
      </c>
      <c r="J828" t="s">
        <v>24</v>
      </c>
      <c r="K828">
        <v>120000</v>
      </c>
    </row>
    <row r="829" spans="1:11" x14ac:dyDescent="0.25">
      <c r="A829" s="10">
        <v>45759</v>
      </c>
      <c r="B829" t="s">
        <v>29</v>
      </c>
      <c r="C829" t="s">
        <v>12</v>
      </c>
      <c r="D829" t="s">
        <v>13</v>
      </c>
      <c r="E829" t="s">
        <v>20</v>
      </c>
      <c r="F829" t="s">
        <v>34</v>
      </c>
      <c r="G829" t="s">
        <v>16</v>
      </c>
      <c r="H829">
        <v>320000</v>
      </c>
      <c r="I829">
        <v>3</v>
      </c>
      <c r="J829" t="s">
        <v>37</v>
      </c>
      <c r="K829">
        <v>256000</v>
      </c>
    </row>
    <row r="830" spans="1:11" x14ac:dyDescent="0.25">
      <c r="A830" s="10">
        <v>45759</v>
      </c>
      <c r="B830" t="s">
        <v>29</v>
      </c>
      <c r="C830" t="s">
        <v>32</v>
      </c>
      <c r="D830" t="s">
        <v>23</v>
      </c>
      <c r="E830" t="s">
        <v>14</v>
      </c>
      <c r="F830" t="s">
        <v>21</v>
      </c>
      <c r="G830" t="s">
        <v>22</v>
      </c>
      <c r="H830">
        <v>30000</v>
      </c>
      <c r="I830">
        <v>1</v>
      </c>
      <c r="J830" t="s">
        <v>35</v>
      </c>
      <c r="K830">
        <v>24000</v>
      </c>
    </row>
    <row r="831" spans="1:11" x14ac:dyDescent="0.25">
      <c r="A831" s="10">
        <v>45691</v>
      </c>
      <c r="B831" t="s">
        <v>11</v>
      </c>
      <c r="C831" t="s">
        <v>26</v>
      </c>
      <c r="D831" t="s">
        <v>13</v>
      </c>
      <c r="E831" t="s">
        <v>14</v>
      </c>
      <c r="F831" t="s">
        <v>33</v>
      </c>
      <c r="G831" t="s">
        <v>22</v>
      </c>
      <c r="H831">
        <v>180000</v>
      </c>
      <c r="I831">
        <v>10</v>
      </c>
      <c r="J831" t="s">
        <v>35</v>
      </c>
      <c r="K831">
        <v>144000</v>
      </c>
    </row>
    <row r="832" spans="1:11" x14ac:dyDescent="0.25">
      <c r="A832" s="10">
        <v>45668</v>
      </c>
      <c r="B832" t="s">
        <v>25</v>
      </c>
      <c r="C832" t="s">
        <v>12</v>
      </c>
      <c r="D832" t="s">
        <v>23</v>
      </c>
      <c r="E832" t="s">
        <v>20</v>
      </c>
      <c r="F832" t="s">
        <v>33</v>
      </c>
      <c r="G832" t="s">
        <v>22</v>
      </c>
      <c r="H832">
        <v>180000</v>
      </c>
      <c r="I832">
        <v>3</v>
      </c>
      <c r="J832" t="s">
        <v>17</v>
      </c>
      <c r="K832">
        <v>144000</v>
      </c>
    </row>
    <row r="833" spans="1:11" x14ac:dyDescent="0.25">
      <c r="A833" s="10">
        <v>45711</v>
      </c>
      <c r="B833" t="s">
        <v>18</v>
      </c>
      <c r="C833" t="s">
        <v>12</v>
      </c>
      <c r="D833" t="s">
        <v>23</v>
      </c>
      <c r="E833" t="s">
        <v>14</v>
      </c>
      <c r="F833" t="s">
        <v>38</v>
      </c>
      <c r="G833" t="s">
        <v>31</v>
      </c>
      <c r="H833">
        <v>420000</v>
      </c>
      <c r="I833">
        <v>3</v>
      </c>
      <c r="J833" t="s">
        <v>24</v>
      </c>
      <c r="K833">
        <v>336000</v>
      </c>
    </row>
    <row r="834" spans="1:11" x14ac:dyDescent="0.25">
      <c r="A834" s="10">
        <v>45756</v>
      </c>
      <c r="B834" t="s">
        <v>18</v>
      </c>
      <c r="C834" t="s">
        <v>19</v>
      </c>
      <c r="D834" t="s">
        <v>13</v>
      </c>
      <c r="E834" t="s">
        <v>14</v>
      </c>
      <c r="F834" t="s">
        <v>41</v>
      </c>
      <c r="G834" t="s">
        <v>22</v>
      </c>
      <c r="H834">
        <v>220000</v>
      </c>
      <c r="I834">
        <v>6</v>
      </c>
      <c r="J834" t="s">
        <v>37</v>
      </c>
      <c r="K834">
        <v>176000</v>
      </c>
    </row>
    <row r="835" spans="1:11" x14ac:dyDescent="0.25">
      <c r="A835" s="10">
        <v>45683</v>
      </c>
      <c r="B835" t="s">
        <v>25</v>
      </c>
      <c r="C835" t="s">
        <v>26</v>
      </c>
      <c r="D835" t="s">
        <v>13</v>
      </c>
      <c r="E835" t="s">
        <v>14</v>
      </c>
      <c r="F835" t="s">
        <v>27</v>
      </c>
      <c r="G835" t="s">
        <v>22</v>
      </c>
      <c r="H835">
        <v>60000</v>
      </c>
      <c r="I835">
        <v>10</v>
      </c>
      <c r="J835" t="s">
        <v>35</v>
      </c>
      <c r="K835">
        <v>48000</v>
      </c>
    </row>
    <row r="836" spans="1:11" x14ac:dyDescent="0.25">
      <c r="A836" s="10">
        <v>45717</v>
      </c>
      <c r="B836" t="s">
        <v>25</v>
      </c>
      <c r="C836" t="s">
        <v>19</v>
      </c>
      <c r="D836" t="s">
        <v>13</v>
      </c>
      <c r="E836" t="s">
        <v>20</v>
      </c>
      <c r="F836" t="s">
        <v>33</v>
      </c>
      <c r="G836" t="s">
        <v>22</v>
      </c>
      <c r="H836">
        <v>180000</v>
      </c>
      <c r="I836">
        <v>10</v>
      </c>
      <c r="J836" t="s">
        <v>28</v>
      </c>
      <c r="K836">
        <v>144000</v>
      </c>
    </row>
    <row r="837" spans="1:11" x14ac:dyDescent="0.25">
      <c r="A837" s="10">
        <v>45777</v>
      </c>
      <c r="B837" t="s">
        <v>18</v>
      </c>
      <c r="C837" t="s">
        <v>12</v>
      </c>
      <c r="D837" t="s">
        <v>23</v>
      </c>
      <c r="E837" t="s">
        <v>20</v>
      </c>
      <c r="F837" t="s">
        <v>41</v>
      </c>
      <c r="G837" t="s">
        <v>22</v>
      </c>
      <c r="H837">
        <v>220000</v>
      </c>
      <c r="I837">
        <v>4</v>
      </c>
      <c r="J837" t="s">
        <v>24</v>
      </c>
      <c r="K837">
        <v>176000</v>
      </c>
    </row>
    <row r="838" spans="1:11" x14ac:dyDescent="0.25">
      <c r="A838" s="10">
        <v>45729</v>
      </c>
      <c r="B838" t="s">
        <v>25</v>
      </c>
      <c r="C838" t="s">
        <v>32</v>
      </c>
      <c r="D838" t="s">
        <v>23</v>
      </c>
      <c r="E838" t="s">
        <v>20</v>
      </c>
      <c r="F838" t="s">
        <v>40</v>
      </c>
      <c r="G838" t="s">
        <v>31</v>
      </c>
      <c r="H838">
        <v>250000</v>
      </c>
      <c r="I838">
        <v>4</v>
      </c>
      <c r="J838" t="s">
        <v>35</v>
      </c>
      <c r="K838">
        <v>200000</v>
      </c>
    </row>
    <row r="839" spans="1:11" x14ac:dyDescent="0.25">
      <c r="A839" s="10">
        <v>45744</v>
      </c>
      <c r="B839" t="s">
        <v>25</v>
      </c>
      <c r="C839" t="s">
        <v>19</v>
      </c>
      <c r="D839" t="s">
        <v>23</v>
      </c>
      <c r="E839" t="s">
        <v>20</v>
      </c>
      <c r="F839" t="s">
        <v>21</v>
      </c>
      <c r="G839" t="s">
        <v>22</v>
      </c>
      <c r="H839">
        <v>30000</v>
      </c>
      <c r="I839">
        <v>2</v>
      </c>
      <c r="J839" t="s">
        <v>39</v>
      </c>
      <c r="K839">
        <v>24000</v>
      </c>
    </row>
    <row r="840" spans="1:11" x14ac:dyDescent="0.25">
      <c r="A840" s="10">
        <v>45774</v>
      </c>
      <c r="B840" t="s">
        <v>11</v>
      </c>
      <c r="C840" t="s">
        <v>26</v>
      </c>
      <c r="D840" t="s">
        <v>13</v>
      </c>
      <c r="E840" t="s">
        <v>20</v>
      </c>
      <c r="F840" t="s">
        <v>33</v>
      </c>
      <c r="G840" t="s">
        <v>22</v>
      </c>
      <c r="H840">
        <v>180000</v>
      </c>
      <c r="I840">
        <v>6</v>
      </c>
      <c r="J840" t="s">
        <v>28</v>
      </c>
      <c r="K840">
        <v>144000</v>
      </c>
    </row>
    <row r="841" spans="1:11" x14ac:dyDescent="0.25">
      <c r="A841" s="10">
        <v>45664</v>
      </c>
      <c r="B841" t="s">
        <v>25</v>
      </c>
      <c r="C841" t="s">
        <v>32</v>
      </c>
      <c r="D841" t="s">
        <v>23</v>
      </c>
      <c r="E841" t="s">
        <v>20</v>
      </c>
      <c r="F841" t="s">
        <v>33</v>
      </c>
      <c r="G841" t="s">
        <v>22</v>
      </c>
      <c r="H841">
        <v>180000</v>
      </c>
      <c r="I841">
        <v>8</v>
      </c>
      <c r="J841" t="s">
        <v>39</v>
      </c>
      <c r="K841">
        <v>144000</v>
      </c>
    </row>
    <row r="842" spans="1:11" x14ac:dyDescent="0.25">
      <c r="A842" s="10">
        <v>45717</v>
      </c>
      <c r="B842" t="s">
        <v>11</v>
      </c>
      <c r="C842" t="s">
        <v>19</v>
      </c>
      <c r="D842" t="s">
        <v>23</v>
      </c>
      <c r="E842" t="s">
        <v>20</v>
      </c>
      <c r="F842" t="s">
        <v>38</v>
      </c>
      <c r="G842" t="s">
        <v>31</v>
      </c>
      <c r="H842">
        <v>420000</v>
      </c>
      <c r="I842">
        <v>3</v>
      </c>
      <c r="J842" t="s">
        <v>17</v>
      </c>
      <c r="K842">
        <v>336000</v>
      </c>
    </row>
    <row r="843" spans="1:11" x14ac:dyDescent="0.25">
      <c r="A843" s="10">
        <v>45757</v>
      </c>
      <c r="B843" t="s">
        <v>29</v>
      </c>
      <c r="C843" t="s">
        <v>26</v>
      </c>
      <c r="D843" t="s">
        <v>23</v>
      </c>
      <c r="E843" t="s">
        <v>14</v>
      </c>
      <c r="F843" t="s">
        <v>21</v>
      </c>
      <c r="G843" t="s">
        <v>22</v>
      </c>
      <c r="H843">
        <v>30000</v>
      </c>
      <c r="I843">
        <v>10</v>
      </c>
      <c r="J843" t="s">
        <v>28</v>
      </c>
      <c r="K843">
        <v>24000</v>
      </c>
    </row>
    <row r="844" spans="1:11" x14ac:dyDescent="0.25">
      <c r="A844" s="10">
        <v>45690</v>
      </c>
      <c r="B844" t="s">
        <v>18</v>
      </c>
      <c r="C844" t="s">
        <v>26</v>
      </c>
      <c r="D844" t="s">
        <v>23</v>
      </c>
      <c r="E844" t="s">
        <v>14</v>
      </c>
      <c r="F844" t="s">
        <v>15</v>
      </c>
      <c r="G844" t="s">
        <v>16</v>
      </c>
      <c r="H844">
        <v>85000</v>
      </c>
      <c r="I844">
        <v>7</v>
      </c>
      <c r="J844" t="s">
        <v>39</v>
      </c>
      <c r="K844">
        <v>68000</v>
      </c>
    </row>
    <row r="845" spans="1:11" x14ac:dyDescent="0.25">
      <c r="A845" s="10">
        <v>45764</v>
      </c>
      <c r="B845" t="s">
        <v>11</v>
      </c>
      <c r="C845" t="s">
        <v>12</v>
      </c>
      <c r="D845" t="s">
        <v>13</v>
      </c>
      <c r="E845" t="s">
        <v>20</v>
      </c>
      <c r="F845" t="s">
        <v>21</v>
      </c>
      <c r="G845" t="s">
        <v>22</v>
      </c>
      <c r="H845">
        <v>30000</v>
      </c>
      <c r="I845">
        <v>5</v>
      </c>
      <c r="J845" t="s">
        <v>17</v>
      </c>
      <c r="K845">
        <v>24000</v>
      </c>
    </row>
    <row r="846" spans="1:11" x14ac:dyDescent="0.25">
      <c r="A846" s="10">
        <v>45717</v>
      </c>
      <c r="B846" t="s">
        <v>29</v>
      </c>
      <c r="C846" t="s">
        <v>12</v>
      </c>
      <c r="D846" t="s">
        <v>13</v>
      </c>
      <c r="E846" t="s">
        <v>20</v>
      </c>
      <c r="F846" t="s">
        <v>30</v>
      </c>
      <c r="G846" t="s">
        <v>31</v>
      </c>
      <c r="H846">
        <v>300000</v>
      </c>
      <c r="I846">
        <v>5</v>
      </c>
      <c r="J846" t="s">
        <v>39</v>
      </c>
      <c r="K846">
        <v>240000</v>
      </c>
    </row>
    <row r="847" spans="1:11" x14ac:dyDescent="0.25">
      <c r="A847" s="10">
        <v>45684</v>
      </c>
      <c r="B847" t="s">
        <v>11</v>
      </c>
      <c r="C847" t="s">
        <v>26</v>
      </c>
      <c r="D847" t="s">
        <v>23</v>
      </c>
      <c r="E847" t="s">
        <v>20</v>
      </c>
      <c r="F847" t="s">
        <v>15</v>
      </c>
      <c r="G847" t="s">
        <v>16</v>
      </c>
      <c r="H847">
        <v>85000</v>
      </c>
      <c r="I847">
        <v>8</v>
      </c>
      <c r="J847" t="s">
        <v>28</v>
      </c>
      <c r="K847">
        <v>68000</v>
      </c>
    </row>
    <row r="848" spans="1:11" x14ac:dyDescent="0.25">
      <c r="A848" s="10">
        <v>45758</v>
      </c>
      <c r="B848" t="s">
        <v>25</v>
      </c>
      <c r="C848" t="s">
        <v>32</v>
      </c>
      <c r="D848" t="s">
        <v>23</v>
      </c>
      <c r="E848" t="s">
        <v>20</v>
      </c>
      <c r="F848" t="s">
        <v>41</v>
      </c>
      <c r="G848" t="s">
        <v>22</v>
      </c>
      <c r="H848">
        <v>220000</v>
      </c>
      <c r="I848">
        <v>7</v>
      </c>
      <c r="J848" t="s">
        <v>24</v>
      </c>
      <c r="K848">
        <v>176000</v>
      </c>
    </row>
    <row r="849" spans="1:11" x14ac:dyDescent="0.25">
      <c r="A849" s="10">
        <v>45696</v>
      </c>
      <c r="B849" t="s">
        <v>29</v>
      </c>
      <c r="C849" t="s">
        <v>19</v>
      </c>
      <c r="D849" t="s">
        <v>13</v>
      </c>
      <c r="E849" t="s">
        <v>14</v>
      </c>
      <c r="F849" t="s">
        <v>15</v>
      </c>
      <c r="G849" t="s">
        <v>16</v>
      </c>
      <c r="H849">
        <v>85000</v>
      </c>
      <c r="I849">
        <v>8</v>
      </c>
      <c r="J849" t="s">
        <v>24</v>
      </c>
      <c r="K849">
        <v>68000</v>
      </c>
    </row>
    <row r="850" spans="1:11" x14ac:dyDescent="0.25">
      <c r="A850" s="10">
        <v>45710</v>
      </c>
      <c r="B850" t="s">
        <v>18</v>
      </c>
      <c r="C850" t="s">
        <v>32</v>
      </c>
      <c r="D850" t="s">
        <v>23</v>
      </c>
      <c r="E850" t="s">
        <v>14</v>
      </c>
      <c r="F850" t="s">
        <v>36</v>
      </c>
      <c r="G850" t="s">
        <v>31</v>
      </c>
      <c r="H850">
        <v>150000</v>
      </c>
      <c r="I850">
        <v>5</v>
      </c>
      <c r="J850" t="s">
        <v>35</v>
      </c>
      <c r="K850">
        <v>120000</v>
      </c>
    </row>
    <row r="851" spans="1:11" x14ac:dyDescent="0.25">
      <c r="A851" s="10">
        <v>45763</v>
      </c>
      <c r="B851" t="s">
        <v>18</v>
      </c>
      <c r="C851" t="s">
        <v>12</v>
      </c>
      <c r="D851" t="s">
        <v>13</v>
      </c>
      <c r="E851" t="s">
        <v>20</v>
      </c>
      <c r="F851" t="s">
        <v>27</v>
      </c>
      <c r="G851" t="s">
        <v>22</v>
      </c>
      <c r="H851">
        <v>60000</v>
      </c>
      <c r="I851">
        <v>10</v>
      </c>
      <c r="J851" t="s">
        <v>24</v>
      </c>
      <c r="K851">
        <v>48000</v>
      </c>
    </row>
    <row r="852" spans="1:11" x14ac:dyDescent="0.25">
      <c r="A852" s="10">
        <v>45770</v>
      </c>
      <c r="B852" t="s">
        <v>11</v>
      </c>
      <c r="C852" t="s">
        <v>26</v>
      </c>
      <c r="D852" t="s">
        <v>23</v>
      </c>
      <c r="E852" t="s">
        <v>14</v>
      </c>
      <c r="F852" t="s">
        <v>41</v>
      </c>
      <c r="G852" t="s">
        <v>22</v>
      </c>
      <c r="H852">
        <v>220000</v>
      </c>
      <c r="I852">
        <v>1</v>
      </c>
      <c r="J852" t="s">
        <v>17</v>
      </c>
      <c r="K852">
        <v>176000</v>
      </c>
    </row>
    <row r="853" spans="1:11" x14ac:dyDescent="0.25">
      <c r="A853" s="10">
        <v>45696</v>
      </c>
      <c r="B853" t="s">
        <v>29</v>
      </c>
      <c r="C853" t="s">
        <v>19</v>
      </c>
      <c r="D853" t="s">
        <v>23</v>
      </c>
      <c r="E853" t="s">
        <v>14</v>
      </c>
      <c r="F853" t="s">
        <v>21</v>
      </c>
      <c r="G853" t="s">
        <v>22</v>
      </c>
      <c r="H853">
        <v>30000</v>
      </c>
      <c r="I853">
        <v>3</v>
      </c>
      <c r="J853" t="s">
        <v>28</v>
      </c>
      <c r="K853">
        <v>24000</v>
      </c>
    </row>
    <row r="854" spans="1:11" x14ac:dyDescent="0.25">
      <c r="A854" s="10">
        <v>45733</v>
      </c>
      <c r="B854" t="s">
        <v>25</v>
      </c>
      <c r="C854" t="s">
        <v>19</v>
      </c>
      <c r="D854" t="s">
        <v>23</v>
      </c>
      <c r="E854" t="s">
        <v>14</v>
      </c>
      <c r="F854" t="s">
        <v>38</v>
      </c>
      <c r="G854" t="s">
        <v>31</v>
      </c>
      <c r="H854">
        <v>420000</v>
      </c>
      <c r="I854">
        <v>1</v>
      </c>
      <c r="J854" t="s">
        <v>35</v>
      </c>
      <c r="K854">
        <v>336000</v>
      </c>
    </row>
    <row r="855" spans="1:11" x14ac:dyDescent="0.25">
      <c r="A855" s="10">
        <v>45744</v>
      </c>
      <c r="B855" t="s">
        <v>18</v>
      </c>
      <c r="C855" t="s">
        <v>12</v>
      </c>
      <c r="D855" t="s">
        <v>13</v>
      </c>
      <c r="E855" t="s">
        <v>20</v>
      </c>
      <c r="F855" t="s">
        <v>21</v>
      </c>
      <c r="G855" t="s">
        <v>22</v>
      </c>
      <c r="H855">
        <v>30000</v>
      </c>
      <c r="I855">
        <v>5</v>
      </c>
      <c r="J855" t="s">
        <v>39</v>
      </c>
      <c r="K855">
        <v>24000</v>
      </c>
    </row>
    <row r="856" spans="1:11" x14ac:dyDescent="0.25">
      <c r="A856" s="10">
        <v>45723</v>
      </c>
      <c r="B856" t="s">
        <v>18</v>
      </c>
      <c r="C856" t="s">
        <v>32</v>
      </c>
      <c r="D856" t="s">
        <v>23</v>
      </c>
      <c r="E856" t="s">
        <v>14</v>
      </c>
      <c r="F856" t="s">
        <v>38</v>
      </c>
      <c r="G856" t="s">
        <v>31</v>
      </c>
      <c r="H856">
        <v>420000</v>
      </c>
      <c r="I856">
        <v>7</v>
      </c>
      <c r="J856" t="s">
        <v>17</v>
      </c>
      <c r="K856">
        <v>336000</v>
      </c>
    </row>
    <row r="857" spans="1:11" x14ac:dyDescent="0.25">
      <c r="A857" s="10">
        <v>45735</v>
      </c>
      <c r="B857" t="s">
        <v>25</v>
      </c>
      <c r="C857" t="s">
        <v>19</v>
      </c>
      <c r="D857" t="s">
        <v>13</v>
      </c>
      <c r="E857" t="s">
        <v>20</v>
      </c>
      <c r="F857" t="s">
        <v>33</v>
      </c>
      <c r="G857" t="s">
        <v>22</v>
      </c>
      <c r="H857">
        <v>180000</v>
      </c>
      <c r="I857">
        <v>8</v>
      </c>
      <c r="J857" t="s">
        <v>37</v>
      </c>
      <c r="K857">
        <v>144000</v>
      </c>
    </row>
    <row r="858" spans="1:11" x14ac:dyDescent="0.25">
      <c r="A858" s="10">
        <v>45761</v>
      </c>
      <c r="B858" t="s">
        <v>11</v>
      </c>
      <c r="C858" t="s">
        <v>32</v>
      </c>
      <c r="D858" t="s">
        <v>23</v>
      </c>
      <c r="E858" t="s">
        <v>20</v>
      </c>
      <c r="F858" t="s">
        <v>41</v>
      </c>
      <c r="G858" t="s">
        <v>22</v>
      </c>
      <c r="H858">
        <v>220000</v>
      </c>
      <c r="I858">
        <v>3</v>
      </c>
      <c r="J858" t="s">
        <v>28</v>
      </c>
      <c r="K858">
        <v>176000</v>
      </c>
    </row>
    <row r="859" spans="1:11" x14ac:dyDescent="0.25">
      <c r="A859" s="10">
        <v>45658</v>
      </c>
      <c r="B859" t="s">
        <v>18</v>
      </c>
      <c r="C859" t="s">
        <v>32</v>
      </c>
      <c r="D859" t="s">
        <v>13</v>
      </c>
      <c r="E859" t="s">
        <v>14</v>
      </c>
      <c r="F859" t="s">
        <v>38</v>
      </c>
      <c r="G859" t="s">
        <v>31</v>
      </c>
      <c r="H859">
        <v>420000</v>
      </c>
      <c r="I859">
        <v>3</v>
      </c>
      <c r="J859" t="s">
        <v>17</v>
      </c>
      <c r="K859">
        <v>336000</v>
      </c>
    </row>
    <row r="860" spans="1:11" x14ac:dyDescent="0.25">
      <c r="A860" s="10">
        <v>45667</v>
      </c>
      <c r="B860" t="s">
        <v>18</v>
      </c>
      <c r="C860" t="s">
        <v>26</v>
      </c>
      <c r="D860" t="s">
        <v>13</v>
      </c>
      <c r="E860" t="s">
        <v>14</v>
      </c>
      <c r="F860" t="s">
        <v>33</v>
      </c>
      <c r="G860" t="s">
        <v>22</v>
      </c>
      <c r="H860">
        <v>180000</v>
      </c>
      <c r="I860">
        <v>5</v>
      </c>
      <c r="J860" t="s">
        <v>39</v>
      </c>
      <c r="K860">
        <v>144000</v>
      </c>
    </row>
    <row r="861" spans="1:11" x14ac:dyDescent="0.25">
      <c r="A861" s="10">
        <v>45688</v>
      </c>
      <c r="B861" t="s">
        <v>11</v>
      </c>
      <c r="C861" t="s">
        <v>26</v>
      </c>
      <c r="D861" t="s">
        <v>23</v>
      </c>
      <c r="E861" t="s">
        <v>14</v>
      </c>
      <c r="F861" t="s">
        <v>41</v>
      </c>
      <c r="G861" t="s">
        <v>22</v>
      </c>
      <c r="H861">
        <v>220000</v>
      </c>
      <c r="I861">
        <v>5</v>
      </c>
      <c r="J861" t="s">
        <v>28</v>
      </c>
      <c r="K861">
        <v>176000</v>
      </c>
    </row>
    <row r="862" spans="1:11" x14ac:dyDescent="0.25">
      <c r="A862" s="10">
        <v>45691</v>
      </c>
      <c r="B862" t="s">
        <v>29</v>
      </c>
      <c r="C862" t="s">
        <v>32</v>
      </c>
      <c r="D862" t="s">
        <v>23</v>
      </c>
      <c r="E862" t="s">
        <v>14</v>
      </c>
      <c r="F862" t="s">
        <v>40</v>
      </c>
      <c r="G862" t="s">
        <v>31</v>
      </c>
      <c r="H862">
        <v>250000</v>
      </c>
      <c r="I862">
        <v>2</v>
      </c>
      <c r="J862" t="s">
        <v>35</v>
      </c>
      <c r="K862">
        <v>200000</v>
      </c>
    </row>
    <row r="863" spans="1:11" x14ac:dyDescent="0.25">
      <c r="A863" s="10">
        <v>45750</v>
      </c>
      <c r="B863" t="s">
        <v>18</v>
      </c>
      <c r="C863" t="s">
        <v>26</v>
      </c>
      <c r="D863" t="s">
        <v>23</v>
      </c>
      <c r="E863" t="s">
        <v>14</v>
      </c>
      <c r="F863" t="s">
        <v>38</v>
      </c>
      <c r="G863" t="s">
        <v>31</v>
      </c>
      <c r="H863">
        <v>420000</v>
      </c>
      <c r="I863">
        <v>3</v>
      </c>
      <c r="J863" t="s">
        <v>35</v>
      </c>
      <c r="K863">
        <v>336000</v>
      </c>
    </row>
    <row r="864" spans="1:11" x14ac:dyDescent="0.25">
      <c r="A864" s="10">
        <v>45664</v>
      </c>
      <c r="B864" t="s">
        <v>18</v>
      </c>
      <c r="C864" t="s">
        <v>19</v>
      </c>
      <c r="D864" t="s">
        <v>23</v>
      </c>
      <c r="E864" t="s">
        <v>14</v>
      </c>
      <c r="F864" t="s">
        <v>38</v>
      </c>
      <c r="G864" t="s">
        <v>31</v>
      </c>
      <c r="H864">
        <v>420000</v>
      </c>
      <c r="I864">
        <v>8</v>
      </c>
      <c r="J864" t="s">
        <v>28</v>
      </c>
      <c r="K864">
        <v>336000</v>
      </c>
    </row>
    <row r="865" spans="1:11" x14ac:dyDescent="0.25">
      <c r="A865" s="10">
        <v>45763</v>
      </c>
      <c r="B865" t="s">
        <v>18</v>
      </c>
      <c r="C865" t="s">
        <v>12</v>
      </c>
      <c r="D865" t="s">
        <v>23</v>
      </c>
      <c r="E865" t="s">
        <v>14</v>
      </c>
      <c r="F865" t="s">
        <v>38</v>
      </c>
      <c r="G865" t="s">
        <v>31</v>
      </c>
      <c r="H865">
        <v>420000</v>
      </c>
      <c r="I865">
        <v>7</v>
      </c>
      <c r="J865" t="s">
        <v>17</v>
      </c>
      <c r="K865">
        <v>336000</v>
      </c>
    </row>
    <row r="866" spans="1:11" x14ac:dyDescent="0.25">
      <c r="A866" s="10">
        <v>45772</v>
      </c>
      <c r="B866" t="s">
        <v>11</v>
      </c>
      <c r="C866" t="s">
        <v>26</v>
      </c>
      <c r="D866" t="s">
        <v>23</v>
      </c>
      <c r="E866" t="s">
        <v>14</v>
      </c>
      <c r="F866" t="s">
        <v>34</v>
      </c>
      <c r="G866" t="s">
        <v>16</v>
      </c>
      <c r="H866">
        <v>320000</v>
      </c>
      <c r="I866">
        <v>6</v>
      </c>
      <c r="J866" t="s">
        <v>28</v>
      </c>
      <c r="K866">
        <v>256000</v>
      </c>
    </row>
    <row r="867" spans="1:11" x14ac:dyDescent="0.25">
      <c r="A867" s="10">
        <v>45714</v>
      </c>
      <c r="B867" t="s">
        <v>29</v>
      </c>
      <c r="C867" t="s">
        <v>26</v>
      </c>
      <c r="D867" t="s">
        <v>23</v>
      </c>
      <c r="E867" t="s">
        <v>14</v>
      </c>
      <c r="F867" t="s">
        <v>27</v>
      </c>
      <c r="G867" t="s">
        <v>22</v>
      </c>
      <c r="H867">
        <v>60000</v>
      </c>
      <c r="I867">
        <v>3</v>
      </c>
      <c r="J867" t="s">
        <v>28</v>
      </c>
      <c r="K867">
        <v>48000</v>
      </c>
    </row>
    <row r="868" spans="1:11" x14ac:dyDescent="0.25">
      <c r="A868" s="10">
        <v>45689</v>
      </c>
      <c r="B868" t="s">
        <v>11</v>
      </c>
      <c r="C868" t="s">
        <v>12</v>
      </c>
      <c r="D868" t="s">
        <v>23</v>
      </c>
      <c r="E868" t="s">
        <v>20</v>
      </c>
      <c r="F868" t="s">
        <v>15</v>
      </c>
      <c r="G868" t="s">
        <v>16</v>
      </c>
      <c r="H868">
        <v>85000</v>
      </c>
      <c r="I868">
        <v>8</v>
      </c>
      <c r="J868" t="s">
        <v>17</v>
      </c>
      <c r="K868">
        <v>68000</v>
      </c>
    </row>
    <row r="869" spans="1:11" x14ac:dyDescent="0.25">
      <c r="A869" s="10">
        <v>45677</v>
      </c>
      <c r="B869" t="s">
        <v>11</v>
      </c>
      <c r="C869" t="s">
        <v>12</v>
      </c>
      <c r="D869" t="s">
        <v>23</v>
      </c>
      <c r="E869" t="s">
        <v>20</v>
      </c>
      <c r="F869" t="s">
        <v>33</v>
      </c>
      <c r="G869" t="s">
        <v>22</v>
      </c>
      <c r="H869">
        <v>180000</v>
      </c>
      <c r="I869">
        <v>9</v>
      </c>
      <c r="J869" t="s">
        <v>35</v>
      </c>
      <c r="K869">
        <v>144000</v>
      </c>
    </row>
    <row r="870" spans="1:11" x14ac:dyDescent="0.25">
      <c r="A870" s="10">
        <v>45712</v>
      </c>
      <c r="B870" t="s">
        <v>11</v>
      </c>
      <c r="C870" t="s">
        <v>26</v>
      </c>
      <c r="D870" t="s">
        <v>23</v>
      </c>
      <c r="E870" t="s">
        <v>20</v>
      </c>
      <c r="F870" t="s">
        <v>41</v>
      </c>
      <c r="G870" t="s">
        <v>22</v>
      </c>
      <c r="H870">
        <v>220000</v>
      </c>
      <c r="I870">
        <v>5</v>
      </c>
      <c r="J870" t="s">
        <v>35</v>
      </c>
      <c r="K870">
        <v>176000</v>
      </c>
    </row>
    <row r="871" spans="1:11" x14ac:dyDescent="0.25">
      <c r="A871" s="10">
        <v>45667</v>
      </c>
      <c r="B871" t="s">
        <v>25</v>
      </c>
      <c r="C871" t="s">
        <v>26</v>
      </c>
      <c r="D871" t="s">
        <v>23</v>
      </c>
      <c r="E871" t="s">
        <v>20</v>
      </c>
      <c r="F871" t="s">
        <v>33</v>
      </c>
      <c r="G871" t="s">
        <v>22</v>
      </c>
      <c r="H871">
        <v>180000</v>
      </c>
      <c r="I871">
        <v>5</v>
      </c>
      <c r="J871" t="s">
        <v>35</v>
      </c>
      <c r="K871">
        <v>144000</v>
      </c>
    </row>
    <row r="872" spans="1:11" x14ac:dyDescent="0.25">
      <c r="A872" s="10">
        <v>45720</v>
      </c>
      <c r="B872" t="s">
        <v>11</v>
      </c>
      <c r="C872" t="s">
        <v>19</v>
      </c>
      <c r="D872" t="s">
        <v>23</v>
      </c>
      <c r="E872" t="s">
        <v>14</v>
      </c>
      <c r="F872" t="s">
        <v>27</v>
      </c>
      <c r="G872" t="s">
        <v>22</v>
      </c>
      <c r="H872">
        <v>60000</v>
      </c>
      <c r="I872">
        <v>7</v>
      </c>
      <c r="J872" t="s">
        <v>17</v>
      </c>
      <c r="K872">
        <v>48000</v>
      </c>
    </row>
    <row r="873" spans="1:11" x14ac:dyDescent="0.25">
      <c r="A873" s="10">
        <v>45763</v>
      </c>
      <c r="B873" t="s">
        <v>25</v>
      </c>
      <c r="C873" t="s">
        <v>26</v>
      </c>
      <c r="D873" t="s">
        <v>23</v>
      </c>
      <c r="E873" t="s">
        <v>20</v>
      </c>
      <c r="F873" t="s">
        <v>36</v>
      </c>
      <c r="G873" t="s">
        <v>31</v>
      </c>
      <c r="H873">
        <v>150000</v>
      </c>
      <c r="I873">
        <v>7</v>
      </c>
      <c r="J873" t="s">
        <v>35</v>
      </c>
      <c r="K873">
        <v>120000</v>
      </c>
    </row>
    <row r="874" spans="1:11" x14ac:dyDescent="0.25">
      <c r="A874" s="10">
        <v>45760</v>
      </c>
      <c r="B874" t="s">
        <v>18</v>
      </c>
      <c r="C874" t="s">
        <v>12</v>
      </c>
      <c r="D874" t="s">
        <v>23</v>
      </c>
      <c r="E874" t="s">
        <v>20</v>
      </c>
      <c r="F874" t="s">
        <v>21</v>
      </c>
      <c r="G874" t="s">
        <v>22</v>
      </c>
      <c r="H874">
        <v>30000</v>
      </c>
      <c r="I874">
        <v>4</v>
      </c>
      <c r="J874" t="s">
        <v>37</v>
      </c>
      <c r="K874">
        <v>24000</v>
      </c>
    </row>
    <row r="875" spans="1:11" x14ac:dyDescent="0.25">
      <c r="A875" s="10">
        <v>45668</v>
      </c>
      <c r="B875" t="s">
        <v>11</v>
      </c>
      <c r="C875" t="s">
        <v>32</v>
      </c>
      <c r="D875" t="s">
        <v>23</v>
      </c>
      <c r="E875" t="s">
        <v>20</v>
      </c>
      <c r="F875" t="s">
        <v>38</v>
      </c>
      <c r="G875" t="s">
        <v>31</v>
      </c>
      <c r="H875">
        <v>420000</v>
      </c>
      <c r="I875">
        <v>1</v>
      </c>
      <c r="J875" t="s">
        <v>37</v>
      </c>
      <c r="K875">
        <v>336000</v>
      </c>
    </row>
    <row r="876" spans="1:11" x14ac:dyDescent="0.25">
      <c r="A876" s="10">
        <v>45699</v>
      </c>
      <c r="B876" t="s">
        <v>11</v>
      </c>
      <c r="C876" t="s">
        <v>26</v>
      </c>
      <c r="D876" t="s">
        <v>23</v>
      </c>
      <c r="E876" t="s">
        <v>20</v>
      </c>
      <c r="F876" t="s">
        <v>38</v>
      </c>
      <c r="G876" t="s">
        <v>31</v>
      </c>
      <c r="H876">
        <v>420000</v>
      </c>
      <c r="I876">
        <v>4</v>
      </c>
      <c r="J876" t="s">
        <v>35</v>
      </c>
      <c r="K876">
        <v>336000</v>
      </c>
    </row>
    <row r="877" spans="1:11" x14ac:dyDescent="0.25">
      <c r="A877" s="10">
        <v>45689</v>
      </c>
      <c r="B877" t="s">
        <v>29</v>
      </c>
      <c r="C877" t="s">
        <v>26</v>
      </c>
      <c r="D877" t="s">
        <v>23</v>
      </c>
      <c r="E877" t="s">
        <v>14</v>
      </c>
      <c r="F877" t="s">
        <v>15</v>
      </c>
      <c r="G877" t="s">
        <v>16</v>
      </c>
      <c r="H877">
        <v>85000</v>
      </c>
      <c r="I877">
        <v>4</v>
      </c>
      <c r="J877" t="s">
        <v>35</v>
      </c>
      <c r="K877">
        <v>68000</v>
      </c>
    </row>
    <row r="878" spans="1:11" x14ac:dyDescent="0.25">
      <c r="A878" s="10">
        <v>45769</v>
      </c>
      <c r="B878" t="s">
        <v>11</v>
      </c>
      <c r="C878" t="s">
        <v>19</v>
      </c>
      <c r="D878" t="s">
        <v>23</v>
      </c>
      <c r="E878" t="s">
        <v>20</v>
      </c>
      <c r="F878" t="s">
        <v>34</v>
      </c>
      <c r="G878" t="s">
        <v>16</v>
      </c>
      <c r="H878">
        <v>320000</v>
      </c>
      <c r="I878">
        <v>5</v>
      </c>
      <c r="J878" t="s">
        <v>28</v>
      </c>
      <c r="K878">
        <v>256000</v>
      </c>
    </row>
    <row r="879" spans="1:11" x14ac:dyDescent="0.25">
      <c r="A879" s="10">
        <v>45708</v>
      </c>
      <c r="B879" t="s">
        <v>18</v>
      </c>
      <c r="C879" t="s">
        <v>12</v>
      </c>
      <c r="D879" t="s">
        <v>23</v>
      </c>
      <c r="E879" t="s">
        <v>20</v>
      </c>
      <c r="F879" t="s">
        <v>15</v>
      </c>
      <c r="G879" t="s">
        <v>16</v>
      </c>
      <c r="H879">
        <v>85000</v>
      </c>
      <c r="I879">
        <v>4</v>
      </c>
      <c r="J879" t="s">
        <v>28</v>
      </c>
      <c r="K879">
        <v>68000</v>
      </c>
    </row>
    <row r="880" spans="1:11" x14ac:dyDescent="0.25">
      <c r="A880" s="10">
        <v>45716</v>
      </c>
      <c r="B880" t="s">
        <v>11</v>
      </c>
      <c r="C880" t="s">
        <v>12</v>
      </c>
      <c r="D880" t="s">
        <v>23</v>
      </c>
      <c r="E880" t="s">
        <v>20</v>
      </c>
      <c r="F880" t="s">
        <v>38</v>
      </c>
      <c r="G880" t="s">
        <v>31</v>
      </c>
      <c r="H880">
        <v>420000</v>
      </c>
      <c r="I880">
        <v>7</v>
      </c>
      <c r="J880" t="s">
        <v>39</v>
      </c>
      <c r="K880">
        <v>336000</v>
      </c>
    </row>
    <row r="881" spans="1:11" x14ac:dyDescent="0.25">
      <c r="A881" s="10">
        <v>45670</v>
      </c>
      <c r="B881" t="s">
        <v>11</v>
      </c>
      <c r="C881" t="s">
        <v>26</v>
      </c>
      <c r="D881" t="s">
        <v>23</v>
      </c>
      <c r="E881" t="s">
        <v>14</v>
      </c>
      <c r="F881" t="s">
        <v>21</v>
      </c>
      <c r="G881" t="s">
        <v>22</v>
      </c>
      <c r="H881">
        <v>30000</v>
      </c>
      <c r="I881">
        <v>10</v>
      </c>
      <c r="J881" t="s">
        <v>28</v>
      </c>
      <c r="K881">
        <v>24000</v>
      </c>
    </row>
    <row r="882" spans="1:11" x14ac:dyDescent="0.25">
      <c r="A882" s="10">
        <v>45740</v>
      </c>
      <c r="B882" t="s">
        <v>11</v>
      </c>
      <c r="C882" t="s">
        <v>26</v>
      </c>
      <c r="D882" t="s">
        <v>23</v>
      </c>
      <c r="E882" t="s">
        <v>14</v>
      </c>
      <c r="F882" t="s">
        <v>36</v>
      </c>
      <c r="G882" t="s">
        <v>31</v>
      </c>
      <c r="H882">
        <v>150000</v>
      </c>
      <c r="I882">
        <v>10</v>
      </c>
      <c r="J882" t="s">
        <v>28</v>
      </c>
      <c r="K882">
        <v>120000</v>
      </c>
    </row>
    <row r="883" spans="1:11" x14ac:dyDescent="0.25">
      <c r="A883" s="10">
        <v>45688</v>
      </c>
      <c r="B883" t="s">
        <v>25</v>
      </c>
      <c r="C883" t="s">
        <v>12</v>
      </c>
      <c r="D883" t="s">
        <v>23</v>
      </c>
      <c r="E883" t="s">
        <v>20</v>
      </c>
      <c r="F883" t="s">
        <v>40</v>
      </c>
      <c r="G883" t="s">
        <v>31</v>
      </c>
      <c r="H883">
        <v>250000</v>
      </c>
      <c r="I883">
        <v>4</v>
      </c>
      <c r="J883" t="s">
        <v>37</v>
      </c>
      <c r="K883">
        <v>200000</v>
      </c>
    </row>
    <row r="884" spans="1:11" x14ac:dyDescent="0.25">
      <c r="A884" s="10">
        <v>45752</v>
      </c>
      <c r="B884" t="s">
        <v>18</v>
      </c>
      <c r="C884" t="s">
        <v>32</v>
      </c>
      <c r="D884" t="s">
        <v>13</v>
      </c>
      <c r="E884" t="s">
        <v>14</v>
      </c>
      <c r="F884" t="s">
        <v>41</v>
      </c>
      <c r="G884" t="s">
        <v>22</v>
      </c>
      <c r="H884">
        <v>220000</v>
      </c>
      <c r="I884">
        <v>6</v>
      </c>
      <c r="J884" t="s">
        <v>37</v>
      </c>
      <c r="K884">
        <v>176000</v>
      </c>
    </row>
    <row r="885" spans="1:11" x14ac:dyDescent="0.25">
      <c r="A885" s="10">
        <v>45673</v>
      </c>
      <c r="B885" t="s">
        <v>29</v>
      </c>
      <c r="C885" t="s">
        <v>12</v>
      </c>
      <c r="D885" t="s">
        <v>13</v>
      </c>
      <c r="E885" t="s">
        <v>20</v>
      </c>
      <c r="F885" t="s">
        <v>36</v>
      </c>
      <c r="G885" t="s">
        <v>31</v>
      </c>
      <c r="H885">
        <v>150000</v>
      </c>
      <c r="I885">
        <v>10</v>
      </c>
      <c r="J885" t="s">
        <v>24</v>
      </c>
      <c r="K885">
        <v>120000</v>
      </c>
    </row>
    <row r="886" spans="1:11" x14ac:dyDescent="0.25">
      <c r="A886" s="10">
        <v>45700</v>
      </c>
      <c r="B886" t="s">
        <v>18</v>
      </c>
      <c r="C886" t="s">
        <v>26</v>
      </c>
      <c r="D886" t="s">
        <v>13</v>
      </c>
      <c r="E886" t="s">
        <v>14</v>
      </c>
      <c r="F886" t="s">
        <v>36</v>
      </c>
      <c r="G886" t="s">
        <v>31</v>
      </c>
      <c r="H886">
        <v>150000</v>
      </c>
      <c r="I886">
        <v>2</v>
      </c>
      <c r="J886" t="s">
        <v>28</v>
      </c>
      <c r="K886">
        <v>120000</v>
      </c>
    </row>
    <row r="887" spans="1:11" x14ac:dyDescent="0.25">
      <c r="A887" s="10">
        <v>45660</v>
      </c>
      <c r="B887" t="s">
        <v>11</v>
      </c>
      <c r="C887" t="s">
        <v>12</v>
      </c>
      <c r="D887" t="s">
        <v>13</v>
      </c>
      <c r="E887" t="s">
        <v>14</v>
      </c>
      <c r="F887" t="s">
        <v>40</v>
      </c>
      <c r="G887" t="s">
        <v>31</v>
      </c>
      <c r="H887">
        <v>250000</v>
      </c>
      <c r="I887">
        <v>4</v>
      </c>
      <c r="J887" t="s">
        <v>35</v>
      </c>
      <c r="K887">
        <v>200000</v>
      </c>
    </row>
    <row r="888" spans="1:11" x14ac:dyDescent="0.25">
      <c r="A888" s="10">
        <v>45751</v>
      </c>
      <c r="B888" t="s">
        <v>18</v>
      </c>
      <c r="C888" t="s">
        <v>12</v>
      </c>
      <c r="D888" t="s">
        <v>13</v>
      </c>
      <c r="E888" t="s">
        <v>20</v>
      </c>
      <c r="F888" t="s">
        <v>36</v>
      </c>
      <c r="G888" t="s">
        <v>31</v>
      </c>
      <c r="H888">
        <v>150000</v>
      </c>
      <c r="I888">
        <v>9</v>
      </c>
      <c r="J888" t="s">
        <v>24</v>
      </c>
      <c r="K888">
        <v>120000</v>
      </c>
    </row>
    <row r="889" spans="1:11" x14ac:dyDescent="0.25">
      <c r="A889" s="10">
        <v>45767</v>
      </c>
      <c r="B889" t="s">
        <v>29</v>
      </c>
      <c r="C889" t="s">
        <v>26</v>
      </c>
      <c r="D889" t="s">
        <v>13</v>
      </c>
      <c r="E889" t="s">
        <v>20</v>
      </c>
      <c r="F889" t="s">
        <v>38</v>
      </c>
      <c r="G889" t="s">
        <v>31</v>
      </c>
      <c r="H889">
        <v>420000</v>
      </c>
      <c r="I889">
        <v>7</v>
      </c>
      <c r="J889" t="s">
        <v>35</v>
      </c>
      <c r="K889">
        <v>336000</v>
      </c>
    </row>
    <row r="890" spans="1:11" x14ac:dyDescent="0.25">
      <c r="A890" s="10">
        <v>45769</v>
      </c>
      <c r="B890" t="s">
        <v>18</v>
      </c>
      <c r="C890" t="s">
        <v>19</v>
      </c>
      <c r="D890" t="s">
        <v>13</v>
      </c>
      <c r="E890" t="s">
        <v>14</v>
      </c>
      <c r="F890" t="s">
        <v>15</v>
      </c>
      <c r="G890" t="s">
        <v>16</v>
      </c>
      <c r="H890">
        <v>85000</v>
      </c>
      <c r="I890">
        <v>2</v>
      </c>
      <c r="J890" t="s">
        <v>17</v>
      </c>
      <c r="K890">
        <v>68000</v>
      </c>
    </row>
    <row r="891" spans="1:11" x14ac:dyDescent="0.25">
      <c r="A891" s="10">
        <v>45738</v>
      </c>
      <c r="B891" t="s">
        <v>25</v>
      </c>
      <c r="C891" t="s">
        <v>19</v>
      </c>
      <c r="D891" t="s">
        <v>23</v>
      </c>
      <c r="E891" t="s">
        <v>20</v>
      </c>
      <c r="F891" t="s">
        <v>15</v>
      </c>
      <c r="G891" t="s">
        <v>16</v>
      </c>
      <c r="H891">
        <v>85000</v>
      </c>
      <c r="I891">
        <v>1</v>
      </c>
      <c r="J891" t="s">
        <v>35</v>
      </c>
      <c r="K891">
        <v>68000</v>
      </c>
    </row>
    <row r="892" spans="1:11" x14ac:dyDescent="0.25">
      <c r="A892" s="10">
        <v>45713</v>
      </c>
      <c r="B892" t="s">
        <v>25</v>
      </c>
      <c r="C892" t="s">
        <v>26</v>
      </c>
      <c r="D892" t="s">
        <v>13</v>
      </c>
      <c r="E892" t="s">
        <v>20</v>
      </c>
      <c r="F892" t="s">
        <v>38</v>
      </c>
      <c r="G892" t="s">
        <v>31</v>
      </c>
      <c r="H892">
        <v>420000</v>
      </c>
      <c r="I892">
        <v>9</v>
      </c>
      <c r="J892" t="s">
        <v>17</v>
      </c>
      <c r="K892">
        <v>336000</v>
      </c>
    </row>
    <row r="893" spans="1:11" x14ac:dyDescent="0.25">
      <c r="A893" s="10">
        <v>45730</v>
      </c>
      <c r="B893" t="s">
        <v>29</v>
      </c>
      <c r="C893" t="s">
        <v>19</v>
      </c>
      <c r="D893" t="s">
        <v>13</v>
      </c>
      <c r="E893" t="s">
        <v>20</v>
      </c>
      <c r="F893" t="s">
        <v>41</v>
      </c>
      <c r="G893" t="s">
        <v>22</v>
      </c>
      <c r="H893">
        <v>220000</v>
      </c>
      <c r="I893">
        <v>2</v>
      </c>
      <c r="J893" t="s">
        <v>39</v>
      </c>
      <c r="K893">
        <v>176000</v>
      </c>
    </row>
    <row r="894" spans="1:11" x14ac:dyDescent="0.25">
      <c r="A894" s="10">
        <v>45726</v>
      </c>
      <c r="B894" t="s">
        <v>11</v>
      </c>
      <c r="C894" t="s">
        <v>26</v>
      </c>
      <c r="D894" t="s">
        <v>23</v>
      </c>
      <c r="E894" t="s">
        <v>20</v>
      </c>
      <c r="F894" t="s">
        <v>41</v>
      </c>
      <c r="G894" t="s">
        <v>22</v>
      </c>
      <c r="H894">
        <v>220000</v>
      </c>
      <c r="I894">
        <v>8</v>
      </c>
      <c r="J894" t="s">
        <v>37</v>
      </c>
      <c r="K894">
        <v>176000</v>
      </c>
    </row>
    <row r="895" spans="1:11" x14ac:dyDescent="0.25">
      <c r="A895" s="10">
        <v>45691</v>
      </c>
      <c r="B895" t="s">
        <v>29</v>
      </c>
      <c r="C895" t="s">
        <v>12</v>
      </c>
      <c r="D895" t="s">
        <v>23</v>
      </c>
      <c r="E895" t="s">
        <v>14</v>
      </c>
      <c r="F895" t="s">
        <v>21</v>
      </c>
      <c r="G895" t="s">
        <v>22</v>
      </c>
      <c r="H895">
        <v>30000</v>
      </c>
      <c r="I895">
        <v>9</v>
      </c>
      <c r="J895" t="s">
        <v>17</v>
      </c>
      <c r="K895">
        <v>24000</v>
      </c>
    </row>
    <row r="896" spans="1:11" x14ac:dyDescent="0.25">
      <c r="A896" s="10">
        <v>45706</v>
      </c>
      <c r="B896" t="s">
        <v>29</v>
      </c>
      <c r="C896" t="s">
        <v>32</v>
      </c>
      <c r="D896" t="s">
        <v>23</v>
      </c>
      <c r="E896" t="s">
        <v>14</v>
      </c>
      <c r="F896" t="s">
        <v>34</v>
      </c>
      <c r="G896" t="s">
        <v>16</v>
      </c>
      <c r="H896">
        <v>320000</v>
      </c>
      <c r="I896">
        <v>3</v>
      </c>
      <c r="J896" t="s">
        <v>37</v>
      </c>
      <c r="K896">
        <v>256000</v>
      </c>
    </row>
    <row r="897" spans="1:11" x14ac:dyDescent="0.25">
      <c r="A897" s="10">
        <v>45674</v>
      </c>
      <c r="B897" t="s">
        <v>29</v>
      </c>
      <c r="C897" t="s">
        <v>12</v>
      </c>
      <c r="D897" t="s">
        <v>13</v>
      </c>
      <c r="E897" t="s">
        <v>14</v>
      </c>
      <c r="F897" t="s">
        <v>21</v>
      </c>
      <c r="G897" t="s">
        <v>22</v>
      </c>
      <c r="H897">
        <v>30000</v>
      </c>
      <c r="I897">
        <v>6</v>
      </c>
      <c r="J897" t="s">
        <v>35</v>
      </c>
      <c r="K897">
        <v>24000</v>
      </c>
    </row>
    <row r="898" spans="1:11" x14ac:dyDescent="0.25">
      <c r="A898" s="10">
        <v>45700</v>
      </c>
      <c r="B898" t="s">
        <v>29</v>
      </c>
      <c r="C898" t="s">
        <v>26</v>
      </c>
      <c r="D898" t="s">
        <v>23</v>
      </c>
      <c r="E898" t="s">
        <v>14</v>
      </c>
      <c r="F898" t="s">
        <v>27</v>
      </c>
      <c r="G898" t="s">
        <v>22</v>
      </c>
      <c r="H898">
        <v>60000</v>
      </c>
      <c r="I898">
        <v>7</v>
      </c>
      <c r="J898" t="s">
        <v>28</v>
      </c>
      <c r="K898">
        <v>48000</v>
      </c>
    </row>
    <row r="899" spans="1:11" x14ac:dyDescent="0.25">
      <c r="A899" s="10">
        <v>45683</v>
      </c>
      <c r="B899" t="s">
        <v>25</v>
      </c>
      <c r="C899" t="s">
        <v>26</v>
      </c>
      <c r="D899" t="s">
        <v>13</v>
      </c>
      <c r="E899" t="s">
        <v>14</v>
      </c>
      <c r="F899" t="s">
        <v>33</v>
      </c>
      <c r="G899" t="s">
        <v>22</v>
      </c>
      <c r="H899">
        <v>180000</v>
      </c>
      <c r="I899">
        <v>2</v>
      </c>
      <c r="J899" t="s">
        <v>35</v>
      </c>
      <c r="K899">
        <v>144000</v>
      </c>
    </row>
    <row r="900" spans="1:11" x14ac:dyDescent="0.25">
      <c r="A900" s="10">
        <v>45724</v>
      </c>
      <c r="B900" t="s">
        <v>18</v>
      </c>
      <c r="C900" t="s">
        <v>32</v>
      </c>
      <c r="D900" t="s">
        <v>23</v>
      </c>
      <c r="E900" t="s">
        <v>20</v>
      </c>
      <c r="F900" t="s">
        <v>21</v>
      </c>
      <c r="G900" t="s">
        <v>22</v>
      </c>
      <c r="H900">
        <v>30000</v>
      </c>
      <c r="I900">
        <v>5</v>
      </c>
      <c r="J900" t="s">
        <v>17</v>
      </c>
      <c r="K900">
        <v>24000</v>
      </c>
    </row>
    <row r="901" spans="1:11" x14ac:dyDescent="0.25">
      <c r="A901" s="10">
        <v>45665</v>
      </c>
      <c r="B901" t="s">
        <v>11</v>
      </c>
      <c r="C901" t="s">
        <v>19</v>
      </c>
      <c r="D901" t="s">
        <v>23</v>
      </c>
      <c r="E901" t="s">
        <v>20</v>
      </c>
      <c r="F901" t="s">
        <v>36</v>
      </c>
      <c r="G901" t="s">
        <v>31</v>
      </c>
      <c r="H901">
        <v>150000</v>
      </c>
      <c r="I901">
        <v>2</v>
      </c>
      <c r="J901" t="s">
        <v>37</v>
      </c>
      <c r="K901">
        <v>120000</v>
      </c>
    </row>
    <row r="902" spans="1:11" x14ac:dyDescent="0.25">
      <c r="A902" s="10">
        <v>45775</v>
      </c>
      <c r="B902" t="s">
        <v>25</v>
      </c>
      <c r="C902" t="s">
        <v>12</v>
      </c>
      <c r="D902" t="s">
        <v>13</v>
      </c>
      <c r="E902" t="s">
        <v>14</v>
      </c>
      <c r="F902" t="s">
        <v>21</v>
      </c>
      <c r="G902" t="s">
        <v>22</v>
      </c>
      <c r="H902">
        <v>30000</v>
      </c>
      <c r="I902">
        <v>9</v>
      </c>
      <c r="J902" t="s">
        <v>39</v>
      </c>
      <c r="K902">
        <v>24000</v>
      </c>
    </row>
    <row r="903" spans="1:11" x14ac:dyDescent="0.25">
      <c r="A903" s="10">
        <v>45701</v>
      </c>
      <c r="B903" t="s">
        <v>25</v>
      </c>
      <c r="C903" t="s">
        <v>26</v>
      </c>
      <c r="D903" t="s">
        <v>23</v>
      </c>
      <c r="E903" t="s">
        <v>14</v>
      </c>
      <c r="F903" t="s">
        <v>36</v>
      </c>
      <c r="G903" t="s">
        <v>31</v>
      </c>
      <c r="H903">
        <v>150000</v>
      </c>
      <c r="I903">
        <v>5</v>
      </c>
      <c r="J903" t="s">
        <v>35</v>
      </c>
      <c r="K903">
        <v>120000</v>
      </c>
    </row>
    <row r="904" spans="1:11" x14ac:dyDescent="0.25">
      <c r="A904" s="10">
        <v>45682</v>
      </c>
      <c r="B904" t="s">
        <v>25</v>
      </c>
      <c r="C904" t="s">
        <v>26</v>
      </c>
      <c r="D904" t="s">
        <v>13</v>
      </c>
      <c r="E904" t="s">
        <v>20</v>
      </c>
      <c r="F904" t="s">
        <v>27</v>
      </c>
      <c r="G904" t="s">
        <v>22</v>
      </c>
      <c r="H904">
        <v>60000</v>
      </c>
      <c r="I904">
        <v>8</v>
      </c>
      <c r="J904" t="s">
        <v>39</v>
      </c>
      <c r="K904">
        <v>48000</v>
      </c>
    </row>
    <row r="905" spans="1:11" x14ac:dyDescent="0.25">
      <c r="A905" s="10">
        <v>45760</v>
      </c>
      <c r="B905" t="s">
        <v>18</v>
      </c>
      <c r="C905" t="s">
        <v>19</v>
      </c>
      <c r="D905" t="s">
        <v>13</v>
      </c>
      <c r="E905" t="s">
        <v>14</v>
      </c>
      <c r="F905" t="s">
        <v>36</v>
      </c>
      <c r="G905" t="s">
        <v>31</v>
      </c>
      <c r="H905">
        <v>150000</v>
      </c>
      <c r="I905">
        <v>8</v>
      </c>
      <c r="J905" t="s">
        <v>37</v>
      </c>
      <c r="K905">
        <v>120000</v>
      </c>
    </row>
    <row r="906" spans="1:11" x14ac:dyDescent="0.25">
      <c r="A906" s="10">
        <v>45729</v>
      </c>
      <c r="B906" t="s">
        <v>18</v>
      </c>
      <c r="C906" t="s">
        <v>26</v>
      </c>
      <c r="D906" t="s">
        <v>13</v>
      </c>
      <c r="E906" t="s">
        <v>20</v>
      </c>
      <c r="F906" t="s">
        <v>15</v>
      </c>
      <c r="G906" t="s">
        <v>16</v>
      </c>
      <c r="H906">
        <v>85000</v>
      </c>
      <c r="I906">
        <v>3</v>
      </c>
      <c r="J906" t="s">
        <v>39</v>
      </c>
      <c r="K906">
        <v>68000</v>
      </c>
    </row>
    <row r="907" spans="1:11" x14ac:dyDescent="0.25">
      <c r="A907" s="10">
        <v>45734</v>
      </c>
      <c r="B907" t="s">
        <v>25</v>
      </c>
      <c r="C907" t="s">
        <v>12</v>
      </c>
      <c r="D907" t="s">
        <v>23</v>
      </c>
      <c r="E907" t="s">
        <v>14</v>
      </c>
      <c r="F907" t="s">
        <v>33</v>
      </c>
      <c r="G907" t="s">
        <v>22</v>
      </c>
      <c r="H907">
        <v>180000</v>
      </c>
      <c r="I907">
        <v>4</v>
      </c>
      <c r="J907" t="s">
        <v>37</v>
      </c>
      <c r="K907">
        <v>144000</v>
      </c>
    </row>
    <row r="908" spans="1:11" x14ac:dyDescent="0.25">
      <c r="A908" s="10">
        <v>45687</v>
      </c>
      <c r="B908" t="s">
        <v>29</v>
      </c>
      <c r="C908" t="s">
        <v>12</v>
      </c>
      <c r="D908" t="s">
        <v>13</v>
      </c>
      <c r="E908" t="s">
        <v>14</v>
      </c>
      <c r="F908" t="s">
        <v>38</v>
      </c>
      <c r="G908" t="s">
        <v>31</v>
      </c>
      <c r="H908">
        <v>420000</v>
      </c>
      <c r="I908">
        <v>7</v>
      </c>
      <c r="J908" t="s">
        <v>24</v>
      </c>
      <c r="K908">
        <v>336000</v>
      </c>
    </row>
    <row r="909" spans="1:11" x14ac:dyDescent="0.25">
      <c r="A909" s="10">
        <v>45664</v>
      </c>
      <c r="B909" t="s">
        <v>18</v>
      </c>
      <c r="C909" t="s">
        <v>19</v>
      </c>
      <c r="D909" t="s">
        <v>13</v>
      </c>
      <c r="E909" t="s">
        <v>20</v>
      </c>
      <c r="F909" t="s">
        <v>27</v>
      </c>
      <c r="G909" t="s">
        <v>22</v>
      </c>
      <c r="H909">
        <v>60000</v>
      </c>
      <c r="I909">
        <v>8</v>
      </c>
      <c r="J909" t="s">
        <v>24</v>
      </c>
      <c r="K909">
        <v>48000</v>
      </c>
    </row>
    <row r="910" spans="1:11" x14ac:dyDescent="0.25">
      <c r="A910" s="10">
        <v>45744</v>
      </c>
      <c r="B910" t="s">
        <v>25</v>
      </c>
      <c r="C910" t="s">
        <v>26</v>
      </c>
      <c r="D910" t="s">
        <v>13</v>
      </c>
      <c r="E910" t="s">
        <v>20</v>
      </c>
      <c r="F910" t="s">
        <v>30</v>
      </c>
      <c r="G910" t="s">
        <v>31</v>
      </c>
      <c r="H910">
        <v>300000</v>
      </c>
      <c r="I910">
        <v>1</v>
      </c>
      <c r="J910" t="s">
        <v>35</v>
      </c>
      <c r="K910">
        <v>240000</v>
      </c>
    </row>
    <row r="911" spans="1:11" x14ac:dyDescent="0.25">
      <c r="A911" s="10">
        <v>45759</v>
      </c>
      <c r="B911" t="s">
        <v>18</v>
      </c>
      <c r="C911" t="s">
        <v>26</v>
      </c>
      <c r="D911" t="s">
        <v>13</v>
      </c>
      <c r="E911" t="s">
        <v>14</v>
      </c>
      <c r="F911" t="s">
        <v>21</v>
      </c>
      <c r="G911" t="s">
        <v>22</v>
      </c>
      <c r="H911">
        <v>30000</v>
      </c>
      <c r="I911">
        <v>6</v>
      </c>
      <c r="J911" t="s">
        <v>35</v>
      </c>
      <c r="K911">
        <v>24000</v>
      </c>
    </row>
    <row r="912" spans="1:11" x14ac:dyDescent="0.25">
      <c r="A912" s="10">
        <v>45669</v>
      </c>
      <c r="B912" t="s">
        <v>29</v>
      </c>
      <c r="C912" t="s">
        <v>19</v>
      </c>
      <c r="D912" t="s">
        <v>23</v>
      </c>
      <c r="E912" t="s">
        <v>20</v>
      </c>
      <c r="F912" t="s">
        <v>40</v>
      </c>
      <c r="G912" t="s">
        <v>31</v>
      </c>
      <c r="H912">
        <v>250000</v>
      </c>
      <c r="I912">
        <v>9</v>
      </c>
      <c r="J912" t="s">
        <v>37</v>
      </c>
      <c r="K912">
        <v>200000</v>
      </c>
    </row>
    <row r="913" spans="1:11" x14ac:dyDescent="0.25">
      <c r="A913" s="10">
        <v>45694</v>
      </c>
      <c r="B913" t="s">
        <v>18</v>
      </c>
      <c r="C913" t="s">
        <v>26</v>
      </c>
      <c r="D913" t="s">
        <v>23</v>
      </c>
      <c r="E913" t="s">
        <v>20</v>
      </c>
      <c r="F913" t="s">
        <v>38</v>
      </c>
      <c r="G913" t="s">
        <v>31</v>
      </c>
      <c r="H913">
        <v>420000</v>
      </c>
      <c r="I913">
        <v>9</v>
      </c>
      <c r="J913" t="s">
        <v>35</v>
      </c>
      <c r="K913">
        <v>336000</v>
      </c>
    </row>
    <row r="914" spans="1:11" x14ac:dyDescent="0.25">
      <c r="A914" s="10">
        <v>45739</v>
      </c>
      <c r="B914" t="s">
        <v>18</v>
      </c>
      <c r="C914" t="s">
        <v>26</v>
      </c>
      <c r="D914" t="s">
        <v>23</v>
      </c>
      <c r="E914" t="s">
        <v>20</v>
      </c>
      <c r="F914" t="s">
        <v>36</v>
      </c>
      <c r="G914" t="s">
        <v>31</v>
      </c>
      <c r="H914">
        <v>150000</v>
      </c>
      <c r="I914">
        <v>9</v>
      </c>
      <c r="J914" t="s">
        <v>35</v>
      </c>
      <c r="K914">
        <v>120000</v>
      </c>
    </row>
    <row r="915" spans="1:11" x14ac:dyDescent="0.25">
      <c r="A915" s="10">
        <v>45703</v>
      </c>
      <c r="B915" t="s">
        <v>18</v>
      </c>
      <c r="C915" t="s">
        <v>19</v>
      </c>
      <c r="D915" t="s">
        <v>23</v>
      </c>
      <c r="E915" t="s">
        <v>14</v>
      </c>
      <c r="F915" t="s">
        <v>30</v>
      </c>
      <c r="G915" t="s">
        <v>31</v>
      </c>
      <c r="H915">
        <v>300000</v>
      </c>
      <c r="I915">
        <v>5</v>
      </c>
      <c r="J915" t="s">
        <v>39</v>
      </c>
      <c r="K915">
        <v>240000</v>
      </c>
    </row>
    <row r="916" spans="1:11" x14ac:dyDescent="0.25">
      <c r="A916" s="10">
        <v>45742</v>
      </c>
      <c r="B916" t="s">
        <v>29</v>
      </c>
      <c r="C916" t="s">
        <v>32</v>
      </c>
      <c r="D916" t="s">
        <v>13</v>
      </c>
      <c r="E916" t="s">
        <v>14</v>
      </c>
      <c r="F916" t="s">
        <v>21</v>
      </c>
      <c r="G916" t="s">
        <v>22</v>
      </c>
      <c r="H916">
        <v>30000</v>
      </c>
      <c r="I916">
        <v>4</v>
      </c>
      <c r="J916" t="s">
        <v>35</v>
      </c>
      <c r="K916">
        <v>24000</v>
      </c>
    </row>
    <row r="917" spans="1:11" x14ac:dyDescent="0.25">
      <c r="A917" s="10">
        <v>45725</v>
      </c>
      <c r="B917" t="s">
        <v>11</v>
      </c>
      <c r="C917" t="s">
        <v>32</v>
      </c>
      <c r="D917" t="s">
        <v>13</v>
      </c>
      <c r="E917" t="s">
        <v>20</v>
      </c>
      <c r="F917" t="s">
        <v>38</v>
      </c>
      <c r="G917" t="s">
        <v>31</v>
      </c>
      <c r="H917">
        <v>420000</v>
      </c>
      <c r="I917">
        <v>7</v>
      </c>
      <c r="J917" t="s">
        <v>39</v>
      </c>
      <c r="K917">
        <v>336000</v>
      </c>
    </row>
    <row r="918" spans="1:11" x14ac:dyDescent="0.25">
      <c r="A918" s="10">
        <v>45703</v>
      </c>
      <c r="B918" t="s">
        <v>18</v>
      </c>
      <c r="C918" t="s">
        <v>19</v>
      </c>
      <c r="D918" t="s">
        <v>23</v>
      </c>
      <c r="E918" t="s">
        <v>20</v>
      </c>
      <c r="F918" t="s">
        <v>34</v>
      </c>
      <c r="G918" t="s">
        <v>16</v>
      </c>
      <c r="H918">
        <v>320000</v>
      </c>
      <c r="I918">
        <v>6</v>
      </c>
      <c r="J918" t="s">
        <v>35</v>
      </c>
      <c r="K918">
        <v>256000</v>
      </c>
    </row>
    <row r="919" spans="1:11" x14ac:dyDescent="0.25">
      <c r="A919" s="10">
        <v>45757</v>
      </c>
      <c r="B919" t="s">
        <v>25</v>
      </c>
      <c r="C919" t="s">
        <v>32</v>
      </c>
      <c r="D919" t="s">
        <v>13</v>
      </c>
      <c r="E919" t="s">
        <v>14</v>
      </c>
      <c r="F919" t="s">
        <v>15</v>
      </c>
      <c r="G919" t="s">
        <v>16</v>
      </c>
      <c r="H919">
        <v>85000</v>
      </c>
      <c r="I919">
        <v>2</v>
      </c>
      <c r="J919" t="s">
        <v>39</v>
      </c>
      <c r="K919">
        <v>68000</v>
      </c>
    </row>
    <row r="920" spans="1:11" x14ac:dyDescent="0.25">
      <c r="A920" s="10">
        <v>45663</v>
      </c>
      <c r="B920" t="s">
        <v>11</v>
      </c>
      <c r="C920" t="s">
        <v>19</v>
      </c>
      <c r="D920" t="s">
        <v>13</v>
      </c>
      <c r="E920" t="s">
        <v>14</v>
      </c>
      <c r="F920" t="s">
        <v>36</v>
      </c>
      <c r="G920" t="s">
        <v>31</v>
      </c>
      <c r="H920">
        <v>150000</v>
      </c>
      <c r="I920">
        <v>1</v>
      </c>
      <c r="J920" t="s">
        <v>39</v>
      </c>
      <c r="K920">
        <v>120000</v>
      </c>
    </row>
    <row r="921" spans="1:11" x14ac:dyDescent="0.25">
      <c r="A921" s="10">
        <v>45699</v>
      </c>
      <c r="B921" t="s">
        <v>11</v>
      </c>
      <c r="C921" t="s">
        <v>12</v>
      </c>
      <c r="D921" t="s">
        <v>23</v>
      </c>
      <c r="E921" t="s">
        <v>20</v>
      </c>
      <c r="F921" t="s">
        <v>15</v>
      </c>
      <c r="G921" t="s">
        <v>16</v>
      </c>
      <c r="H921">
        <v>85000</v>
      </c>
      <c r="I921">
        <v>2</v>
      </c>
      <c r="J921" t="s">
        <v>37</v>
      </c>
      <c r="K921">
        <v>68000</v>
      </c>
    </row>
    <row r="922" spans="1:11" x14ac:dyDescent="0.25">
      <c r="A922" s="10">
        <v>45772</v>
      </c>
      <c r="B922" t="s">
        <v>11</v>
      </c>
      <c r="C922" t="s">
        <v>32</v>
      </c>
      <c r="D922" t="s">
        <v>23</v>
      </c>
      <c r="E922" t="s">
        <v>14</v>
      </c>
      <c r="F922" t="s">
        <v>15</v>
      </c>
      <c r="G922" t="s">
        <v>16</v>
      </c>
      <c r="H922">
        <v>85000</v>
      </c>
      <c r="I922">
        <v>1</v>
      </c>
      <c r="J922" t="s">
        <v>28</v>
      </c>
      <c r="K922">
        <v>68000</v>
      </c>
    </row>
    <row r="923" spans="1:11" x14ac:dyDescent="0.25">
      <c r="A923" s="10">
        <v>45674</v>
      </c>
      <c r="B923" t="s">
        <v>29</v>
      </c>
      <c r="C923" t="s">
        <v>26</v>
      </c>
      <c r="D923" t="s">
        <v>13</v>
      </c>
      <c r="E923" t="s">
        <v>14</v>
      </c>
      <c r="F923" t="s">
        <v>33</v>
      </c>
      <c r="G923" t="s">
        <v>22</v>
      </c>
      <c r="H923">
        <v>180000</v>
      </c>
      <c r="I923">
        <v>4</v>
      </c>
      <c r="J923" t="s">
        <v>39</v>
      </c>
      <c r="K923">
        <v>144000</v>
      </c>
    </row>
    <row r="924" spans="1:11" x14ac:dyDescent="0.25">
      <c r="A924" s="10">
        <v>45762</v>
      </c>
      <c r="B924" t="s">
        <v>18</v>
      </c>
      <c r="C924" t="s">
        <v>12</v>
      </c>
      <c r="D924" t="s">
        <v>23</v>
      </c>
      <c r="E924" t="s">
        <v>14</v>
      </c>
      <c r="F924" t="s">
        <v>38</v>
      </c>
      <c r="G924" t="s">
        <v>31</v>
      </c>
      <c r="H924">
        <v>420000</v>
      </c>
      <c r="I924">
        <v>8</v>
      </c>
      <c r="J924" t="s">
        <v>24</v>
      </c>
      <c r="K924">
        <v>336000</v>
      </c>
    </row>
    <row r="925" spans="1:11" x14ac:dyDescent="0.25">
      <c r="A925" s="10">
        <v>45722</v>
      </c>
      <c r="B925" t="s">
        <v>11</v>
      </c>
      <c r="C925" t="s">
        <v>26</v>
      </c>
      <c r="D925" t="s">
        <v>23</v>
      </c>
      <c r="E925" t="s">
        <v>20</v>
      </c>
      <c r="F925" t="s">
        <v>33</v>
      </c>
      <c r="G925" t="s">
        <v>22</v>
      </c>
      <c r="H925">
        <v>180000</v>
      </c>
      <c r="I925">
        <v>9</v>
      </c>
      <c r="J925" t="s">
        <v>24</v>
      </c>
      <c r="K925">
        <v>144000</v>
      </c>
    </row>
    <row r="926" spans="1:11" x14ac:dyDescent="0.25">
      <c r="A926" s="10">
        <v>45668</v>
      </c>
      <c r="B926" t="s">
        <v>29</v>
      </c>
      <c r="C926" t="s">
        <v>19</v>
      </c>
      <c r="D926" t="s">
        <v>23</v>
      </c>
      <c r="E926" t="s">
        <v>20</v>
      </c>
      <c r="F926" t="s">
        <v>30</v>
      </c>
      <c r="G926" t="s">
        <v>31</v>
      </c>
      <c r="H926">
        <v>300000</v>
      </c>
      <c r="I926">
        <v>5</v>
      </c>
      <c r="J926" t="s">
        <v>39</v>
      </c>
      <c r="K926">
        <v>240000</v>
      </c>
    </row>
    <row r="927" spans="1:11" x14ac:dyDescent="0.25">
      <c r="A927" s="10">
        <v>45662</v>
      </c>
      <c r="B927" t="s">
        <v>11</v>
      </c>
      <c r="C927" t="s">
        <v>26</v>
      </c>
      <c r="D927" t="s">
        <v>23</v>
      </c>
      <c r="E927" t="s">
        <v>20</v>
      </c>
      <c r="F927" t="s">
        <v>27</v>
      </c>
      <c r="G927" t="s">
        <v>22</v>
      </c>
      <c r="H927">
        <v>60000</v>
      </c>
      <c r="I927">
        <v>4</v>
      </c>
      <c r="J927" t="s">
        <v>37</v>
      </c>
      <c r="K927">
        <v>48000</v>
      </c>
    </row>
    <row r="928" spans="1:11" x14ac:dyDescent="0.25">
      <c r="A928" s="10">
        <v>45667</v>
      </c>
      <c r="B928" t="s">
        <v>18</v>
      </c>
      <c r="C928" t="s">
        <v>19</v>
      </c>
      <c r="D928" t="s">
        <v>23</v>
      </c>
      <c r="E928" t="s">
        <v>14</v>
      </c>
      <c r="F928" t="s">
        <v>40</v>
      </c>
      <c r="G928" t="s">
        <v>31</v>
      </c>
      <c r="H928">
        <v>250000</v>
      </c>
      <c r="I928">
        <v>4</v>
      </c>
      <c r="J928" t="s">
        <v>37</v>
      </c>
      <c r="K928">
        <v>200000</v>
      </c>
    </row>
    <row r="929" spans="1:11" x14ac:dyDescent="0.25">
      <c r="A929" s="10">
        <v>45730</v>
      </c>
      <c r="B929" t="s">
        <v>29</v>
      </c>
      <c r="C929" t="s">
        <v>12</v>
      </c>
      <c r="D929" t="s">
        <v>13</v>
      </c>
      <c r="E929" t="s">
        <v>20</v>
      </c>
      <c r="F929" t="s">
        <v>41</v>
      </c>
      <c r="G929" t="s">
        <v>22</v>
      </c>
      <c r="H929">
        <v>220000</v>
      </c>
      <c r="I929">
        <v>6</v>
      </c>
      <c r="J929" t="s">
        <v>39</v>
      </c>
      <c r="K929">
        <v>176000</v>
      </c>
    </row>
    <row r="930" spans="1:11" x14ac:dyDescent="0.25">
      <c r="A930" s="10">
        <v>45762</v>
      </c>
      <c r="B930" t="s">
        <v>18</v>
      </c>
      <c r="C930" t="s">
        <v>19</v>
      </c>
      <c r="D930" t="s">
        <v>23</v>
      </c>
      <c r="E930" t="s">
        <v>14</v>
      </c>
      <c r="F930" t="s">
        <v>30</v>
      </c>
      <c r="G930" t="s">
        <v>31</v>
      </c>
      <c r="H930">
        <v>300000</v>
      </c>
      <c r="I930">
        <v>7</v>
      </c>
      <c r="J930" t="s">
        <v>28</v>
      </c>
      <c r="K930">
        <v>240000</v>
      </c>
    </row>
    <row r="931" spans="1:11" x14ac:dyDescent="0.25">
      <c r="A931" s="10">
        <v>45746</v>
      </c>
      <c r="B931" t="s">
        <v>25</v>
      </c>
      <c r="C931" t="s">
        <v>19</v>
      </c>
      <c r="D931" t="s">
        <v>13</v>
      </c>
      <c r="E931" t="s">
        <v>14</v>
      </c>
      <c r="F931" t="s">
        <v>38</v>
      </c>
      <c r="G931" t="s">
        <v>31</v>
      </c>
      <c r="H931">
        <v>420000</v>
      </c>
      <c r="I931">
        <v>10</v>
      </c>
      <c r="J931" t="s">
        <v>28</v>
      </c>
      <c r="K931">
        <v>336000</v>
      </c>
    </row>
    <row r="932" spans="1:11" x14ac:dyDescent="0.25">
      <c r="A932" s="10">
        <v>45709</v>
      </c>
      <c r="B932" t="s">
        <v>11</v>
      </c>
      <c r="C932" t="s">
        <v>19</v>
      </c>
      <c r="D932" t="s">
        <v>23</v>
      </c>
      <c r="E932" t="s">
        <v>20</v>
      </c>
      <c r="F932" t="s">
        <v>21</v>
      </c>
      <c r="G932" t="s">
        <v>22</v>
      </c>
      <c r="H932">
        <v>30000</v>
      </c>
      <c r="I932">
        <v>7</v>
      </c>
      <c r="J932" t="s">
        <v>28</v>
      </c>
      <c r="K932">
        <v>24000</v>
      </c>
    </row>
    <row r="933" spans="1:11" x14ac:dyDescent="0.25">
      <c r="A933" s="10">
        <v>45758</v>
      </c>
      <c r="B933" t="s">
        <v>29</v>
      </c>
      <c r="C933" t="s">
        <v>19</v>
      </c>
      <c r="D933" t="s">
        <v>23</v>
      </c>
      <c r="E933" t="s">
        <v>14</v>
      </c>
      <c r="F933" t="s">
        <v>41</v>
      </c>
      <c r="G933" t="s">
        <v>22</v>
      </c>
      <c r="H933">
        <v>220000</v>
      </c>
      <c r="I933">
        <v>8</v>
      </c>
      <c r="J933" t="s">
        <v>37</v>
      </c>
      <c r="K933">
        <v>176000</v>
      </c>
    </row>
    <row r="934" spans="1:11" x14ac:dyDescent="0.25">
      <c r="A934" s="10">
        <v>45677</v>
      </c>
      <c r="B934" t="s">
        <v>25</v>
      </c>
      <c r="C934" t="s">
        <v>32</v>
      </c>
      <c r="D934" t="s">
        <v>13</v>
      </c>
      <c r="E934" t="s">
        <v>20</v>
      </c>
      <c r="F934" t="s">
        <v>34</v>
      </c>
      <c r="G934" t="s">
        <v>16</v>
      </c>
      <c r="H934">
        <v>320000</v>
      </c>
      <c r="I934">
        <v>9</v>
      </c>
      <c r="J934" t="s">
        <v>24</v>
      </c>
      <c r="K934">
        <v>256000</v>
      </c>
    </row>
    <row r="935" spans="1:11" x14ac:dyDescent="0.25">
      <c r="A935" s="10">
        <v>45679</v>
      </c>
      <c r="B935" t="s">
        <v>18</v>
      </c>
      <c r="C935" t="s">
        <v>26</v>
      </c>
      <c r="D935" t="s">
        <v>23</v>
      </c>
      <c r="E935" t="s">
        <v>20</v>
      </c>
      <c r="F935" t="s">
        <v>33</v>
      </c>
      <c r="G935" t="s">
        <v>22</v>
      </c>
      <c r="H935">
        <v>180000</v>
      </c>
      <c r="I935">
        <v>8</v>
      </c>
      <c r="J935" t="s">
        <v>28</v>
      </c>
      <c r="K935">
        <v>144000</v>
      </c>
    </row>
    <row r="936" spans="1:11" x14ac:dyDescent="0.25">
      <c r="A936" s="10">
        <v>45773</v>
      </c>
      <c r="B936" t="s">
        <v>29</v>
      </c>
      <c r="C936" t="s">
        <v>12</v>
      </c>
      <c r="D936" t="s">
        <v>13</v>
      </c>
      <c r="E936" t="s">
        <v>14</v>
      </c>
      <c r="F936" t="s">
        <v>21</v>
      </c>
      <c r="G936" t="s">
        <v>22</v>
      </c>
      <c r="H936">
        <v>30000</v>
      </c>
      <c r="I936">
        <v>5</v>
      </c>
      <c r="J936" t="s">
        <v>35</v>
      </c>
      <c r="K936">
        <v>24000</v>
      </c>
    </row>
    <row r="937" spans="1:11" x14ac:dyDescent="0.25">
      <c r="A937" s="10">
        <v>45708</v>
      </c>
      <c r="B937" t="s">
        <v>25</v>
      </c>
      <c r="C937" t="s">
        <v>26</v>
      </c>
      <c r="D937" t="s">
        <v>13</v>
      </c>
      <c r="E937" t="s">
        <v>20</v>
      </c>
      <c r="F937" t="s">
        <v>34</v>
      </c>
      <c r="G937" t="s">
        <v>16</v>
      </c>
      <c r="H937">
        <v>320000</v>
      </c>
      <c r="I937">
        <v>8</v>
      </c>
      <c r="J937" t="s">
        <v>28</v>
      </c>
      <c r="K937">
        <v>256000</v>
      </c>
    </row>
    <row r="938" spans="1:11" x14ac:dyDescent="0.25">
      <c r="A938" s="10">
        <v>45747</v>
      </c>
      <c r="B938" t="s">
        <v>29</v>
      </c>
      <c r="C938" t="s">
        <v>19</v>
      </c>
      <c r="D938" t="s">
        <v>13</v>
      </c>
      <c r="E938" t="s">
        <v>20</v>
      </c>
      <c r="F938" t="s">
        <v>34</v>
      </c>
      <c r="G938" t="s">
        <v>16</v>
      </c>
      <c r="H938">
        <v>320000</v>
      </c>
      <c r="I938">
        <v>8</v>
      </c>
      <c r="J938" t="s">
        <v>24</v>
      </c>
      <c r="K938">
        <v>256000</v>
      </c>
    </row>
    <row r="939" spans="1:11" x14ac:dyDescent="0.25">
      <c r="A939" s="10">
        <v>45672</v>
      </c>
      <c r="B939" t="s">
        <v>18</v>
      </c>
      <c r="C939" t="s">
        <v>26</v>
      </c>
      <c r="D939" t="s">
        <v>23</v>
      </c>
      <c r="E939" t="s">
        <v>20</v>
      </c>
      <c r="F939" t="s">
        <v>21</v>
      </c>
      <c r="G939" t="s">
        <v>22</v>
      </c>
      <c r="H939">
        <v>30000</v>
      </c>
      <c r="I939">
        <v>4</v>
      </c>
      <c r="J939" t="s">
        <v>28</v>
      </c>
      <c r="K939">
        <v>24000</v>
      </c>
    </row>
    <row r="940" spans="1:11" x14ac:dyDescent="0.25">
      <c r="A940" s="10">
        <v>45776</v>
      </c>
      <c r="B940" t="s">
        <v>11</v>
      </c>
      <c r="C940" t="s">
        <v>32</v>
      </c>
      <c r="D940" t="s">
        <v>13</v>
      </c>
      <c r="E940" t="s">
        <v>20</v>
      </c>
      <c r="F940" t="s">
        <v>33</v>
      </c>
      <c r="G940" t="s">
        <v>22</v>
      </c>
      <c r="H940">
        <v>180000</v>
      </c>
      <c r="I940">
        <v>3</v>
      </c>
      <c r="J940" t="s">
        <v>35</v>
      </c>
      <c r="K940">
        <v>144000</v>
      </c>
    </row>
    <row r="941" spans="1:11" x14ac:dyDescent="0.25">
      <c r="A941" s="10">
        <v>45778</v>
      </c>
      <c r="B941" t="s">
        <v>29</v>
      </c>
      <c r="C941" t="s">
        <v>26</v>
      </c>
      <c r="D941" t="s">
        <v>13</v>
      </c>
      <c r="E941" t="s">
        <v>14</v>
      </c>
      <c r="F941" t="s">
        <v>33</v>
      </c>
      <c r="G941" t="s">
        <v>22</v>
      </c>
      <c r="H941">
        <v>180000</v>
      </c>
      <c r="I941">
        <v>9</v>
      </c>
      <c r="J941" t="s">
        <v>35</v>
      </c>
      <c r="K941">
        <v>144000</v>
      </c>
    </row>
    <row r="942" spans="1:11" x14ac:dyDescent="0.25">
      <c r="A942" s="10">
        <v>45703</v>
      </c>
      <c r="B942" t="s">
        <v>29</v>
      </c>
      <c r="C942" t="s">
        <v>19</v>
      </c>
      <c r="D942" t="s">
        <v>23</v>
      </c>
      <c r="E942" t="s">
        <v>20</v>
      </c>
      <c r="F942" t="s">
        <v>33</v>
      </c>
      <c r="G942" t="s">
        <v>22</v>
      </c>
      <c r="H942">
        <v>180000</v>
      </c>
      <c r="I942">
        <v>1</v>
      </c>
      <c r="J942" t="s">
        <v>28</v>
      </c>
      <c r="K942">
        <v>144000</v>
      </c>
    </row>
    <row r="943" spans="1:11" x14ac:dyDescent="0.25">
      <c r="A943" s="10">
        <v>45704</v>
      </c>
      <c r="B943" t="s">
        <v>11</v>
      </c>
      <c r="C943" t="s">
        <v>32</v>
      </c>
      <c r="D943" t="s">
        <v>23</v>
      </c>
      <c r="E943" t="s">
        <v>14</v>
      </c>
      <c r="F943" t="s">
        <v>41</v>
      </c>
      <c r="G943" t="s">
        <v>22</v>
      </c>
      <c r="H943">
        <v>220000</v>
      </c>
      <c r="I943">
        <v>6</v>
      </c>
      <c r="J943" t="s">
        <v>24</v>
      </c>
      <c r="K943">
        <v>176000</v>
      </c>
    </row>
    <row r="944" spans="1:11" x14ac:dyDescent="0.25">
      <c r="A944" s="10">
        <v>45749</v>
      </c>
      <c r="B944" t="s">
        <v>18</v>
      </c>
      <c r="C944" t="s">
        <v>19</v>
      </c>
      <c r="D944" t="s">
        <v>13</v>
      </c>
      <c r="E944" t="s">
        <v>14</v>
      </c>
      <c r="F944" t="s">
        <v>30</v>
      </c>
      <c r="G944" t="s">
        <v>31</v>
      </c>
      <c r="H944">
        <v>300000</v>
      </c>
      <c r="I944">
        <v>3</v>
      </c>
      <c r="J944" t="s">
        <v>24</v>
      </c>
      <c r="K944">
        <v>240000</v>
      </c>
    </row>
    <row r="945" spans="1:11" x14ac:dyDescent="0.25">
      <c r="A945" s="10">
        <v>45705</v>
      </c>
      <c r="B945" t="s">
        <v>25</v>
      </c>
      <c r="C945" t="s">
        <v>19</v>
      </c>
      <c r="D945" t="s">
        <v>23</v>
      </c>
      <c r="E945" t="s">
        <v>20</v>
      </c>
      <c r="F945" t="s">
        <v>34</v>
      </c>
      <c r="G945" t="s">
        <v>16</v>
      </c>
      <c r="H945">
        <v>320000</v>
      </c>
      <c r="I945">
        <v>1</v>
      </c>
      <c r="J945" t="s">
        <v>35</v>
      </c>
      <c r="K945">
        <v>256000</v>
      </c>
    </row>
    <row r="946" spans="1:11" x14ac:dyDescent="0.25">
      <c r="A946" s="10">
        <v>45737</v>
      </c>
      <c r="B946" t="s">
        <v>25</v>
      </c>
      <c r="C946" t="s">
        <v>12</v>
      </c>
      <c r="D946" t="s">
        <v>23</v>
      </c>
      <c r="E946" t="s">
        <v>20</v>
      </c>
      <c r="F946" t="s">
        <v>36</v>
      </c>
      <c r="G946" t="s">
        <v>31</v>
      </c>
      <c r="H946">
        <v>150000</v>
      </c>
      <c r="I946">
        <v>6</v>
      </c>
      <c r="J946" t="s">
        <v>35</v>
      </c>
      <c r="K946">
        <v>120000</v>
      </c>
    </row>
    <row r="947" spans="1:11" x14ac:dyDescent="0.25">
      <c r="A947" s="10">
        <v>45696</v>
      </c>
      <c r="B947" t="s">
        <v>18</v>
      </c>
      <c r="C947" t="s">
        <v>19</v>
      </c>
      <c r="D947" t="s">
        <v>23</v>
      </c>
      <c r="E947" t="s">
        <v>20</v>
      </c>
      <c r="F947" t="s">
        <v>41</v>
      </c>
      <c r="G947" t="s">
        <v>22</v>
      </c>
      <c r="H947">
        <v>220000</v>
      </c>
      <c r="I947">
        <v>7</v>
      </c>
      <c r="J947" t="s">
        <v>24</v>
      </c>
      <c r="K947">
        <v>176000</v>
      </c>
    </row>
    <row r="948" spans="1:11" x14ac:dyDescent="0.25">
      <c r="A948" s="10">
        <v>45692</v>
      </c>
      <c r="B948" t="s">
        <v>11</v>
      </c>
      <c r="C948" t="s">
        <v>19</v>
      </c>
      <c r="D948" t="s">
        <v>13</v>
      </c>
      <c r="E948" t="s">
        <v>14</v>
      </c>
      <c r="F948" t="s">
        <v>41</v>
      </c>
      <c r="G948" t="s">
        <v>22</v>
      </c>
      <c r="H948">
        <v>220000</v>
      </c>
      <c r="I948">
        <v>1</v>
      </c>
      <c r="J948" t="s">
        <v>28</v>
      </c>
      <c r="K948">
        <v>176000</v>
      </c>
    </row>
    <row r="949" spans="1:11" x14ac:dyDescent="0.25">
      <c r="A949" s="10">
        <v>45693</v>
      </c>
      <c r="B949" t="s">
        <v>18</v>
      </c>
      <c r="C949" t="s">
        <v>12</v>
      </c>
      <c r="D949" t="s">
        <v>13</v>
      </c>
      <c r="E949" t="s">
        <v>14</v>
      </c>
      <c r="F949" t="s">
        <v>15</v>
      </c>
      <c r="G949" t="s">
        <v>16</v>
      </c>
      <c r="H949">
        <v>85000</v>
      </c>
      <c r="I949">
        <v>4</v>
      </c>
      <c r="J949" t="s">
        <v>35</v>
      </c>
      <c r="K949">
        <v>68000</v>
      </c>
    </row>
    <row r="950" spans="1:11" x14ac:dyDescent="0.25">
      <c r="A950" s="10">
        <v>45724</v>
      </c>
      <c r="B950" t="s">
        <v>11</v>
      </c>
      <c r="C950" t="s">
        <v>32</v>
      </c>
      <c r="D950" t="s">
        <v>23</v>
      </c>
      <c r="E950" t="s">
        <v>14</v>
      </c>
      <c r="F950" t="s">
        <v>40</v>
      </c>
      <c r="G950" t="s">
        <v>31</v>
      </c>
      <c r="H950">
        <v>250000</v>
      </c>
      <c r="I950">
        <v>10</v>
      </c>
      <c r="J950" t="s">
        <v>35</v>
      </c>
      <c r="K950">
        <v>200000</v>
      </c>
    </row>
    <row r="951" spans="1:11" x14ac:dyDescent="0.25">
      <c r="A951" s="10">
        <v>45713</v>
      </c>
      <c r="B951" t="s">
        <v>29</v>
      </c>
      <c r="C951" t="s">
        <v>32</v>
      </c>
      <c r="D951" t="s">
        <v>13</v>
      </c>
      <c r="E951" t="s">
        <v>20</v>
      </c>
      <c r="F951" t="s">
        <v>34</v>
      </c>
      <c r="G951" t="s">
        <v>16</v>
      </c>
      <c r="H951">
        <v>320000</v>
      </c>
      <c r="I951">
        <v>1</v>
      </c>
      <c r="J951" t="s">
        <v>37</v>
      </c>
      <c r="K951">
        <v>256000</v>
      </c>
    </row>
    <row r="952" spans="1:11" x14ac:dyDescent="0.25">
      <c r="A952" s="10">
        <v>45699</v>
      </c>
      <c r="B952" t="s">
        <v>11</v>
      </c>
      <c r="C952" t="s">
        <v>12</v>
      </c>
      <c r="D952" t="s">
        <v>23</v>
      </c>
      <c r="E952" t="s">
        <v>20</v>
      </c>
      <c r="F952" t="s">
        <v>27</v>
      </c>
      <c r="G952" t="s">
        <v>22</v>
      </c>
      <c r="H952">
        <v>60000</v>
      </c>
      <c r="I952">
        <v>8</v>
      </c>
      <c r="J952" t="s">
        <v>24</v>
      </c>
      <c r="K952">
        <v>48000</v>
      </c>
    </row>
    <row r="953" spans="1:11" x14ac:dyDescent="0.25">
      <c r="A953" s="10">
        <v>45754</v>
      </c>
      <c r="B953" t="s">
        <v>29</v>
      </c>
      <c r="C953" t="s">
        <v>32</v>
      </c>
      <c r="D953" t="s">
        <v>13</v>
      </c>
      <c r="E953" t="s">
        <v>20</v>
      </c>
      <c r="F953" t="s">
        <v>38</v>
      </c>
      <c r="G953" t="s">
        <v>31</v>
      </c>
      <c r="H953">
        <v>420000</v>
      </c>
      <c r="I953">
        <v>2</v>
      </c>
      <c r="J953" t="s">
        <v>37</v>
      </c>
      <c r="K953">
        <v>336000</v>
      </c>
    </row>
    <row r="954" spans="1:11" x14ac:dyDescent="0.25">
      <c r="A954" s="10">
        <v>45743</v>
      </c>
      <c r="B954" t="s">
        <v>29</v>
      </c>
      <c r="C954" t="s">
        <v>26</v>
      </c>
      <c r="D954" t="s">
        <v>23</v>
      </c>
      <c r="E954" t="s">
        <v>14</v>
      </c>
      <c r="F954" t="s">
        <v>40</v>
      </c>
      <c r="G954" t="s">
        <v>31</v>
      </c>
      <c r="H954">
        <v>250000</v>
      </c>
      <c r="I954">
        <v>2</v>
      </c>
      <c r="J954" t="s">
        <v>17</v>
      </c>
      <c r="K954">
        <v>200000</v>
      </c>
    </row>
    <row r="955" spans="1:11" x14ac:dyDescent="0.25">
      <c r="A955" s="10">
        <v>45746</v>
      </c>
      <c r="B955" t="s">
        <v>11</v>
      </c>
      <c r="C955" t="s">
        <v>19</v>
      </c>
      <c r="D955" t="s">
        <v>13</v>
      </c>
      <c r="E955" t="s">
        <v>20</v>
      </c>
      <c r="F955" t="s">
        <v>41</v>
      </c>
      <c r="G955" t="s">
        <v>22</v>
      </c>
      <c r="H955">
        <v>220000</v>
      </c>
      <c r="I955">
        <v>6</v>
      </c>
      <c r="J955" t="s">
        <v>39</v>
      </c>
      <c r="K955">
        <v>176000</v>
      </c>
    </row>
    <row r="956" spans="1:11" x14ac:dyDescent="0.25">
      <c r="A956" s="10">
        <v>45776</v>
      </c>
      <c r="B956" t="s">
        <v>29</v>
      </c>
      <c r="C956" t="s">
        <v>19</v>
      </c>
      <c r="D956" t="s">
        <v>23</v>
      </c>
      <c r="E956" t="s">
        <v>20</v>
      </c>
      <c r="F956" t="s">
        <v>27</v>
      </c>
      <c r="G956" t="s">
        <v>22</v>
      </c>
      <c r="H956">
        <v>60000</v>
      </c>
      <c r="I956">
        <v>1</v>
      </c>
      <c r="J956" t="s">
        <v>35</v>
      </c>
      <c r="K956">
        <v>48000</v>
      </c>
    </row>
    <row r="957" spans="1:11" x14ac:dyDescent="0.25">
      <c r="A957" s="10">
        <v>45689</v>
      </c>
      <c r="B957" t="s">
        <v>11</v>
      </c>
      <c r="C957" t="s">
        <v>12</v>
      </c>
      <c r="D957" t="s">
        <v>13</v>
      </c>
      <c r="E957" t="s">
        <v>20</v>
      </c>
      <c r="F957" t="s">
        <v>15</v>
      </c>
      <c r="G957" t="s">
        <v>16</v>
      </c>
      <c r="H957">
        <v>85000</v>
      </c>
      <c r="I957">
        <v>9</v>
      </c>
      <c r="J957" t="s">
        <v>39</v>
      </c>
      <c r="K957">
        <v>68000</v>
      </c>
    </row>
    <row r="958" spans="1:11" x14ac:dyDescent="0.25">
      <c r="A958" s="10">
        <v>45682</v>
      </c>
      <c r="B958" t="s">
        <v>25</v>
      </c>
      <c r="C958" t="s">
        <v>19</v>
      </c>
      <c r="D958" t="s">
        <v>13</v>
      </c>
      <c r="E958" t="s">
        <v>20</v>
      </c>
      <c r="F958" t="s">
        <v>27</v>
      </c>
      <c r="G958" t="s">
        <v>22</v>
      </c>
      <c r="H958">
        <v>60000</v>
      </c>
      <c r="I958">
        <v>9</v>
      </c>
      <c r="J958" t="s">
        <v>37</v>
      </c>
      <c r="K958">
        <v>48000</v>
      </c>
    </row>
    <row r="959" spans="1:11" x14ac:dyDescent="0.25">
      <c r="A959" s="10">
        <v>45760</v>
      </c>
      <c r="B959" t="s">
        <v>18</v>
      </c>
      <c r="C959" t="s">
        <v>26</v>
      </c>
      <c r="D959" t="s">
        <v>23</v>
      </c>
      <c r="E959" t="s">
        <v>20</v>
      </c>
      <c r="F959" t="s">
        <v>15</v>
      </c>
      <c r="G959" t="s">
        <v>16</v>
      </c>
      <c r="H959">
        <v>85000</v>
      </c>
      <c r="I959">
        <v>7</v>
      </c>
      <c r="J959" t="s">
        <v>24</v>
      </c>
      <c r="K959">
        <v>68000</v>
      </c>
    </row>
    <row r="960" spans="1:11" x14ac:dyDescent="0.25">
      <c r="A960" s="10">
        <v>45696</v>
      </c>
      <c r="B960" t="s">
        <v>25</v>
      </c>
      <c r="C960" t="s">
        <v>32</v>
      </c>
      <c r="D960" t="s">
        <v>13</v>
      </c>
      <c r="E960" t="s">
        <v>14</v>
      </c>
      <c r="F960" t="s">
        <v>34</v>
      </c>
      <c r="G960" t="s">
        <v>16</v>
      </c>
      <c r="H960">
        <v>320000</v>
      </c>
      <c r="I960">
        <v>4</v>
      </c>
      <c r="J960" t="s">
        <v>28</v>
      </c>
      <c r="K960">
        <v>256000</v>
      </c>
    </row>
    <row r="961" spans="1:11" x14ac:dyDescent="0.25">
      <c r="A961" s="10">
        <v>45762</v>
      </c>
      <c r="B961" t="s">
        <v>25</v>
      </c>
      <c r="C961" t="s">
        <v>32</v>
      </c>
      <c r="D961" t="s">
        <v>23</v>
      </c>
      <c r="E961" t="s">
        <v>14</v>
      </c>
      <c r="F961" t="s">
        <v>40</v>
      </c>
      <c r="G961" t="s">
        <v>31</v>
      </c>
      <c r="H961">
        <v>250000</v>
      </c>
      <c r="I961">
        <v>4</v>
      </c>
      <c r="J961" t="s">
        <v>35</v>
      </c>
      <c r="K961">
        <v>200000</v>
      </c>
    </row>
    <row r="962" spans="1:11" x14ac:dyDescent="0.25">
      <c r="A962" s="10">
        <v>45726</v>
      </c>
      <c r="B962" t="s">
        <v>18</v>
      </c>
      <c r="C962" t="s">
        <v>26</v>
      </c>
      <c r="D962" t="s">
        <v>23</v>
      </c>
      <c r="E962" t="s">
        <v>14</v>
      </c>
      <c r="F962" t="s">
        <v>27</v>
      </c>
      <c r="G962" t="s">
        <v>22</v>
      </c>
      <c r="H962">
        <v>60000</v>
      </c>
      <c r="I962">
        <v>8</v>
      </c>
      <c r="J962" t="s">
        <v>24</v>
      </c>
      <c r="K962">
        <v>48000</v>
      </c>
    </row>
    <row r="963" spans="1:11" x14ac:dyDescent="0.25">
      <c r="A963" s="10">
        <v>45777</v>
      </c>
      <c r="B963" t="s">
        <v>11</v>
      </c>
      <c r="C963" t="s">
        <v>26</v>
      </c>
      <c r="D963" t="s">
        <v>23</v>
      </c>
      <c r="E963" t="s">
        <v>14</v>
      </c>
      <c r="F963" t="s">
        <v>38</v>
      </c>
      <c r="G963" t="s">
        <v>31</v>
      </c>
      <c r="H963">
        <v>420000</v>
      </c>
      <c r="I963">
        <v>2</v>
      </c>
      <c r="J963" t="s">
        <v>39</v>
      </c>
      <c r="K963">
        <v>336000</v>
      </c>
    </row>
    <row r="964" spans="1:11" x14ac:dyDescent="0.25">
      <c r="A964" s="10">
        <v>45661</v>
      </c>
      <c r="B964" t="s">
        <v>18</v>
      </c>
      <c r="C964" t="s">
        <v>32</v>
      </c>
      <c r="D964" t="s">
        <v>23</v>
      </c>
      <c r="E964" t="s">
        <v>20</v>
      </c>
      <c r="F964" t="s">
        <v>36</v>
      </c>
      <c r="G964" t="s">
        <v>31</v>
      </c>
      <c r="H964">
        <v>150000</v>
      </c>
      <c r="I964">
        <v>1</v>
      </c>
      <c r="J964" t="s">
        <v>35</v>
      </c>
      <c r="K964">
        <v>120000</v>
      </c>
    </row>
    <row r="965" spans="1:11" x14ac:dyDescent="0.25">
      <c r="A965" s="10">
        <v>45774</v>
      </c>
      <c r="B965" t="s">
        <v>25</v>
      </c>
      <c r="C965" t="s">
        <v>19</v>
      </c>
      <c r="D965" t="s">
        <v>13</v>
      </c>
      <c r="E965" t="s">
        <v>14</v>
      </c>
      <c r="F965" t="s">
        <v>40</v>
      </c>
      <c r="G965" t="s">
        <v>31</v>
      </c>
      <c r="H965">
        <v>250000</v>
      </c>
      <c r="I965">
        <v>8</v>
      </c>
      <c r="J965" t="s">
        <v>37</v>
      </c>
      <c r="K965">
        <v>200000</v>
      </c>
    </row>
    <row r="966" spans="1:11" x14ac:dyDescent="0.25">
      <c r="A966" s="10">
        <v>45771</v>
      </c>
      <c r="B966" t="s">
        <v>11</v>
      </c>
      <c r="C966" t="s">
        <v>32</v>
      </c>
      <c r="D966" t="s">
        <v>13</v>
      </c>
      <c r="E966" t="s">
        <v>14</v>
      </c>
      <c r="F966" t="s">
        <v>30</v>
      </c>
      <c r="G966" t="s">
        <v>31</v>
      </c>
      <c r="H966">
        <v>300000</v>
      </c>
      <c r="I966">
        <v>10</v>
      </c>
      <c r="J966" t="s">
        <v>39</v>
      </c>
      <c r="K966">
        <v>240000</v>
      </c>
    </row>
    <row r="967" spans="1:11" x14ac:dyDescent="0.25">
      <c r="A967" s="10">
        <v>45727</v>
      </c>
      <c r="B967" t="s">
        <v>18</v>
      </c>
      <c r="C967" t="s">
        <v>19</v>
      </c>
      <c r="D967" t="s">
        <v>23</v>
      </c>
      <c r="E967" t="s">
        <v>20</v>
      </c>
      <c r="F967" t="s">
        <v>27</v>
      </c>
      <c r="G967" t="s">
        <v>22</v>
      </c>
      <c r="H967">
        <v>60000</v>
      </c>
      <c r="I967">
        <v>3</v>
      </c>
      <c r="J967" t="s">
        <v>24</v>
      </c>
      <c r="K967">
        <v>48000</v>
      </c>
    </row>
    <row r="968" spans="1:11" x14ac:dyDescent="0.25">
      <c r="A968" s="10">
        <v>45688</v>
      </c>
      <c r="B968" t="s">
        <v>11</v>
      </c>
      <c r="C968" t="s">
        <v>32</v>
      </c>
      <c r="D968" t="s">
        <v>23</v>
      </c>
      <c r="E968" t="s">
        <v>14</v>
      </c>
      <c r="F968" t="s">
        <v>15</v>
      </c>
      <c r="G968" t="s">
        <v>16</v>
      </c>
      <c r="H968">
        <v>85000</v>
      </c>
      <c r="I968">
        <v>1</v>
      </c>
      <c r="J968" t="s">
        <v>24</v>
      </c>
      <c r="K968">
        <v>68000</v>
      </c>
    </row>
    <row r="969" spans="1:11" x14ac:dyDescent="0.25">
      <c r="A969" s="10">
        <v>45704</v>
      </c>
      <c r="B969" t="s">
        <v>18</v>
      </c>
      <c r="C969" t="s">
        <v>19</v>
      </c>
      <c r="D969" t="s">
        <v>23</v>
      </c>
      <c r="E969" t="s">
        <v>14</v>
      </c>
      <c r="F969" t="s">
        <v>33</v>
      </c>
      <c r="G969" t="s">
        <v>22</v>
      </c>
      <c r="H969">
        <v>180000</v>
      </c>
      <c r="I969">
        <v>7</v>
      </c>
      <c r="J969" t="s">
        <v>17</v>
      </c>
      <c r="K969">
        <v>144000</v>
      </c>
    </row>
    <row r="970" spans="1:11" x14ac:dyDescent="0.25">
      <c r="A970" s="10">
        <v>45726</v>
      </c>
      <c r="B970" t="s">
        <v>18</v>
      </c>
      <c r="C970" t="s">
        <v>26</v>
      </c>
      <c r="D970" t="s">
        <v>23</v>
      </c>
      <c r="E970" t="s">
        <v>14</v>
      </c>
      <c r="F970" t="s">
        <v>40</v>
      </c>
      <c r="G970" t="s">
        <v>31</v>
      </c>
      <c r="H970">
        <v>250000</v>
      </c>
      <c r="I970">
        <v>6</v>
      </c>
      <c r="J970" t="s">
        <v>28</v>
      </c>
      <c r="K970">
        <v>200000</v>
      </c>
    </row>
    <row r="971" spans="1:11" x14ac:dyDescent="0.25">
      <c r="A971" s="10">
        <v>45663</v>
      </c>
      <c r="B971" t="s">
        <v>11</v>
      </c>
      <c r="C971" t="s">
        <v>12</v>
      </c>
      <c r="D971" t="s">
        <v>23</v>
      </c>
      <c r="E971" t="s">
        <v>14</v>
      </c>
      <c r="F971" t="s">
        <v>38</v>
      </c>
      <c r="G971" t="s">
        <v>31</v>
      </c>
      <c r="H971">
        <v>420000</v>
      </c>
      <c r="I971">
        <v>3</v>
      </c>
      <c r="J971" t="s">
        <v>17</v>
      </c>
      <c r="K971">
        <v>336000</v>
      </c>
    </row>
    <row r="972" spans="1:11" x14ac:dyDescent="0.25">
      <c r="A972" s="10">
        <v>45748</v>
      </c>
      <c r="B972" t="s">
        <v>11</v>
      </c>
      <c r="C972" t="s">
        <v>12</v>
      </c>
      <c r="D972" t="s">
        <v>13</v>
      </c>
      <c r="E972" t="s">
        <v>14</v>
      </c>
      <c r="F972" t="s">
        <v>21</v>
      </c>
      <c r="G972" t="s">
        <v>22</v>
      </c>
      <c r="H972">
        <v>30000</v>
      </c>
      <c r="I972">
        <v>1</v>
      </c>
      <c r="J972" t="s">
        <v>28</v>
      </c>
      <c r="K972">
        <v>24000</v>
      </c>
    </row>
    <row r="973" spans="1:11" x14ac:dyDescent="0.25">
      <c r="A973" s="10">
        <v>45664</v>
      </c>
      <c r="B973" t="s">
        <v>29</v>
      </c>
      <c r="C973" t="s">
        <v>12</v>
      </c>
      <c r="D973" t="s">
        <v>23</v>
      </c>
      <c r="E973" t="s">
        <v>20</v>
      </c>
      <c r="F973" t="s">
        <v>40</v>
      </c>
      <c r="G973" t="s">
        <v>31</v>
      </c>
      <c r="H973">
        <v>250000</v>
      </c>
      <c r="I973">
        <v>3</v>
      </c>
      <c r="J973" t="s">
        <v>17</v>
      </c>
      <c r="K973">
        <v>200000</v>
      </c>
    </row>
    <row r="974" spans="1:11" x14ac:dyDescent="0.25">
      <c r="A974" s="10">
        <v>45742</v>
      </c>
      <c r="B974" t="s">
        <v>18</v>
      </c>
      <c r="C974" t="s">
        <v>26</v>
      </c>
      <c r="D974" t="s">
        <v>13</v>
      </c>
      <c r="E974" t="s">
        <v>14</v>
      </c>
      <c r="F974" t="s">
        <v>34</v>
      </c>
      <c r="G974" t="s">
        <v>16</v>
      </c>
      <c r="H974">
        <v>320000</v>
      </c>
      <c r="I974">
        <v>10</v>
      </c>
      <c r="J974" t="s">
        <v>17</v>
      </c>
      <c r="K974">
        <v>256000</v>
      </c>
    </row>
    <row r="975" spans="1:11" x14ac:dyDescent="0.25">
      <c r="A975" s="10">
        <v>45754</v>
      </c>
      <c r="B975" t="s">
        <v>11</v>
      </c>
      <c r="C975" t="s">
        <v>12</v>
      </c>
      <c r="D975" t="s">
        <v>13</v>
      </c>
      <c r="E975" t="s">
        <v>20</v>
      </c>
      <c r="F975" t="s">
        <v>40</v>
      </c>
      <c r="G975" t="s">
        <v>31</v>
      </c>
      <c r="H975">
        <v>250000</v>
      </c>
      <c r="I975">
        <v>7</v>
      </c>
      <c r="J975" t="s">
        <v>24</v>
      </c>
      <c r="K975">
        <v>200000</v>
      </c>
    </row>
    <row r="976" spans="1:11" x14ac:dyDescent="0.25">
      <c r="A976" s="10">
        <v>45706</v>
      </c>
      <c r="B976" t="s">
        <v>29</v>
      </c>
      <c r="C976" t="s">
        <v>19</v>
      </c>
      <c r="D976" t="s">
        <v>23</v>
      </c>
      <c r="E976" t="s">
        <v>14</v>
      </c>
      <c r="F976" t="s">
        <v>34</v>
      </c>
      <c r="G976" t="s">
        <v>16</v>
      </c>
      <c r="H976">
        <v>320000</v>
      </c>
      <c r="I976">
        <v>2</v>
      </c>
      <c r="J976" t="s">
        <v>28</v>
      </c>
      <c r="K976">
        <v>256000</v>
      </c>
    </row>
    <row r="977" spans="1:11" x14ac:dyDescent="0.25">
      <c r="A977" s="10">
        <v>45777</v>
      </c>
      <c r="B977" t="s">
        <v>29</v>
      </c>
      <c r="C977" t="s">
        <v>12</v>
      </c>
      <c r="D977" t="s">
        <v>23</v>
      </c>
      <c r="E977" t="s">
        <v>20</v>
      </c>
      <c r="F977" t="s">
        <v>41</v>
      </c>
      <c r="G977" t="s">
        <v>22</v>
      </c>
      <c r="H977">
        <v>220000</v>
      </c>
      <c r="I977">
        <v>5</v>
      </c>
      <c r="J977" t="s">
        <v>35</v>
      </c>
      <c r="K977">
        <v>176000</v>
      </c>
    </row>
    <row r="978" spans="1:11" x14ac:dyDescent="0.25">
      <c r="A978" s="10">
        <v>45711</v>
      </c>
      <c r="B978" t="s">
        <v>29</v>
      </c>
      <c r="C978" t="s">
        <v>32</v>
      </c>
      <c r="D978" t="s">
        <v>23</v>
      </c>
      <c r="E978" t="s">
        <v>20</v>
      </c>
      <c r="F978" t="s">
        <v>38</v>
      </c>
      <c r="G978" t="s">
        <v>31</v>
      </c>
      <c r="H978">
        <v>420000</v>
      </c>
      <c r="I978">
        <v>3</v>
      </c>
      <c r="J978" t="s">
        <v>35</v>
      </c>
      <c r="K978">
        <v>336000</v>
      </c>
    </row>
    <row r="979" spans="1:11" x14ac:dyDescent="0.25">
      <c r="A979" s="10">
        <v>45697</v>
      </c>
      <c r="B979" t="s">
        <v>29</v>
      </c>
      <c r="C979" t="s">
        <v>19</v>
      </c>
      <c r="D979" t="s">
        <v>23</v>
      </c>
      <c r="E979" t="s">
        <v>14</v>
      </c>
      <c r="F979" t="s">
        <v>41</v>
      </c>
      <c r="G979" t="s">
        <v>22</v>
      </c>
      <c r="H979">
        <v>220000</v>
      </c>
      <c r="I979">
        <v>3</v>
      </c>
      <c r="J979" t="s">
        <v>28</v>
      </c>
      <c r="K979">
        <v>176000</v>
      </c>
    </row>
    <row r="980" spans="1:11" x14ac:dyDescent="0.25">
      <c r="A980" s="10">
        <v>45760</v>
      </c>
      <c r="B980" t="s">
        <v>25</v>
      </c>
      <c r="C980" t="s">
        <v>12</v>
      </c>
      <c r="D980" t="s">
        <v>23</v>
      </c>
      <c r="E980" t="s">
        <v>14</v>
      </c>
      <c r="F980" t="s">
        <v>34</v>
      </c>
      <c r="G980" t="s">
        <v>16</v>
      </c>
      <c r="H980">
        <v>320000</v>
      </c>
      <c r="I980">
        <v>5</v>
      </c>
      <c r="J980" t="s">
        <v>24</v>
      </c>
      <c r="K980">
        <v>256000</v>
      </c>
    </row>
    <row r="981" spans="1:11" x14ac:dyDescent="0.25">
      <c r="A981" s="10">
        <v>45701</v>
      </c>
      <c r="B981" t="s">
        <v>18</v>
      </c>
      <c r="C981" t="s">
        <v>26</v>
      </c>
      <c r="D981" t="s">
        <v>13</v>
      </c>
      <c r="E981" t="s">
        <v>20</v>
      </c>
      <c r="F981" t="s">
        <v>15</v>
      </c>
      <c r="G981" t="s">
        <v>16</v>
      </c>
      <c r="H981">
        <v>85000</v>
      </c>
      <c r="I981">
        <v>8</v>
      </c>
      <c r="J981" t="s">
        <v>17</v>
      </c>
      <c r="K981">
        <v>68000</v>
      </c>
    </row>
    <row r="982" spans="1:11" x14ac:dyDescent="0.25">
      <c r="A982" s="10">
        <v>45701</v>
      </c>
      <c r="B982" t="s">
        <v>18</v>
      </c>
      <c r="C982" t="s">
        <v>32</v>
      </c>
      <c r="D982" t="s">
        <v>23</v>
      </c>
      <c r="E982" t="s">
        <v>20</v>
      </c>
      <c r="F982" t="s">
        <v>36</v>
      </c>
      <c r="G982" t="s">
        <v>31</v>
      </c>
      <c r="H982">
        <v>150000</v>
      </c>
      <c r="I982">
        <v>9</v>
      </c>
      <c r="J982" t="s">
        <v>39</v>
      </c>
      <c r="K982">
        <v>120000</v>
      </c>
    </row>
    <row r="983" spans="1:11" x14ac:dyDescent="0.25">
      <c r="A983" s="10">
        <v>45700</v>
      </c>
      <c r="B983" t="s">
        <v>11</v>
      </c>
      <c r="C983" t="s">
        <v>12</v>
      </c>
      <c r="D983" t="s">
        <v>23</v>
      </c>
      <c r="E983" t="s">
        <v>14</v>
      </c>
      <c r="F983" t="s">
        <v>40</v>
      </c>
      <c r="G983" t="s">
        <v>31</v>
      </c>
      <c r="H983">
        <v>250000</v>
      </c>
      <c r="I983">
        <v>4</v>
      </c>
      <c r="J983" t="s">
        <v>35</v>
      </c>
      <c r="K983">
        <v>200000</v>
      </c>
    </row>
    <row r="984" spans="1:11" x14ac:dyDescent="0.25">
      <c r="A984" s="10">
        <v>45696</v>
      </c>
      <c r="B984" t="s">
        <v>29</v>
      </c>
      <c r="C984" t="s">
        <v>19</v>
      </c>
      <c r="D984" t="s">
        <v>13</v>
      </c>
      <c r="E984" t="s">
        <v>20</v>
      </c>
      <c r="F984" t="s">
        <v>41</v>
      </c>
      <c r="G984" t="s">
        <v>22</v>
      </c>
      <c r="H984">
        <v>220000</v>
      </c>
      <c r="I984">
        <v>4</v>
      </c>
      <c r="J984" t="s">
        <v>35</v>
      </c>
      <c r="K984">
        <v>176000</v>
      </c>
    </row>
    <row r="985" spans="1:11" x14ac:dyDescent="0.25">
      <c r="A985" s="10">
        <v>45749</v>
      </c>
      <c r="B985" t="s">
        <v>29</v>
      </c>
      <c r="C985" t="s">
        <v>12</v>
      </c>
      <c r="D985" t="s">
        <v>23</v>
      </c>
      <c r="E985" t="s">
        <v>20</v>
      </c>
      <c r="F985" t="s">
        <v>15</v>
      </c>
      <c r="G985" t="s">
        <v>16</v>
      </c>
      <c r="H985">
        <v>85000</v>
      </c>
      <c r="I985">
        <v>2</v>
      </c>
      <c r="J985" t="s">
        <v>17</v>
      </c>
      <c r="K985">
        <v>68000</v>
      </c>
    </row>
    <row r="986" spans="1:11" x14ac:dyDescent="0.25">
      <c r="A986" s="10">
        <v>45690</v>
      </c>
      <c r="B986" t="s">
        <v>18</v>
      </c>
      <c r="C986" t="s">
        <v>12</v>
      </c>
      <c r="D986" t="s">
        <v>13</v>
      </c>
      <c r="E986" t="s">
        <v>14</v>
      </c>
      <c r="F986" t="s">
        <v>40</v>
      </c>
      <c r="G986" t="s">
        <v>31</v>
      </c>
      <c r="H986">
        <v>250000</v>
      </c>
      <c r="I986">
        <v>3</v>
      </c>
      <c r="J986" t="s">
        <v>35</v>
      </c>
      <c r="K986">
        <v>200000</v>
      </c>
    </row>
    <row r="987" spans="1:11" x14ac:dyDescent="0.25">
      <c r="A987" s="10">
        <v>45669</v>
      </c>
      <c r="B987" t="s">
        <v>29</v>
      </c>
      <c r="C987" t="s">
        <v>26</v>
      </c>
      <c r="D987" t="s">
        <v>23</v>
      </c>
      <c r="E987" t="s">
        <v>14</v>
      </c>
      <c r="F987" t="s">
        <v>36</v>
      </c>
      <c r="G987" t="s">
        <v>31</v>
      </c>
      <c r="H987">
        <v>150000</v>
      </c>
      <c r="I987">
        <v>4</v>
      </c>
      <c r="J987" t="s">
        <v>35</v>
      </c>
      <c r="K987">
        <v>120000</v>
      </c>
    </row>
    <row r="988" spans="1:11" x14ac:dyDescent="0.25">
      <c r="A988" s="10">
        <v>45703</v>
      </c>
      <c r="B988" t="s">
        <v>29</v>
      </c>
      <c r="C988" t="s">
        <v>12</v>
      </c>
      <c r="D988" t="s">
        <v>13</v>
      </c>
      <c r="E988" t="s">
        <v>14</v>
      </c>
      <c r="F988" t="s">
        <v>15</v>
      </c>
      <c r="G988" t="s">
        <v>16</v>
      </c>
      <c r="H988">
        <v>85000</v>
      </c>
      <c r="I988">
        <v>2</v>
      </c>
      <c r="J988" t="s">
        <v>17</v>
      </c>
      <c r="K988">
        <v>68000</v>
      </c>
    </row>
    <row r="989" spans="1:11" x14ac:dyDescent="0.25">
      <c r="A989" s="10">
        <v>45674</v>
      </c>
      <c r="B989" t="s">
        <v>11</v>
      </c>
      <c r="C989" t="s">
        <v>26</v>
      </c>
      <c r="D989" t="s">
        <v>23</v>
      </c>
      <c r="E989" t="s">
        <v>20</v>
      </c>
      <c r="F989" t="s">
        <v>36</v>
      </c>
      <c r="G989" t="s">
        <v>31</v>
      </c>
      <c r="H989">
        <v>150000</v>
      </c>
      <c r="I989">
        <v>4</v>
      </c>
      <c r="J989" t="s">
        <v>28</v>
      </c>
      <c r="K989">
        <v>120000</v>
      </c>
    </row>
    <row r="990" spans="1:11" x14ac:dyDescent="0.25">
      <c r="A990" s="10">
        <v>45701</v>
      </c>
      <c r="B990" t="s">
        <v>29</v>
      </c>
      <c r="C990" t="s">
        <v>12</v>
      </c>
      <c r="D990" t="s">
        <v>13</v>
      </c>
      <c r="E990" t="s">
        <v>14</v>
      </c>
      <c r="F990" t="s">
        <v>36</v>
      </c>
      <c r="G990" t="s">
        <v>31</v>
      </c>
      <c r="H990">
        <v>150000</v>
      </c>
      <c r="I990">
        <v>3</v>
      </c>
      <c r="J990" t="s">
        <v>24</v>
      </c>
      <c r="K990">
        <v>120000</v>
      </c>
    </row>
    <row r="991" spans="1:11" x14ac:dyDescent="0.25">
      <c r="A991" s="10">
        <v>45686</v>
      </c>
      <c r="B991" t="s">
        <v>29</v>
      </c>
      <c r="C991" t="s">
        <v>12</v>
      </c>
      <c r="D991" t="s">
        <v>23</v>
      </c>
      <c r="E991" t="s">
        <v>14</v>
      </c>
      <c r="F991" t="s">
        <v>21</v>
      </c>
      <c r="G991" t="s">
        <v>22</v>
      </c>
      <c r="H991">
        <v>30000</v>
      </c>
      <c r="I991">
        <v>3</v>
      </c>
      <c r="J991" t="s">
        <v>24</v>
      </c>
      <c r="K991">
        <v>24000</v>
      </c>
    </row>
    <row r="992" spans="1:11" x14ac:dyDescent="0.25">
      <c r="A992" s="10">
        <v>45772</v>
      </c>
      <c r="B992" t="s">
        <v>29</v>
      </c>
      <c r="C992" t="s">
        <v>19</v>
      </c>
      <c r="D992" t="s">
        <v>23</v>
      </c>
      <c r="E992" t="s">
        <v>20</v>
      </c>
      <c r="F992" t="s">
        <v>34</v>
      </c>
      <c r="G992" t="s">
        <v>16</v>
      </c>
      <c r="H992">
        <v>320000</v>
      </c>
      <c r="I992">
        <v>5</v>
      </c>
      <c r="J992" t="s">
        <v>39</v>
      </c>
      <c r="K992">
        <v>256000</v>
      </c>
    </row>
    <row r="993" spans="1:11" x14ac:dyDescent="0.25">
      <c r="A993" s="10">
        <v>45772</v>
      </c>
      <c r="B993" t="s">
        <v>18</v>
      </c>
      <c r="C993" t="s">
        <v>32</v>
      </c>
      <c r="D993" t="s">
        <v>23</v>
      </c>
      <c r="E993" t="s">
        <v>14</v>
      </c>
      <c r="F993" t="s">
        <v>40</v>
      </c>
      <c r="G993" t="s">
        <v>31</v>
      </c>
      <c r="H993">
        <v>250000</v>
      </c>
      <c r="I993">
        <v>3</v>
      </c>
      <c r="J993" t="s">
        <v>17</v>
      </c>
      <c r="K993">
        <v>200000</v>
      </c>
    </row>
    <row r="994" spans="1:11" x14ac:dyDescent="0.25">
      <c r="A994" s="10">
        <v>45714</v>
      </c>
      <c r="B994" t="s">
        <v>18</v>
      </c>
      <c r="C994" t="s">
        <v>26</v>
      </c>
      <c r="D994" t="s">
        <v>23</v>
      </c>
      <c r="E994" t="s">
        <v>20</v>
      </c>
      <c r="F994" t="s">
        <v>27</v>
      </c>
      <c r="G994" t="s">
        <v>22</v>
      </c>
      <c r="H994">
        <v>60000</v>
      </c>
      <c r="I994">
        <v>10</v>
      </c>
      <c r="J994" t="s">
        <v>39</v>
      </c>
      <c r="K994">
        <v>48000</v>
      </c>
    </row>
    <row r="995" spans="1:11" x14ac:dyDescent="0.25">
      <c r="A995" s="10">
        <v>45714</v>
      </c>
      <c r="B995" t="s">
        <v>29</v>
      </c>
      <c r="C995" t="s">
        <v>12</v>
      </c>
      <c r="D995" t="s">
        <v>13</v>
      </c>
      <c r="E995" t="s">
        <v>20</v>
      </c>
      <c r="F995" t="s">
        <v>27</v>
      </c>
      <c r="G995" t="s">
        <v>22</v>
      </c>
      <c r="H995">
        <v>60000</v>
      </c>
      <c r="I995">
        <v>3</v>
      </c>
      <c r="J995" t="s">
        <v>37</v>
      </c>
      <c r="K995">
        <v>48000</v>
      </c>
    </row>
    <row r="996" spans="1:11" x14ac:dyDescent="0.25">
      <c r="A996" s="10">
        <v>45708</v>
      </c>
      <c r="B996" t="s">
        <v>18</v>
      </c>
      <c r="C996" t="s">
        <v>19</v>
      </c>
      <c r="D996" t="s">
        <v>23</v>
      </c>
      <c r="E996" t="s">
        <v>20</v>
      </c>
      <c r="F996" t="s">
        <v>15</v>
      </c>
      <c r="G996" t="s">
        <v>16</v>
      </c>
      <c r="H996">
        <v>85000</v>
      </c>
      <c r="I996">
        <v>9</v>
      </c>
      <c r="J996" t="s">
        <v>35</v>
      </c>
      <c r="K996">
        <v>68000</v>
      </c>
    </row>
    <row r="997" spans="1:11" x14ac:dyDescent="0.25">
      <c r="A997" s="10">
        <v>45737</v>
      </c>
      <c r="B997" t="s">
        <v>18</v>
      </c>
      <c r="C997" t="s">
        <v>32</v>
      </c>
      <c r="D997" t="s">
        <v>23</v>
      </c>
      <c r="E997" t="s">
        <v>20</v>
      </c>
      <c r="F997" t="s">
        <v>38</v>
      </c>
      <c r="G997" t="s">
        <v>31</v>
      </c>
      <c r="H997">
        <v>420000</v>
      </c>
      <c r="I997">
        <v>4</v>
      </c>
      <c r="J997" t="s">
        <v>35</v>
      </c>
      <c r="K997">
        <v>336000</v>
      </c>
    </row>
    <row r="998" spans="1:11" x14ac:dyDescent="0.25">
      <c r="A998" s="10">
        <v>45658</v>
      </c>
      <c r="B998" t="s">
        <v>29</v>
      </c>
      <c r="C998" t="s">
        <v>26</v>
      </c>
      <c r="D998" t="s">
        <v>23</v>
      </c>
      <c r="E998" t="s">
        <v>14</v>
      </c>
      <c r="F998" t="s">
        <v>36</v>
      </c>
      <c r="G998" t="s">
        <v>31</v>
      </c>
      <c r="H998">
        <v>150000</v>
      </c>
      <c r="I998">
        <v>6</v>
      </c>
      <c r="J998" t="s">
        <v>37</v>
      </c>
      <c r="K998">
        <v>120000</v>
      </c>
    </row>
    <row r="999" spans="1:11" x14ac:dyDescent="0.25">
      <c r="A999" s="10">
        <v>45769</v>
      </c>
      <c r="B999" t="s">
        <v>29</v>
      </c>
      <c r="C999" t="s">
        <v>26</v>
      </c>
      <c r="D999" t="s">
        <v>23</v>
      </c>
      <c r="E999" t="s">
        <v>14</v>
      </c>
      <c r="F999" t="s">
        <v>34</v>
      </c>
      <c r="G999" t="s">
        <v>16</v>
      </c>
      <c r="H999">
        <v>320000</v>
      </c>
      <c r="I999">
        <v>3</v>
      </c>
      <c r="J999" t="s">
        <v>35</v>
      </c>
      <c r="K999">
        <v>256000</v>
      </c>
    </row>
    <row r="1000" spans="1:11" x14ac:dyDescent="0.25">
      <c r="A1000" s="10">
        <v>45747</v>
      </c>
      <c r="B1000" t="s">
        <v>25</v>
      </c>
      <c r="C1000" t="s">
        <v>32</v>
      </c>
      <c r="D1000" t="s">
        <v>13</v>
      </c>
      <c r="E1000" t="s">
        <v>20</v>
      </c>
      <c r="F1000" t="s">
        <v>30</v>
      </c>
      <c r="G1000" t="s">
        <v>31</v>
      </c>
      <c r="H1000">
        <v>300000</v>
      </c>
      <c r="I1000">
        <v>2</v>
      </c>
      <c r="J1000" t="s">
        <v>17</v>
      </c>
      <c r="K1000">
        <v>240000</v>
      </c>
    </row>
    <row r="1001" spans="1:11" x14ac:dyDescent="0.25">
      <c r="A1001" s="10">
        <v>45683</v>
      </c>
      <c r="B1001" t="s">
        <v>18</v>
      </c>
      <c r="C1001" t="s">
        <v>26</v>
      </c>
      <c r="D1001" t="s">
        <v>23</v>
      </c>
      <c r="E1001" t="s">
        <v>14</v>
      </c>
      <c r="F1001" t="s">
        <v>36</v>
      </c>
      <c r="G1001" t="s">
        <v>31</v>
      </c>
      <c r="H1001">
        <v>150000</v>
      </c>
      <c r="I1001">
        <v>10</v>
      </c>
      <c r="J1001" t="s">
        <v>37</v>
      </c>
      <c r="K1001">
        <v>120000</v>
      </c>
    </row>
    <row r="1002" spans="1:11" x14ac:dyDescent="0.25">
      <c r="A1002" s="10">
        <v>45705</v>
      </c>
      <c r="B1002" t="s">
        <v>18</v>
      </c>
      <c r="C1002" t="s">
        <v>32</v>
      </c>
      <c r="D1002" t="s">
        <v>13</v>
      </c>
      <c r="E1002" t="s">
        <v>20</v>
      </c>
      <c r="F1002" t="s">
        <v>38</v>
      </c>
      <c r="G1002" t="s">
        <v>31</v>
      </c>
      <c r="H1002">
        <v>420000</v>
      </c>
      <c r="I1002">
        <v>10</v>
      </c>
      <c r="J1002" t="s">
        <v>28</v>
      </c>
      <c r="K1002">
        <v>336000</v>
      </c>
    </row>
    <row r="1003" spans="1:11" x14ac:dyDescent="0.25">
      <c r="A1003" s="10">
        <v>45724</v>
      </c>
      <c r="B1003" t="s">
        <v>29</v>
      </c>
      <c r="C1003" t="s">
        <v>32</v>
      </c>
      <c r="D1003" t="s">
        <v>23</v>
      </c>
      <c r="E1003" t="s">
        <v>20</v>
      </c>
      <c r="F1003" t="s">
        <v>33</v>
      </c>
      <c r="G1003" t="s">
        <v>22</v>
      </c>
      <c r="H1003">
        <v>180000</v>
      </c>
      <c r="I1003">
        <v>5</v>
      </c>
      <c r="J1003" t="s">
        <v>37</v>
      </c>
      <c r="K1003">
        <v>144000</v>
      </c>
    </row>
    <row r="1004" spans="1:11" x14ac:dyDescent="0.25">
      <c r="A1004" s="10">
        <v>45686</v>
      </c>
      <c r="B1004" t="s">
        <v>18</v>
      </c>
      <c r="C1004" t="s">
        <v>32</v>
      </c>
      <c r="D1004" t="s">
        <v>23</v>
      </c>
      <c r="E1004" t="s">
        <v>20</v>
      </c>
      <c r="F1004" t="s">
        <v>40</v>
      </c>
      <c r="G1004" t="s">
        <v>31</v>
      </c>
      <c r="H1004">
        <v>250000</v>
      </c>
      <c r="I1004">
        <v>7</v>
      </c>
      <c r="J1004" t="s">
        <v>28</v>
      </c>
      <c r="K1004">
        <v>200000</v>
      </c>
    </row>
    <row r="1005" spans="1:11" x14ac:dyDescent="0.25">
      <c r="A1005" s="10">
        <v>45764</v>
      </c>
      <c r="B1005" t="s">
        <v>11</v>
      </c>
      <c r="C1005" t="s">
        <v>19</v>
      </c>
      <c r="D1005" t="s">
        <v>13</v>
      </c>
      <c r="E1005" t="s">
        <v>20</v>
      </c>
      <c r="F1005" t="s">
        <v>34</v>
      </c>
      <c r="G1005" t="s">
        <v>16</v>
      </c>
      <c r="H1005">
        <v>320000</v>
      </c>
      <c r="I1005">
        <v>4</v>
      </c>
      <c r="J1005" t="s">
        <v>24</v>
      </c>
      <c r="K1005">
        <v>256000</v>
      </c>
    </row>
    <row r="1006" spans="1:11" x14ac:dyDescent="0.25">
      <c r="A1006" s="10">
        <v>45665</v>
      </c>
      <c r="B1006" t="s">
        <v>18</v>
      </c>
      <c r="C1006" t="s">
        <v>19</v>
      </c>
      <c r="D1006" t="s">
        <v>13</v>
      </c>
      <c r="E1006" t="s">
        <v>14</v>
      </c>
      <c r="F1006" t="s">
        <v>21</v>
      </c>
      <c r="G1006" t="s">
        <v>22</v>
      </c>
      <c r="H1006">
        <v>30000</v>
      </c>
      <c r="I1006">
        <v>2</v>
      </c>
      <c r="J1006" t="s">
        <v>17</v>
      </c>
      <c r="K1006">
        <v>24000</v>
      </c>
    </row>
    <row r="1007" spans="1:11" x14ac:dyDescent="0.25">
      <c r="A1007" s="10">
        <v>45677</v>
      </c>
      <c r="B1007" t="s">
        <v>29</v>
      </c>
      <c r="C1007" t="s">
        <v>32</v>
      </c>
      <c r="D1007" t="s">
        <v>13</v>
      </c>
      <c r="E1007" t="s">
        <v>14</v>
      </c>
      <c r="F1007" t="s">
        <v>36</v>
      </c>
      <c r="G1007" t="s">
        <v>31</v>
      </c>
      <c r="H1007">
        <v>150000</v>
      </c>
      <c r="I1007">
        <v>4</v>
      </c>
      <c r="J1007" t="s">
        <v>17</v>
      </c>
      <c r="K1007">
        <v>120000</v>
      </c>
    </row>
    <row r="1008" spans="1:11" x14ac:dyDescent="0.25">
      <c r="A1008" s="10">
        <v>45761</v>
      </c>
      <c r="B1008" t="s">
        <v>29</v>
      </c>
      <c r="C1008" t="s">
        <v>26</v>
      </c>
      <c r="D1008" t="s">
        <v>23</v>
      </c>
      <c r="E1008" t="s">
        <v>20</v>
      </c>
      <c r="F1008" t="s">
        <v>27</v>
      </c>
      <c r="G1008" t="s">
        <v>22</v>
      </c>
      <c r="H1008">
        <v>60000</v>
      </c>
      <c r="I1008">
        <v>4</v>
      </c>
      <c r="J1008" t="s">
        <v>28</v>
      </c>
      <c r="K1008">
        <v>48000</v>
      </c>
    </row>
    <row r="1009" spans="1:11" x14ac:dyDescent="0.25">
      <c r="A1009" s="10">
        <v>45661</v>
      </c>
      <c r="B1009" t="s">
        <v>18</v>
      </c>
      <c r="C1009" t="s">
        <v>32</v>
      </c>
      <c r="D1009" t="s">
        <v>13</v>
      </c>
      <c r="E1009" t="s">
        <v>20</v>
      </c>
      <c r="F1009" t="s">
        <v>34</v>
      </c>
      <c r="G1009" t="s">
        <v>16</v>
      </c>
      <c r="H1009">
        <v>320000</v>
      </c>
      <c r="I1009">
        <v>4</v>
      </c>
      <c r="J1009" t="s">
        <v>37</v>
      </c>
      <c r="K1009">
        <v>256000</v>
      </c>
    </row>
    <row r="1010" spans="1:11" x14ac:dyDescent="0.25">
      <c r="A1010" s="10">
        <v>45764</v>
      </c>
      <c r="B1010" t="s">
        <v>29</v>
      </c>
      <c r="C1010" t="s">
        <v>19</v>
      </c>
      <c r="D1010" t="s">
        <v>13</v>
      </c>
      <c r="E1010" t="s">
        <v>14</v>
      </c>
      <c r="F1010" t="s">
        <v>27</v>
      </c>
      <c r="G1010" t="s">
        <v>22</v>
      </c>
      <c r="H1010">
        <v>60000</v>
      </c>
      <c r="I1010">
        <v>2</v>
      </c>
      <c r="J1010" t="s">
        <v>24</v>
      </c>
      <c r="K1010">
        <v>48000</v>
      </c>
    </row>
    <row r="1011" spans="1:11" x14ac:dyDescent="0.25">
      <c r="A1011" s="10">
        <v>45772</v>
      </c>
      <c r="B1011" t="s">
        <v>11</v>
      </c>
      <c r="C1011" t="s">
        <v>12</v>
      </c>
      <c r="D1011" t="s">
        <v>23</v>
      </c>
      <c r="E1011" t="s">
        <v>14</v>
      </c>
      <c r="F1011" t="s">
        <v>21</v>
      </c>
      <c r="G1011" t="s">
        <v>22</v>
      </c>
      <c r="H1011">
        <v>30000</v>
      </c>
      <c r="I1011">
        <v>7</v>
      </c>
      <c r="J1011" t="s">
        <v>35</v>
      </c>
      <c r="K1011">
        <v>24000</v>
      </c>
    </row>
    <row r="1012" spans="1:11" x14ac:dyDescent="0.25">
      <c r="A1012" s="10">
        <v>45679</v>
      </c>
      <c r="B1012" t="s">
        <v>18</v>
      </c>
      <c r="C1012" t="s">
        <v>12</v>
      </c>
      <c r="D1012" t="s">
        <v>13</v>
      </c>
      <c r="E1012" t="s">
        <v>20</v>
      </c>
      <c r="F1012" t="s">
        <v>40</v>
      </c>
      <c r="G1012" t="s">
        <v>31</v>
      </c>
      <c r="H1012">
        <v>250000</v>
      </c>
      <c r="I1012">
        <v>6</v>
      </c>
      <c r="J1012" t="s">
        <v>35</v>
      </c>
      <c r="K1012">
        <v>200000</v>
      </c>
    </row>
    <row r="1013" spans="1:11" x14ac:dyDescent="0.25">
      <c r="A1013" s="10">
        <v>45717</v>
      </c>
      <c r="B1013" t="s">
        <v>29</v>
      </c>
      <c r="C1013" t="s">
        <v>26</v>
      </c>
      <c r="D1013" t="s">
        <v>13</v>
      </c>
      <c r="E1013" t="s">
        <v>14</v>
      </c>
      <c r="F1013" t="s">
        <v>41</v>
      </c>
      <c r="G1013" t="s">
        <v>22</v>
      </c>
      <c r="H1013">
        <v>220000</v>
      </c>
      <c r="I1013">
        <v>9</v>
      </c>
      <c r="J1013" t="s">
        <v>17</v>
      </c>
      <c r="K1013">
        <v>176000</v>
      </c>
    </row>
    <row r="1014" spans="1:11" x14ac:dyDescent="0.25">
      <c r="A1014" s="10">
        <v>45688</v>
      </c>
      <c r="B1014" t="s">
        <v>18</v>
      </c>
      <c r="C1014" t="s">
        <v>26</v>
      </c>
      <c r="D1014" t="s">
        <v>23</v>
      </c>
      <c r="E1014" t="s">
        <v>14</v>
      </c>
      <c r="F1014" t="s">
        <v>30</v>
      </c>
      <c r="G1014" t="s">
        <v>31</v>
      </c>
      <c r="H1014">
        <v>300000</v>
      </c>
      <c r="I1014">
        <v>2</v>
      </c>
      <c r="J1014" t="s">
        <v>24</v>
      </c>
      <c r="K1014">
        <v>240000</v>
      </c>
    </row>
    <row r="1015" spans="1:11" x14ac:dyDescent="0.25">
      <c r="A1015" s="10">
        <v>45730</v>
      </c>
      <c r="B1015" t="s">
        <v>11</v>
      </c>
      <c r="C1015" t="s">
        <v>26</v>
      </c>
      <c r="D1015" t="s">
        <v>13</v>
      </c>
      <c r="E1015" t="s">
        <v>20</v>
      </c>
      <c r="F1015" t="s">
        <v>38</v>
      </c>
      <c r="G1015" t="s">
        <v>31</v>
      </c>
      <c r="H1015">
        <v>420000</v>
      </c>
      <c r="I1015">
        <v>2</v>
      </c>
      <c r="J1015" t="s">
        <v>24</v>
      </c>
      <c r="K1015">
        <v>336000</v>
      </c>
    </row>
    <row r="1016" spans="1:11" x14ac:dyDescent="0.25">
      <c r="A1016" s="10">
        <v>45719</v>
      </c>
      <c r="B1016" t="s">
        <v>25</v>
      </c>
      <c r="C1016" t="s">
        <v>19</v>
      </c>
      <c r="D1016" t="s">
        <v>13</v>
      </c>
      <c r="E1016" t="s">
        <v>20</v>
      </c>
      <c r="F1016" t="s">
        <v>41</v>
      </c>
      <c r="G1016" t="s">
        <v>22</v>
      </c>
      <c r="H1016">
        <v>220000</v>
      </c>
      <c r="I1016">
        <v>3</v>
      </c>
      <c r="J1016" t="s">
        <v>35</v>
      </c>
      <c r="K1016">
        <v>176000</v>
      </c>
    </row>
    <row r="1017" spans="1:11" x14ac:dyDescent="0.25">
      <c r="A1017" s="10">
        <v>45742</v>
      </c>
      <c r="B1017" t="s">
        <v>25</v>
      </c>
      <c r="C1017" t="s">
        <v>12</v>
      </c>
      <c r="D1017" t="s">
        <v>23</v>
      </c>
      <c r="E1017" t="s">
        <v>14</v>
      </c>
      <c r="F1017" t="s">
        <v>41</v>
      </c>
      <c r="G1017" t="s">
        <v>22</v>
      </c>
      <c r="H1017">
        <v>220000</v>
      </c>
      <c r="I1017">
        <v>10</v>
      </c>
      <c r="J1017" t="s">
        <v>35</v>
      </c>
      <c r="K1017">
        <v>176000</v>
      </c>
    </row>
    <row r="1018" spans="1:11" x14ac:dyDescent="0.25">
      <c r="A1018" s="10">
        <v>45691</v>
      </c>
      <c r="B1018" t="s">
        <v>25</v>
      </c>
      <c r="C1018" t="s">
        <v>32</v>
      </c>
      <c r="D1018" t="s">
        <v>23</v>
      </c>
      <c r="E1018" t="s">
        <v>20</v>
      </c>
      <c r="F1018" t="s">
        <v>40</v>
      </c>
      <c r="G1018" t="s">
        <v>31</v>
      </c>
      <c r="H1018">
        <v>250000</v>
      </c>
      <c r="I1018">
        <v>8</v>
      </c>
      <c r="J1018" t="s">
        <v>17</v>
      </c>
      <c r="K1018">
        <v>200000</v>
      </c>
    </row>
    <row r="1019" spans="1:11" x14ac:dyDescent="0.25">
      <c r="A1019" s="10">
        <v>45708</v>
      </c>
      <c r="B1019" t="s">
        <v>18</v>
      </c>
      <c r="C1019" t="s">
        <v>32</v>
      </c>
      <c r="D1019" t="s">
        <v>13</v>
      </c>
      <c r="E1019" t="s">
        <v>14</v>
      </c>
      <c r="F1019" t="s">
        <v>27</v>
      </c>
      <c r="G1019" t="s">
        <v>22</v>
      </c>
      <c r="H1019">
        <v>60000</v>
      </c>
      <c r="I1019">
        <v>6</v>
      </c>
      <c r="J1019" t="s">
        <v>28</v>
      </c>
      <c r="K1019">
        <v>48000</v>
      </c>
    </row>
    <row r="1020" spans="1:11" x14ac:dyDescent="0.25">
      <c r="A1020" s="10">
        <v>45712</v>
      </c>
      <c r="B1020" t="s">
        <v>18</v>
      </c>
      <c r="C1020" t="s">
        <v>19</v>
      </c>
      <c r="D1020" t="s">
        <v>13</v>
      </c>
      <c r="E1020" t="s">
        <v>14</v>
      </c>
      <c r="F1020" t="s">
        <v>34</v>
      </c>
      <c r="G1020" t="s">
        <v>16</v>
      </c>
      <c r="H1020">
        <v>320000</v>
      </c>
      <c r="I1020">
        <v>4</v>
      </c>
      <c r="J1020" t="s">
        <v>39</v>
      </c>
      <c r="K1020">
        <v>256000</v>
      </c>
    </row>
    <row r="1021" spans="1:11" x14ac:dyDescent="0.25">
      <c r="A1021" s="10">
        <v>45677</v>
      </c>
      <c r="B1021" t="s">
        <v>18</v>
      </c>
      <c r="C1021" t="s">
        <v>12</v>
      </c>
      <c r="D1021" t="s">
        <v>13</v>
      </c>
      <c r="E1021" t="s">
        <v>20</v>
      </c>
      <c r="F1021" t="s">
        <v>33</v>
      </c>
      <c r="G1021" t="s">
        <v>22</v>
      </c>
      <c r="H1021">
        <v>180000</v>
      </c>
      <c r="I1021">
        <v>7</v>
      </c>
      <c r="J1021" t="s">
        <v>39</v>
      </c>
      <c r="K1021">
        <v>144000</v>
      </c>
    </row>
    <row r="1022" spans="1:11" x14ac:dyDescent="0.25">
      <c r="A1022" s="10">
        <v>45682</v>
      </c>
      <c r="B1022" t="s">
        <v>18</v>
      </c>
      <c r="C1022" t="s">
        <v>12</v>
      </c>
      <c r="D1022" t="s">
        <v>13</v>
      </c>
      <c r="E1022" t="s">
        <v>14</v>
      </c>
      <c r="F1022" t="s">
        <v>27</v>
      </c>
      <c r="G1022" t="s">
        <v>22</v>
      </c>
      <c r="H1022">
        <v>60000</v>
      </c>
      <c r="I1022">
        <v>7</v>
      </c>
      <c r="J1022" t="s">
        <v>17</v>
      </c>
      <c r="K1022">
        <v>48000</v>
      </c>
    </row>
    <row r="1023" spans="1:11" x14ac:dyDescent="0.25">
      <c r="A1023" s="10">
        <v>45682</v>
      </c>
      <c r="B1023" t="s">
        <v>25</v>
      </c>
      <c r="C1023" t="s">
        <v>32</v>
      </c>
      <c r="D1023" t="s">
        <v>13</v>
      </c>
      <c r="E1023" t="s">
        <v>14</v>
      </c>
      <c r="F1023" t="s">
        <v>33</v>
      </c>
      <c r="G1023" t="s">
        <v>22</v>
      </c>
      <c r="H1023">
        <v>180000</v>
      </c>
      <c r="I1023">
        <v>9</v>
      </c>
      <c r="J1023" t="s">
        <v>24</v>
      </c>
      <c r="K1023">
        <v>144000</v>
      </c>
    </row>
    <row r="1024" spans="1:11" x14ac:dyDescent="0.25">
      <c r="A1024" s="10">
        <v>45685</v>
      </c>
      <c r="B1024" t="s">
        <v>29</v>
      </c>
      <c r="C1024" t="s">
        <v>12</v>
      </c>
      <c r="D1024" t="s">
        <v>23</v>
      </c>
      <c r="E1024" t="s">
        <v>14</v>
      </c>
      <c r="F1024" t="s">
        <v>21</v>
      </c>
      <c r="G1024" t="s">
        <v>22</v>
      </c>
      <c r="H1024">
        <v>30000</v>
      </c>
      <c r="I1024">
        <v>6</v>
      </c>
      <c r="J1024" t="s">
        <v>24</v>
      </c>
      <c r="K1024">
        <v>24000</v>
      </c>
    </row>
    <row r="1025" spans="1:11" x14ac:dyDescent="0.25">
      <c r="A1025" s="10">
        <v>45670</v>
      </c>
      <c r="B1025" t="s">
        <v>25</v>
      </c>
      <c r="C1025" t="s">
        <v>19</v>
      </c>
      <c r="D1025" t="s">
        <v>13</v>
      </c>
      <c r="E1025" t="s">
        <v>14</v>
      </c>
      <c r="F1025" t="s">
        <v>30</v>
      </c>
      <c r="G1025" t="s">
        <v>31</v>
      </c>
      <c r="H1025">
        <v>300000</v>
      </c>
      <c r="I1025">
        <v>10</v>
      </c>
      <c r="J1025" t="s">
        <v>37</v>
      </c>
      <c r="K1025">
        <v>240000</v>
      </c>
    </row>
    <row r="1026" spans="1:11" x14ac:dyDescent="0.25">
      <c r="A1026" s="10">
        <v>45670</v>
      </c>
      <c r="B1026" t="s">
        <v>25</v>
      </c>
      <c r="C1026" t="s">
        <v>32</v>
      </c>
      <c r="D1026" t="s">
        <v>23</v>
      </c>
      <c r="E1026" t="s">
        <v>14</v>
      </c>
      <c r="F1026" t="s">
        <v>21</v>
      </c>
      <c r="G1026" t="s">
        <v>22</v>
      </c>
      <c r="H1026">
        <v>30000</v>
      </c>
      <c r="I1026">
        <v>2</v>
      </c>
      <c r="J1026" t="s">
        <v>28</v>
      </c>
      <c r="K1026">
        <v>24000</v>
      </c>
    </row>
    <row r="1027" spans="1:11" x14ac:dyDescent="0.25">
      <c r="A1027" s="10">
        <v>45723</v>
      </c>
      <c r="B1027" t="s">
        <v>18</v>
      </c>
      <c r="C1027" t="s">
        <v>26</v>
      </c>
      <c r="D1027" t="s">
        <v>23</v>
      </c>
      <c r="E1027" t="s">
        <v>14</v>
      </c>
      <c r="F1027" t="s">
        <v>21</v>
      </c>
      <c r="G1027" t="s">
        <v>22</v>
      </c>
      <c r="H1027">
        <v>30000</v>
      </c>
      <c r="I1027">
        <v>8</v>
      </c>
      <c r="J1027" t="s">
        <v>39</v>
      </c>
      <c r="K1027">
        <v>24000</v>
      </c>
    </row>
    <row r="1028" spans="1:11" x14ac:dyDescent="0.25">
      <c r="A1028" s="10">
        <v>45659</v>
      </c>
      <c r="B1028" t="s">
        <v>25</v>
      </c>
      <c r="C1028" t="s">
        <v>26</v>
      </c>
      <c r="D1028" t="s">
        <v>23</v>
      </c>
      <c r="E1028" t="s">
        <v>20</v>
      </c>
      <c r="F1028" t="s">
        <v>21</v>
      </c>
      <c r="G1028" t="s">
        <v>22</v>
      </c>
      <c r="H1028">
        <v>30000</v>
      </c>
      <c r="I1028">
        <v>9</v>
      </c>
      <c r="J1028" t="s">
        <v>28</v>
      </c>
      <c r="K1028">
        <v>24000</v>
      </c>
    </row>
    <row r="1029" spans="1:11" x14ac:dyDescent="0.25">
      <c r="A1029" s="10">
        <v>45744</v>
      </c>
      <c r="B1029" t="s">
        <v>29</v>
      </c>
      <c r="C1029" t="s">
        <v>12</v>
      </c>
      <c r="D1029" t="s">
        <v>13</v>
      </c>
      <c r="E1029" t="s">
        <v>20</v>
      </c>
      <c r="F1029" t="s">
        <v>41</v>
      </c>
      <c r="G1029" t="s">
        <v>22</v>
      </c>
      <c r="H1029">
        <v>220000</v>
      </c>
      <c r="I1029">
        <v>2</v>
      </c>
      <c r="J1029" t="s">
        <v>39</v>
      </c>
      <c r="K1029">
        <v>176000</v>
      </c>
    </row>
    <row r="1030" spans="1:11" x14ac:dyDescent="0.25">
      <c r="A1030" s="10">
        <v>45689</v>
      </c>
      <c r="B1030" t="s">
        <v>25</v>
      </c>
      <c r="C1030" t="s">
        <v>26</v>
      </c>
      <c r="D1030" t="s">
        <v>13</v>
      </c>
      <c r="E1030" t="s">
        <v>20</v>
      </c>
      <c r="F1030" t="s">
        <v>41</v>
      </c>
      <c r="G1030" t="s">
        <v>22</v>
      </c>
      <c r="H1030">
        <v>220000</v>
      </c>
      <c r="I1030">
        <v>3</v>
      </c>
      <c r="J1030" t="s">
        <v>39</v>
      </c>
      <c r="K1030">
        <v>176000</v>
      </c>
    </row>
    <row r="1031" spans="1:11" x14ac:dyDescent="0.25">
      <c r="A1031" s="10">
        <v>45772</v>
      </c>
      <c r="B1031" t="s">
        <v>25</v>
      </c>
      <c r="C1031" t="s">
        <v>32</v>
      </c>
      <c r="D1031" t="s">
        <v>13</v>
      </c>
      <c r="E1031" t="s">
        <v>20</v>
      </c>
      <c r="F1031" t="s">
        <v>15</v>
      </c>
      <c r="G1031" t="s">
        <v>16</v>
      </c>
      <c r="H1031">
        <v>85000</v>
      </c>
      <c r="I1031">
        <v>3</v>
      </c>
      <c r="J1031" t="s">
        <v>24</v>
      </c>
      <c r="K1031">
        <v>68000</v>
      </c>
    </row>
    <row r="1032" spans="1:11" x14ac:dyDescent="0.25">
      <c r="A1032" s="10">
        <v>45693</v>
      </c>
      <c r="B1032" t="s">
        <v>11</v>
      </c>
      <c r="C1032" t="s">
        <v>19</v>
      </c>
      <c r="D1032" t="s">
        <v>23</v>
      </c>
      <c r="E1032" t="s">
        <v>14</v>
      </c>
      <c r="F1032" t="s">
        <v>27</v>
      </c>
      <c r="G1032" t="s">
        <v>22</v>
      </c>
      <c r="H1032">
        <v>60000</v>
      </c>
      <c r="I1032">
        <v>3</v>
      </c>
      <c r="J1032" t="s">
        <v>35</v>
      </c>
      <c r="K1032">
        <v>48000</v>
      </c>
    </row>
    <row r="1033" spans="1:11" x14ac:dyDescent="0.25">
      <c r="A1033" s="10">
        <v>45772</v>
      </c>
      <c r="B1033" t="s">
        <v>11</v>
      </c>
      <c r="C1033" t="s">
        <v>26</v>
      </c>
      <c r="D1033" t="s">
        <v>23</v>
      </c>
      <c r="E1033" t="s">
        <v>20</v>
      </c>
      <c r="F1033" t="s">
        <v>41</v>
      </c>
      <c r="G1033" t="s">
        <v>22</v>
      </c>
      <c r="H1033">
        <v>220000</v>
      </c>
      <c r="I1033">
        <v>3</v>
      </c>
      <c r="J1033" t="s">
        <v>39</v>
      </c>
      <c r="K1033">
        <v>176000</v>
      </c>
    </row>
    <row r="1034" spans="1:11" x14ac:dyDescent="0.25">
      <c r="A1034" s="10">
        <v>45728</v>
      </c>
      <c r="B1034" t="s">
        <v>11</v>
      </c>
      <c r="C1034" t="s">
        <v>12</v>
      </c>
      <c r="D1034" t="s">
        <v>13</v>
      </c>
      <c r="E1034" t="s">
        <v>20</v>
      </c>
      <c r="F1034" t="s">
        <v>21</v>
      </c>
      <c r="G1034" t="s">
        <v>22</v>
      </c>
      <c r="H1034">
        <v>30000</v>
      </c>
      <c r="I1034">
        <v>1</v>
      </c>
      <c r="J1034" t="s">
        <v>17</v>
      </c>
      <c r="K1034">
        <v>24000</v>
      </c>
    </row>
    <row r="1035" spans="1:11" x14ac:dyDescent="0.25">
      <c r="A1035" s="10">
        <v>45692</v>
      </c>
      <c r="B1035" t="s">
        <v>18</v>
      </c>
      <c r="C1035" t="s">
        <v>32</v>
      </c>
      <c r="D1035" t="s">
        <v>23</v>
      </c>
      <c r="E1035" t="s">
        <v>20</v>
      </c>
      <c r="F1035" t="s">
        <v>38</v>
      </c>
      <c r="G1035" t="s">
        <v>31</v>
      </c>
      <c r="H1035">
        <v>420000</v>
      </c>
      <c r="I1035">
        <v>1</v>
      </c>
      <c r="J1035" t="s">
        <v>39</v>
      </c>
      <c r="K1035">
        <v>336000</v>
      </c>
    </row>
    <row r="1036" spans="1:11" x14ac:dyDescent="0.25">
      <c r="A1036" s="10">
        <v>45710</v>
      </c>
      <c r="B1036" t="s">
        <v>11</v>
      </c>
      <c r="C1036" t="s">
        <v>19</v>
      </c>
      <c r="D1036" t="s">
        <v>13</v>
      </c>
      <c r="E1036" t="s">
        <v>20</v>
      </c>
      <c r="F1036" t="s">
        <v>41</v>
      </c>
      <c r="G1036" t="s">
        <v>22</v>
      </c>
      <c r="H1036">
        <v>220000</v>
      </c>
      <c r="I1036">
        <v>10</v>
      </c>
      <c r="J1036" t="s">
        <v>24</v>
      </c>
      <c r="K1036">
        <v>176000</v>
      </c>
    </row>
    <row r="1037" spans="1:11" x14ac:dyDescent="0.25">
      <c r="A1037" s="10">
        <v>45757</v>
      </c>
      <c r="B1037" t="s">
        <v>25</v>
      </c>
      <c r="C1037" t="s">
        <v>26</v>
      </c>
      <c r="D1037" t="s">
        <v>23</v>
      </c>
      <c r="E1037" t="s">
        <v>20</v>
      </c>
      <c r="F1037" t="s">
        <v>33</v>
      </c>
      <c r="G1037" t="s">
        <v>22</v>
      </c>
      <c r="H1037">
        <v>180000</v>
      </c>
      <c r="I1037">
        <v>10</v>
      </c>
      <c r="J1037" t="s">
        <v>39</v>
      </c>
      <c r="K1037">
        <v>144000</v>
      </c>
    </row>
    <row r="1038" spans="1:11" x14ac:dyDescent="0.25">
      <c r="A1038" s="10">
        <v>45762</v>
      </c>
      <c r="B1038" t="s">
        <v>25</v>
      </c>
      <c r="C1038" t="s">
        <v>12</v>
      </c>
      <c r="D1038" t="s">
        <v>13</v>
      </c>
      <c r="E1038" t="s">
        <v>14</v>
      </c>
      <c r="F1038" t="s">
        <v>38</v>
      </c>
      <c r="G1038" t="s">
        <v>31</v>
      </c>
      <c r="H1038">
        <v>420000</v>
      </c>
      <c r="I1038">
        <v>3</v>
      </c>
      <c r="J1038" t="s">
        <v>37</v>
      </c>
      <c r="K1038">
        <v>336000</v>
      </c>
    </row>
    <row r="1039" spans="1:11" x14ac:dyDescent="0.25">
      <c r="A1039" s="10">
        <v>45660</v>
      </c>
      <c r="B1039" t="s">
        <v>11</v>
      </c>
      <c r="C1039" t="s">
        <v>32</v>
      </c>
      <c r="D1039" t="s">
        <v>23</v>
      </c>
      <c r="E1039" t="s">
        <v>14</v>
      </c>
      <c r="F1039" t="s">
        <v>15</v>
      </c>
      <c r="G1039" t="s">
        <v>16</v>
      </c>
      <c r="H1039">
        <v>85000</v>
      </c>
      <c r="I1039">
        <v>4</v>
      </c>
      <c r="J1039" t="s">
        <v>28</v>
      </c>
      <c r="K1039">
        <v>68000</v>
      </c>
    </row>
    <row r="1040" spans="1:11" x14ac:dyDescent="0.25">
      <c r="A1040" s="10">
        <v>45756</v>
      </c>
      <c r="B1040" t="s">
        <v>25</v>
      </c>
      <c r="C1040" t="s">
        <v>26</v>
      </c>
      <c r="D1040" t="s">
        <v>23</v>
      </c>
      <c r="E1040" t="s">
        <v>14</v>
      </c>
      <c r="F1040" t="s">
        <v>34</v>
      </c>
      <c r="G1040" t="s">
        <v>16</v>
      </c>
      <c r="H1040">
        <v>320000</v>
      </c>
      <c r="I1040">
        <v>4</v>
      </c>
      <c r="J1040" t="s">
        <v>35</v>
      </c>
      <c r="K1040">
        <v>256000</v>
      </c>
    </row>
    <row r="1041" spans="1:11" x14ac:dyDescent="0.25">
      <c r="A1041" s="10">
        <v>45665</v>
      </c>
      <c r="B1041" t="s">
        <v>11</v>
      </c>
      <c r="C1041" t="s">
        <v>32</v>
      </c>
      <c r="D1041" t="s">
        <v>13</v>
      </c>
      <c r="E1041" t="s">
        <v>20</v>
      </c>
      <c r="F1041" t="s">
        <v>41</v>
      </c>
      <c r="G1041" t="s">
        <v>22</v>
      </c>
      <c r="H1041">
        <v>220000</v>
      </c>
      <c r="I1041">
        <v>1</v>
      </c>
      <c r="J1041" t="s">
        <v>37</v>
      </c>
      <c r="K1041">
        <v>176000</v>
      </c>
    </row>
    <row r="1042" spans="1:11" x14ac:dyDescent="0.25">
      <c r="A1042" s="10">
        <v>45748</v>
      </c>
      <c r="B1042" t="s">
        <v>25</v>
      </c>
      <c r="C1042" t="s">
        <v>19</v>
      </c>
      <c r="D1042" t="s">
        <v>23</v>
      </c>
      <c r="E1042" t="s">
        <v>20</v>
      </c>
      <c r="F1042" t="s">
        <v>15</v>
      </c>
      <c r="G1042" t="s">
        <v>16</v>
      </c>
      <c r="H1042">
        <v>85000</v>
      </c>
      <c r="I1042">
        <v>1</v>
      </c>
      <c r="J1042" t="s">
        <v>24</v>
      </c>
      <c r="K1042">
        <v>68000</v>
      </c>
    </row>
    <row r="1043" spans="1:11" x14ac:dyDescent="0.25">
      <c r="A1043" s="10">
        <v>45667</v>
      </c>
      <c r="B1043" t="s">
        <v>11</v>
      </c>
      <c r="C1043" t="s">
        <v>32</v>
      </c>
      <c r="D1043" t="s">
        <v>13</v>
      </c>
      <c r="E1043" t="s">
        <v>14</v>
      </c>
      <c r="F1043" t="s">
        <v>36</v>
      </c>
      <c r="G1043" t="s">
        <v>31</v>
      </c>
      <c r="H1043">
        <v>150000</v>
      </c>
      <c r="I1043">
        <v>8</v>
      </c>
      <c r="J1043" t="s">
        <v>39</v>
      </c>
      <c r="K1043">
        <v>120000</v>
      </c>
    </row>
    <row r="1044" spans="1:11" x14ac:dyDescent="0.25">
      <c r="A1044" s="10">
        <v>45668</v>
      </c>
      <c r="B1044" t="s">
        <v>29</v>
      </c>
      <c r="C1044" t="s">
        <v>19</v>
      </c>
      <c r="D1044" t="s">
        <v>23</v>
      </c>
      <c r="E1044" t="s">
        <v>14</v>
      </c>
      <c r="F1044" t="s">
        <v>36</v>
      </c>
      <c r="G1044" t="s">
        <v>31</v>
      </c>
      <c r="H1044">
        <v>150000</v>
      </c>
      <c r="I1044">
        <v>9</v>
      </c>
      <c r="J1044" t="s">
        <v>17</v>
      </c>
      <c r="K1044">
        <v>120000</v>
      </c>
    </row>
    <row r="1045" spans="1:11" x14ac:dyDescent="0.25">
      <c r="A1045" s="10">
        <v>45773</v>
      </c>
      <c r="B1045" t="s">
        <v>11</v>
      </c>
      <c r="C1045" t="s">
        <v>19</v>
      </c>
      <c r="D1045" t="s">
        <v>23</v>
      </c>
      <c r="E1045" t="s">
        <v>14</v>
      </c>
      <c r="F1045" t="s">
        <v>30</v>
      </c>
      <c r="G1045" t="s">
        <v>31</v>
      </c>
      <c r="H1045">
        <v>300000</v>
      </c>
      <c r="I1045">
        <v>3</v>
      </c>
      <c r="J1045" t="s">
        <v>17</v>
      </c>
      <c r="K1045">
        <v>240000</v>
      </c>
    </row>
    <row r="1046" spans="1:11" x14ac:dyDescent="0.25">
      <c r="A1046" s="10">
        <v>45750</v>
      </c>
      <c r="B1046" t="s">
        <v>29</v>
      </c>
      <c r="C1046" t="s">
        <v>32</v>
      </c>
      <c r="D1046" t="s">
        <v>23</v>
      </c>
      <c r="E1046" t="s">
        <v>14</v>
      </c>
      <c r="F1046" t="s">
        <v>36</v>
      </c>
      <c r="G1046" t="s">
        <v>31</v>
      </c>
      <c r="H1046">
        <v>150000</v>
      </c>
      <c r="I1046">
        <v>10</v>
      </c>
      <c r="J1046" t="s">
        <v>35</v>
      </c>
      <c r="K1046">
        <v>120000</v>
      </c>
    </row>
    <row r="1047" spans="1:11" x14ac:dyDescent="0.25">
      <c r="A1047" s="10">
        <v>45772</v>
      </c>
      <c r="B1047" t="s">
        <v>11</v>
      </c>
      <c r="C1047" t="s">
        <v>32</v>
      </c>
      <c r="D1047" t="s">
        <v>13</v>
      </c>
      <c r="E1047" t="s">
        <v>20</v>
      </c>
      <c r="F1047" t="s">
        <v>15</v>
      </c>
      <c r="G1047" t="s">
        <v>16</v>
      </c>
      <c r="H1047">
        <v>85000</v>
      </c>
      <c r="I1047">
        <v>2</v>
      </c>
      <c r="J1047" t="s">
        <v>35</v>
      </c>
      <c r="K1047">
        <v>68000</v>
      </c>
    </row>
    <row r="1048" spans="1:11" x14ac:dyDescent="0.25">
      <c r="A1048" s="10">
        <v>45666</v>
      </c>
      <c r="B1048" t="s">
        <v>18</v>
      </c>
      <c r="C1048" t="s">
        <v>12</v>
      </c>
      <c r="D1048" t="s">
        <v>23</v>
      </c>
      <c r="E1048" t="s">
        <v>20</v>
      </c>
      <c r="F1048" t="s">
        <v>38</v>
      </c>
      <c r="G1048" t="s">
        <v>31</v>
      </c>
      <c r="H1048">
        <v>420000</v>
      </c>
      <c r="I1048">
        <v>9</v>
      </c>
      <c r="J1048" t="s">
        <v>24</v>
      </c>
      <c r="K1048">
        <v>336000</v>
      </c>
    </row>
    <row r="1049" spans="1:11" x14ac:dyDescent="0.25">
      <c r="A1049" s="10">
        <v>45666</v>
      </c>
      <c r="B1049" t="s">
        <v>11</v>
      </c>
      <c r="C1049" t="s">
        <v>19</v>
      </c>
      <c r="D1049" t="s">
        <v>23</v>
      </c>
      <c r="E1049" t="s">
        <v>14</v>
      </c>
      <c r="F1049" t="s">
        <v>30</v>
      </c>
      <c r="G1049" t="s">
        <v>31</v>
      </c>
      <c r="H1049">
        <v>300000</v>
      </c>
      <c r="I1049">
        <v>2</v>
      </c>
      <c r="J1049" t="s">
        <v>39</v>
      </c>
      <c r="K1049">
        <v>240000</v>
      </c>
    </row>
    <row r="1050" spans="1:11" x14ac:dyDescent="0.25">
      <c r="A1050" s="10">
        <v>45752</v>
      </c>
      <c r="B1050" t="s">
        <v>18</v>
      </c>
      <c r="C1050" t="s">
        <v>26</v>
      </c>
      <c r="D1050" t="s">
        <v>23</v>
      </c>
      <c r="E1050" t="s">
        <v>14</v>
      </c>
      <c r="F1050" t="s">
        <v>36</v>
      </c>
      <c r="G1050" t="s">
        <v>31</v>
      </c>
      <c r="H1050">
        <v>150000</v>
      </c>
      <c r="I1050">
        <v>4</v>
      </c>
      <c r="J1050" t="s">
        <v>37</v>
      </c>
      <c r="K1050">
        <v>120000</v>
      </c>
    </row>
    <row r="1051" spans="1:11" x14ac:dyDescent="0.25">
      <c r="A1051" s="10">
        <v>45758</v>
      </c>
      <c r="B1051" t="s">
        <v>18</v>
      </c>
      <c r="C1051" t="s">
        <v>19</v>
      </c>
      <c r="D1051" t="s">
        <v>13</v>
      </c>
      <c r="E1051" t="s">
        <v>14</v>
      </c>
      <c r="F1051" t="s">
        <v>38</v>
      </c>
      <c r="G1051" t="s">
        <v>31</v>
      </c>
      <c r="H1051">
        <v>420000</v>
      </c>
      <c r="I1051">
        <v>9</v>
      </c>
      <c r="J1051" t="s">
        <v>24</v>
      </c>
      <c r="K1051">
        <v>336000</v>
      </c>
    </row>
    <row r="1052" spans="1:11" x14ac:dyDescent="0.25">
      <c r="A1052" s="10">
        <v>45687</v>
      </c>
      <c r="B1052" t="s">
        <v>29</v>
      </c>
      <c r="C1052" t="s">
        <v>26</v>
      </c>
      <c r="D1052" t="s">
        <v>13</v>
      </c>
      <c r="E1052" t="s">
        <v>20</v>
      </c>
      <c r="F1052" t="s">
        <v>40</v>
      </c>
      <c r="G1052" t="s">
        <v>31</v>
      </c>
      <c r="H1052">
        <v>250000</v>
      </c>
      <c r="I1052">
        <v>5</v>
      </c>
      <c r="J1052" t="s">
        <v>24</v>
      </c>
      <c r="K1052">
        <v>200000</v>
      </c>
    </row>
    <row r="1053" spans="1:11" x14ac:dyDescent="0.25">
      <c r="A1053" s="10">
        <v>45659</v>
      </c>
      <c r="B1053" t="s">
        <v>29</v>
      </c>
      <c r="C1053" t="s">
        <v>32</v>
      </c>
      <c r="D1053" t="s">
        <v>23</v>
      </c>
      <c r="E1053" t="s">
        <v>14</v>
      </c>
      <c r="F1053" t="s">
        <v>21</v>
      </c>
      <c r="G1053" t="s">
        <v>22</v>
      </c>
      <c r="H1053">
        <v>30000</v>
      </c>
      <c r="I1053">
        <v>10</v>
      </c>
      <c r="J1053" t="s">
        <v>37</v>
      </c>
      <c r="K1053">
        <v>24000</v>
      </c>
    </row>
    <row r="1054" spans="1:11" x14ac:dyDescent="0.25">
      <c r="A1054" s="10">
        <v>45778</v>
      </c>
      <c r="B1054" t="s">
        <v>25</v>
      </c>
      <c r="C1054" t="s">
        <v>26</v>
      </c>
      <c r="D1054" t="s">
        <v>13</v>
      </c>
      <c r="E1054" t="s">
        <v>20</v>
      </c>
      <c r="F1054" t="s">
        <v>38</v>
      </c>
      <c r="G1054" t="s">
        <v>31</v>
      </c>
      <c r="H1054">
        <v>420000</v>
      </c>
      <c r="I1054">
        <v>3</v>
      </c>
      <c r="J1054" t="s">
        <v>17</v>
      </c>
      <c r="K1054">
        <v>336000</v>
      </c>
    </row>
    <row r="1055" spans="1:11" x14ac:dyDescent="0.25">
      <c r="A1055" s="10">
        <v>45715</v>
      </c>
      <c r="B1055" t="s">
        <v>25</v>
      </c>
      <c r="C1055" t="s">
        <v>32</v>
      </c>
      <c r="D1055" t="s">
        <v>13</v>
      </c>
      <c r="E1055" t="s">
        <v>14</v>
      </c>
      <c r="F1055" t="s">
        <v>34</v>
      </c>
      <c r="G1055" t="s">
        <v>16</v>
      </c>
      <c r="H1055">
        <v>320000</v>
      </c>
      <c r="I1055">
        <v>8</v>
      </c>
      <c r="J1055" t="s">
        <v>37</v>
      </c>
      <c r="K1055">
        <v>256000</v>
      </c>
    </row>
    <row r="1056" spans="1:11" x14ac:dyDescent="0.25">
      <c r="A1056" s="10">
        <v>45698</v>
      </c>
      <c r="B1056" t="s">
        <v>29</v>
      </c>
      <c r="C1056" t="s">
        <v>19</v>
      </c>
      <c r="D1056" t="s">
        <v>23</v>
      </c>
      <c r="E1056" t="s">
        <v>14</v>
      </c>
      <c r="F1056" t="s">
        <v>38</v>
      </c>
      <c r="G1056" t="s">
        <v>31</v>
      </c>
      <c r="H1056">
        <v>420000</v>
      </c>
      <c r="I1056">
        <v>8</v>
      </c>
      <c r="J1056" t="s">
        <v>37</v>
      </c>
      <c r="K1056">
        <v>336000</v>
      </c>
    </row>
    <row r="1057" spans="1:11" x14ac:dyDescent="0.25">
      <c r="A1057" s="10">
        <v>45683</v>
      </c>
      <c r="B1057" t="s">
        <v>25</v>
      </c>
      <c r="C1057" t="s">
        <v>26</v>
      </c>
      <c r="D1057" t="s">
        <v>23</v>
      </c>
      <c r="E1057" t="s">
        <v>14</v>
      </c>
      <c r="F1057" t="s">
        <v>36</v>
      </c>
      <c r="G1057" t="s">
        <v>31</v>
      </c>
      <c r="H1057">
        <v>150000</v>
      </c>
      <c r="I1057">
        <v>1</v>
      </c>
      <c r="J1057" t="s">
        <v>37</v>
      </c>
      <c r="K1057">
        <v>120000</v>
      </c>
    </row>
    <row r="1058" spans="1:11" x14ac:dyDescent="0.25">
      <c r="A1058" s="10">
        <v>45728</v>
      </c>
      <c r="B1058" t="s">
        <v>25</v>
      </c>
      <c r="C1058" t="s">
        <v>19</v>
      </c>
      <c r="D1058" t="s">
        <v>13</v>
      </c>
      <c r="E1058" t="s">
        <v>14</v>
      </c>
      <c r="F1058" t="s">
        <v>27</v>
      </c>
      <c r="G1058" t="s">
        <v>22</v>
      </c>
      <c r="H1058">
        <v>60000</v>
      </c>
      <c r="I1058">
        <v>7</v>
      </c>
      <c r="J1058" t="s">
        <v>35</v>
      </c>
      <c r="K1058">
        <v>48000</v>
      </c>
    </row>
    <row r="1059" spans="1:11" x14ac:dyDescent="0.25">
      <c r="A1059" s="10">
        <v>45689</v>
      </c>
      <c r="B1059" t="s">
        <v>25</v>
      </c>
      <c r="C1059" t="s">
        <v>19</v>
      </c>
      <c r="D1059" t="s">
        <v>13</v>
      </c>
      <c r="E1059" t="s">
        <v>20</v>
      </c>
      <c r="F1059" t="s">
        <v>38</v>
      </c>
      <c r="G1059" t="s">
        <v>31</v>
      </c>
      <c r="H1059">
        <v>420000</v>
      </c>
      <c r="I1059">
        <v>9</v>
      </c>
      <c r="J1059" t="s">
        <v>37</v>
      </c>
      <c r="K1059">
        <v>336000</v>
      </c>
    </row>
    <row r="1060" spans="1:11" x14ac:dyDescent="0.25">
      <c r="A1060" s="10">
        <v>45745</v>
      </c>
      <c r="B1060" t="s">
        <v>18</v>
      </c>
      <c r="C1060" t="s">
        <v>26</v>
      </c>
      <c r="D1060" t="s">
        <v>23</v>
      </c>
      <c r="E1060" t="s">
        <v>20</v>
      </c>
      <c r="F1060" t="s">
        <v>38</v>
      </c>
      <c r="G1060" t="s">
        <v>31</v>
      </c>
      <c r="H1060">
        <v>420000</v>
      </c>
      <c r="I1060">
        <v>6</v>
      </c>
      <c r="J1060" t="s">
        <v>24</v>
      </c>
      <c r="K1060">
        <v>336000</v>
      </c>
    </row>
    <row r="1061" spans="1:11" x14ac:dyDescent="0.25">
      <c r="A1061" s="10">
        <v>45659</v>
      </c>
      <c r="B1061" t="s">
        <v>18</v>
      </c>
      <c r="C1061" t="s">
        <v>12</v>
      </c>
      <c r="D1061" t="s">
        <v>13</v>
      </c>
      <c r="E1061" t="s">
        <v>14</v>
      </c>
      <c r="F1061" t="s">
        <v>30</v>
      </c>
      <c r="G1061" t="s">
        <v>31</v>
      </c>
      <c r="H1061">
        <v>300000</v>
      </c>
      <c r="I1061">
        <v>9</v>
      </c>
      <c r="J1061" t="s">
        <v>37</v>
      </c>
      <c r="K1061">
        <v>240000</v>
      </c>
    </row>
    <row r="1062" spans="1:11" x14ac:dyDescent="0.25">
      <c r="A1062" s="10">
        <v>45700</v>
      </c>
      <c r="B1062" t="s">
        <v>29</v>
      </c>
      <c r="C1062" t="s">
        <v>12</v>
      </c>
      <c r="D1062" t="s">
        <v>23</v>
      </c>
      <c r="E1062" t="s">
        <v>14</v>
      </c>
      <c r="F1062" t="s">
        <v>33</v>
      </c>
      <c r="G1062" t="s">
        <v>22</v>
      </c>
      <c r="H1062">
        <v>180000</v>
      </c>
      <c r="I1062">
        <v>5</v>
      </c>
      <c r="J1062" t="s">
        <v>39</v>
      </c>
      <c r="K1062">
        <v>144000</v>
      </c>
    </row>
    <row r="1063" spans="1:11" x14ac:dyDescent="0.25">
      <c r="A1063" s="10">
        <v>45677</v>
      </c>
      <c r="B1063" t="s">
        <v>25</v>
      </c>
      <c r="C1063" t="s">
        <v>26</v>
      </c>
      <c r="D1063" t="s">
        <v>13</v>
      </c>
      <c r="E1063" t="s">
        <v>20</v>
      </c>
      <c r="F1063" t="s">
        <v>36</v>
      </c>
      <c r="G1063" t="s">
        <v>31</v>
      </c>
      <c r="H1063">
        <v>150000</v>
      </c>
      <c r="I1063">
        <v>5</v>
      </c>
      <c r="J1063" t="s">
        <v>28</v>
      </c>
      <c r="K1063">
        <v>120000</v>
      </c>
    </row>
    <row r="1064" spans="1:11" x14ac:dyDescent="0.25">
      <c r="A1064" s="10">
        <v>45687</v>
      </c>
      <c r="B1064" t="s">
        <v>18</v>
      </c>
      <c r="C1064" t="s">
        <v>12</v>
      </c>
      <c r="D1064" t="s">
        <v>13</v>
      </c>
      <c r="E1064" t="s">
        <v>14</v>
      </c>
      <c r="F1064" t="s">
        <v>15</v>
      </c>
      <c r="G1064" t="s">
        <v>16</v>
      </c>
      <c r="H1064">
        <v>85000</v>
      </c>
      <c r="I1064">
        <v>9</v>
      </c>
      <c r="J1064" t="s">
        <v>28</v>
      </c>
      <c r="K1064">
        <v>68000</v>
      </c>
    </row>
    <row r="1065" spans="1:11" x14ac:dyDescent="0.25">
      <c r="A1065" s="10">
        <v>45689</v>
      </c>
      <c r="B1065" t="s">
        <v>11</v>
      </c>
      <c r="C1065" t="s">
        <v>32</v>
      </c>
      <c r="D1065" t="s">
        <v>23</v>
      </c>
      <c r="E1065" t="s">
        <v>14</v>
      </c>
      <c r="F1065" t="s">
        <v>38</v>
      </c>
      <c r="G1065" t="s">
        <v>31</v>
      </c>
      <c r="H1065">
        <v>420000</v>
      </c>
      <c r="I1065">
        <v>5</v>
      </c>
      <c r="J1065" t="s">
        <v>39</v>
      </c>
      <c r="K1065">
        <v>336000</v>
      </c>
    </row>
    <row r="1066" spans="1:11" x14ac:dyDescent="0.25">
      <c r="A1066" s="10">
        <v>45736</v>
      </c>
      <c r="B1066" t="s">
        <v>18</v>
      </c>
      <c r="C1066" t="s">
        <v>19</v>
      </c>
      <c r="D1066" t="s">
        <v>13</v>
      </c>
      <c r="E1066" t="s">
        <v>20</v>
      </c>
      <c r="F1066" t="s">
        <v>34</v>
      </c>
      <c r="G1066" t="s">
        <v>16</v>
      </c>
      <c r="H1066">
        <v>320000</v>
      </c>
      <c r="I1066">
        <v>4</v>
      </c>
      <c r="J1066" t="s">
        <v>28</v>
      </c>
      <c r="K1066">
        <v>256000</v>
      </c>
    </row>
    <row r="1067" spans="1:11" x14ac:dyDescent="0.25">
      <c r="A1067" s="10">
        <v>45741</v>
      </c>
      <c r="B1067" t="s">
        <v>18</v>
      </c>
      <c r="C1067" t="s">
        <v>19</v>
      </c>
      <c r="D1067" t="s">
        <v>23</v>
      </c>
      <c r="E1067" t="s">
        <v>14</v>
      </c>
      <c r="F1067" t="s">
        <v>21</v>
      </c>
      <c r="G1067" t="s">
        <v>22</v>
      </c>
      <c r="H1067">
        <v>30000</v>
      </c>
      <c r="I1067">
        <v>4</v>
      </c>
      <c r="J1067" t="s">
        <v>28</v>
      </c>
      <c r="K1067">
        <v>24000</v>
      </c>
    </row>
    <row r="1068" spans="1:11" x14ac:dyDescent="0.25">
      <c r="A1068" s="10">
        <v>45675</v>
      </c>
      <c r="B1068" t="s">
        <v>25</v>
      </c>
      <c r="C1068" t="s">
        <v>32</v>
      </c>
      <c r="D1068" t="s">
        <v>23</v>
      </c>
      <c r="E1068" t="s">
        <v>20</v>
      </c>
      <c r="F1068" t="s">
        <v>36</v>
      </c>
      <c r="G1068" t="s">
        <v>31</v>
      </c>
      <c r="H1068">
        <v>150000</v>
      </c>
      <c r="I1068">
        <v>3</v>
      </c>
      <c r="J1068" t="s">
        <v>37</v>
      </c>
      <c r="K1068">
        <v>120000</v>
      </c>
    </row>
    <row r="1069" spans="1:11" x14ac:dyDescent="0.25">
      <c r="A1069" s="10">
        <v>45701</v>
      </c>
      <c r="B1069" t="s">
        <v>11</v>
      </c>
      <c r="C1069" t="s">
        <v>19</v>
      </c>
      <c r="D1069" t="s">
        <v>13</v>
      </c>
      <c r="E1069" t="s">
        <v>14</v>
      </c>
      <c r="F1069" t="s">
        <v>41</v>
      </c>
      <c r="G1069" t="s">
        <v>22</v>
      </c>
      <c r="H1069">
        <v>220000</v>
      </c>
      <c r="I1069">
        <v>7</v>
      </c>
      <c r="J1069" t="s">
        <v>17</v>
      </c>
      <c r="K1069">
        <v>176000</v>
      </c>
    </row>
    <row r="1070" spans="1:11" x14ac:dyDescent="0.25">
      <c r="A1070" s="10">
        <v>45671</v>
      </c>
      <c r="B1070" t="s">
        <v>18</v>
      </c>
      <c r="C1070" t="s">
        <v>12</v>
      </c>
      <c r="D1070" t="s">
        <v>13</v>
      </c>
      <c r="E1070" t="s">
        <v>20</v>
      </c>
      <c r="F1070" t="s">
        <v>33</v>
      </c>
      <c r="G1070" t="s">
        <v>22</v>
      </c>
      <c r="H1070">
        <v>180000</v>
      </c>
      <c r="I1070">
        <v>10</v>
      </c>
      <c r="J1070" t="s">
        <v>35</v>
      </c>
      <c r="K1070">
        <v>144000</v>
      </c>
    </row>
    <row r="1071" spans="1:11" x14ac:dyDescent="0.25">
      <c r="A1071" s="10">
        <v>45727</v>
      </c>
      <c r="B1071" t="s">
        <v>11</v>
      </c>
      <c r="C1071" t="s">
        <v>32</v>
      </c>
      <c r="D1071" t="s">
        <v>23</v>
      </c>
      <c r="E1071" t="s">
        <v>14</v>
      </c>
      <c r="F1071" t="s">
        <v>15</v>
      </c>
      <c r="G1071" t="s">
        <v>16</v>
      </c>
      <c r="H1071">
        <v>85000</v>
      </c>
      <c r="I1071">
        <v>7</v>
      </c>
      <c r="J1071" t="s">
        <v>24</v>
      </c>
      <c r="K1071">
        <v>68000</v>
      </c>
    </row>
    <row r="1072" spans="1:11" x14ac:dyDescent="0.25">
      <c r="A1072" s="10">
        <v>45704</v>
      </c>
      <c r="B1072" t="s">
        <v>18</v>
      </c>
      <c r="C1072" t="s">
        <v>19</v>
      </c>
      <c r="D1072" t="s">
        <v>13</v>
      </c>
      <c r="E1072" t="s">
        <v>14</v>
      </c>
      <c r="F1072" t="s">
        <v>21</v>
      </c>
      <c r="G1072" t="s">
        <v>22</v>
      </c>
      <c r="H1072">
        <v>30000</v>
      </c>
      <c r="I1072">
        <v>3</v>
      </c>
      <c r="J1072" t="s">
        <v>24</v>
      </c>
      <c r="K1072">
        <v>24000</v>
      </c>
    </row>
    <row r="1073" spans="1:11" x14ac:dyDescent="0.25">
      <c r="A1073" s="10">
        <v>45669</v>
      </c>
      <c r="B1073" t="s">
        <v>29</v>
      </c>
      <c r="C1073" t="s">
        <v>12</v>
      </c>
      <c r="D1073" t="s">
        <v>23</v>
      </c>
      <c r="E1073" t="s">
        <v>14</v>
      </c>
      <c r="F1073" t="s">
        <v>34</v>
      </c>
      <c r="G1073" t="s">
        <v>16</v>
      </c>
      <c r="H1073">
        <v>320000</v>
      </c>
      <c r="I1073">
        <v>9</v>
      </c>
      <c r="J1073" t="s">
        <v>37</v>
      </c>
      <c r="K1073">
        <v>256000</v>
      </c>
    </row>
    <row r="1074" spans="1:11" x14ac:dyDescent="0.25">
      <c r="A1074" s="10">
        <v>45699</v>
      </c>
      <c r="B1074" t="s">
        <v>11</v>
      </c>
      <c r="C1074" t="s">
        <v>19</v>
      </c>
      <c r="D1074" t="s">
        <v>13</v>
      </c>
      <c r="E1074" t="s">
        <v>20</v>
      </c>
      <c r="F1074" t="s">
        <v>36</v>
      </c>
      <c r="G1074" t="s">
        <v>31</v>
      </c>
      <c r="H1074">
        <v>150000</v>
      </c>
      <c r="I1074">
        <v>2</v>
      </c>
      <c r="J1074" t="s">
        <v>24</v>
      </c>
      <c r="K1074">
        <v>120000</v>
      </c>
    </row>
    <row r="1075" spans="1:11" x14ac:dyDescent="0.25">
      <c r="A1075" s="10">
        <v>45703</v>
      </c>
      <c r="B1075" t="s">
        <v>18</v>
      </c>
      <c r="C1075" t="s">
        <v>19</v>
      </c>
      <c r="D1075" t="s">
        <v>23</v>
      </c>
      <c r="E1075" t="s">
        <v>20</v>
      </c>
      <c r="F1075" t="s">
        <v>33</v>
      </c>
      <c r="G1075" t="s">
        <v>22</v>
      </c>
      <c r="H1075">
        <v>180000</v>
      </c>
      <c r="I1075">
        <v>8</v>
      </c>
      <c r="J1075" t="s">
        <v>37</v>
      </c>
      <c r="K1075">
        <v>144000</v>
      </c>
    </row>
    <row r="1076" spans="1:11" x14ac:dyDescent="0.25">
      <c r="A1076" s="10">
        <v>45696</v>
      </c>
      <c r="B1076" t="s">
        <v>18</v>
      </c>
      <c r="C1076" t="s">
        <v>19</v>
      </c>
      <c r="D1076" t="s">
        <v>23</v>
      </c>
      <c r="E1076" t="s">
        <v>20</v>
      </c>
      <c r="F1076" t="s">
        <v>15</v>
      </c>
      <c r="G1076" t="s">
        <v>16</v>
      </c>
      <c r="H1076">
        <v>85000</v>
      </c>
      <c r="I1076">
        <v>7</v>
      </c>
      <c r="J1076" t="s">
        <v>17</v>
      </c>
      <c r="K1076">
        <v>68000</v>
      </c>
    </row>
    <row r="1077" spans="1:11" x14ac:dyDescent="0.25">
      <c r="A1077" s="10">
        <v>45774</v>
      </c>
      <c r="B1077" t="s">
        <v>11</v>
      </c>
      <c r="C1077" t="s">
        <v>32</v>
      </c>
      <c r="D1077" t="s">
        <v>23</v>
      </c>
      <c r="E1077" t="s">
        <v>14</v>
      </c>
      <c r="F1077" t="s">
        <v>33</v>
      </c>
      <c r="G1077" t="s">
        <v>22</v>
      </c>
      <c r="H1077">
        <v>180000</v>
      </c>
      <c r="I1077">
        <v>8</v>
      </c>
      <c r="J1077" t="s">
        <v>39</v>
      </c>
      <c r="K1077">
        <v>144000</v>
      </c>
    </row>
    <row r="1078" spans="1:11" x14ac:dyDescent="0.25">
      <c r="A1078" s="10">
        <v>45714</v>
      </c>
      <c r="B1078" t="s">
        <v>29</v>
      </c>
      <c r="C1078" t="s">
        <v>12</v>
      </c>
      <c r="D1078" t="s">
        <v>23</v>
      </c>
      <c r="E1078" t="s">
        <v>14</v>
      </c>
      <c r="F1078" t="s">
        <v>41</v>
      </c>
      <c r="G1078" t="s">
        <v>22</v>
      </c>
      <c r="H1078">
        <v>220000</v>
      </c>
      <c r="I1078">
        <v>5</v>
      </c>
      <c r="J1078" t="s">
        <v>39</v>
      </c>
      <c r="K1078">
        <v>176000</v>
      </c>
    </row>
    <row r="1079" spans="1:11" x14ac:dyDescent="0.25">
      <c r="A1079" s="10">
        <v>45701</v>
      </c>
      <c r="B1079" t="s">
        <v>29</v>
      </c>
      <c r="C1079" t="s">
        <v>26</v>
      </c>
      <c r="D1079" t="s">
        <v>13</v>
      </c>
      <c r="E1079" t="s">
        <v>14</v>
      </c>
      <c r="F1079" t="s">
        <v>30</v>
      </c>
      <c r="G1079" t="s">
        <v>31</v>
      </c>
      <c r="H1079">
        <v>300000</v>
      </c>
      <c r="I1079">
        <v>5</v>
      </c>
      <c r="J1079" t="s">
        <v>37</v>
      </c>
      <c r="K1079">
        <v>240000</v>
      </c>
    </row>
    <row r="1080" spans="1:11" x14ac:dyDescent="0.25">
      <c r="A1080" s="10">
        <v>45754</v>
      </c>
      <c r="B1080" t="s">
        <v>29</v>
      </c>
      <c r="C1080" t="s">
        <v>32</v>
      </c>
      <c r="D1080" t="s">
        <v>13</v>
      </c>
      <c r="E1080" t="s">
        <v>20</v>
      </c>
      <c r="F1080" t="s">
        <v>40</v>
      </c>
      <c r="G1080" t="s">
        <v>31</v>
      </c>
      <c r="H1080">
        <v>250000</v>
      </c>
      <c r="I1080">
        <v>7</v>
      </c>
      <c r="J1080" t="s">
        <v>17</v>
      </c>
      <c r="K1080">
        <v>200000</v>
      </c>
    </row>
    <row r="1081" spans="1:11" x14ac:dyDescent="0.25">
      <c r="A1081" s="10">
        <v>45663</v>
      </c>
      <c r="B1081" t="s">
        <v>11</v>
      </c>
      <c r="C1081" t="s">
        <v>32</v>
      </c>
      <c r="D1081" t="s">
        <v>23</v>
      </c>
      <c r="E1081" t="s">
        <v>20</v>
      </c>
      <c r="F1081" t="s">
        <v>27</v>
      </c>
      <c r="G1081" t="s">
        <v>22</v>
      </c>
      <c r="H1081">
        <v>60000</v>
      </c>
      <c r="I1081">
        <v>7</v>
      </c>
      <c r="J1081" t="s">
        <v>37</v>
      </c>
      <c r="K1081">
        <v>48000</v>
      </c>
    </row>
    <row r="1082" spans="1:11" x14ac:dyDescent="0.25">
      <c r="A1082" s="10">
        <v>45743</v>
      </c>
      <c r="B1082" t="s">
        <v>18</v>
      </c>
      <c r="C1082" t="s">
        <v>12</v>
      </c>
      <c r="D1082" t="s">
        <v>23</v>
      </c>
      <c r="E1082" t="s">
        <v>14</v>
      </c>
      <c r="F1082" t="s">
        <v>15</v>
      </c>
      <c r="G1082" t="s">
        <v>16</v>
      </c>
      <c r="H1082">
        <v>85000</v>
      </c>
      <c r="I1082">
        <v>2</v>
      </c>
      <c r="J1082" t="s">
        <v>35</v>
      </c>
      <c r="K1082">
        <v>68000</v>
      </c>
    </row>
    <row r="1083" spans="1:11" x14ac:dyDescent="0.25">
      <c r="A1083" s="10">
        <v>45664</v>
      </c>
      <c r="B1083" t="s">
        <v>11</v>
      </c>
      <c r="C1083" t="s">
        <v>12</v>
      </c>
      <c r="D1083" t="s">
        <v>13</v>
      </c>
      <c r="E1083" t="s">
        <v>20</v>
      </c>
      <c r="F1083" t="s">
        <v>27</v>
      </c>
      <c r="G1083" t="s">
        <v>22</v>
      </c>
      <c r="H1083">
        <v>60000</v>
      </c>
      <c r="I1083">
        <v>2</v>
      </c>
      <c r="J1083" t="s">
        <v>39</v>
      </c>
      <c r="K1083">
        <v>48000</v>
      </c>
    </row>
    <row r="1084" spans="1:11" x14ac:dyDescent="0.25">
      <c r="A1084" s="10">
        <v>45667</v>
      </c>
      <c r="B1084" t="s">
        <v>18</v>
      </c>
      <c r="C1084" t="s">
        <v>32</v>
      </c>
      <c r="D1084" t="s">
        <v>23</v>
      </c>
      <c r="E1084" t="s">
        <v>14</v>
      </c>
      <c r="F1084" t="s">
        <v>21</v>
      </c>
      <c r="G1084" t="s">
        <v>22</v>
      </c>
      <c r="H1084">
        <v>30000</v>
      </c>
      <c r="I1084">
        <v>10</v>
      </c>
      <c r="J1084" t="s">
        <v>39</v>
      </c>
      <c r="K1084">
        <v>24000</v>
      </c>
    </row>
    <row r="1085" spans="1:11" x14ac:dyDescent="0.25">
      <c r="A1085" s="10">
        <v>45739</v>
      </c>
      <c r="B1085" t="s">
        <v>29</v>
      </c>
      <c r="C1085" t="s">
        <v>19</v>
      </c>
      <c r="D1085" t="s">
        <v>23</v>
      </c>
      <c r="E1085" t="s">
        <v>20</v>
      </c>
      <c r="F1085" t="s">
        <v>38</v>
      </c>
      <c r="G1085" t="s">
        <v>31</v>
      </c>
      <c r="H1085">
        <v>420000</v>
      </c>
      <c r="I1085">
        <v>8</v>
      </c>
      <c r="J1085" t="s">
        <v>24</v>
      </c>
      <c r="K1085">
        <v>336000</v>
      </c>
    </row>
    <row r="1086" spans="1:11" x14ac:dyDescent="0.25">
      <c r="A1086" s="10">
        <v>45750</v>
      </c>
      <c r="B1086" t="s">
        <v>11</v>
      </c>
      <c r="C1086" t="s">
        <v>19</v>
      </c>
      <c r="D1086" t="s">
        <v>23</v>
      </c>
      <c r="E1086" t="s">
        <v>14</v>
      </c>
      <c r="F1086" t="s">
        <v>27</v>
      </c>
      <c r="G1086" t="s">
        <v>22</v>
      </c>
      <c r="H1086">
        <v>60000</v>
      </c>
      <c r="I1086">
        <v>2</v>
      </c>
      <c r="J1086" t="s">
        <v>37</v>
      </c>
      <c r="K1086">
        <v>48000</v>
      </c>
    </row>
    <row r="1087" spans="1:11" x14ac:dyDescent="0.25">
      <c r="A1087" s="10">
        <v>45730</v>
      </c>
      <c r="B1087" t="s">
        <v>25</v>
      </c>
      <c r="C1087" t="s">
        <v>26</v>
      </c>
      <c r="D1087" t="s">
        <v>23</v>
      </c>
      <c r="E1087" t="s">
        <v>20</v>
      </c>
      <c r="F1087" t="s">
        <v>15</v>
      </c>
      <c r="G1087" t="s">
        <v>16</v>
      </c>
      <c r="H1087">
        <v>85000</v>
      </c>
      <c r="I1087">
        <v>8</v>
      </c>
      <c r="J1087" t="s">
        <v>39</v>
      </c>
      <c r="K1087">
        <v>68000</v>
      </c>
    </row>
    <row r="1088" spans="1:11" x14ac:dyDescent="0.25">
      <c r="A1088" s="10">
        <v>45701</v>
      </c>
      <c r="B1088" t="s">
        <v>11</v>
      </c>
      <c r="C1088" t="s">
        <v>12</v>
      </c>
      <c r="D1088" t="s">
        <v>13</v>
      </c>
      <c r="E1088" t="s">
        <v>20</v>
      </c>
      <c r="F1088" t="s">
        <v>38</v>
      </c>
      <c r="G1088" t="s">
        <v>31</v>
      </c>
      <c r="H1088">
        <v>420000</v>
      </c>
      <c r="I1088">
        <v>7</v>
      </c>
      <c r="J1088" t="s">
        <v>35</v>
      </c>
      <c r="K1088">
        <v>336000</v>
      </c>
    </row>
    <row r="1089" spans="1:11" x14ac:dyDescent="0.25">
      <c r="A1089" s="10">
        <v>45711</v>
      </c>
      <c r="B1089" t="s">
        <v>18</v>
      </c>
      <c r="C1089" t="s">
        <v>32</v>
      </c>
      <c r="D1089" t="s">
        <v>13</v>
      </c>
      <c r="E1089" t="s">
        <v>20</v>
      </c>
      <c r="F1089" t="s">
        <v>30</v>
      </c>
      <c r="G1089" t="s">
        <v>31</v>
      </c>
      <c r="H1089">
        <v>300000</v>
      </c>
      <c r="I1089">
        <v>6</v>
      </c>
      <c r="J1089" t="s">
        <v>39</v>
      </c>
      <c r="K1089">
        <v>240000</v>
      </c>
    </row>
    <row r="1090" spans="1:11" x14ac:dyDescent="0.25">
      <c r="A1090" s="10">
        <v>45736</v>
      </c>
      <c r="B1090" t="s">
        <v>29</v>
      </c>
      <c r="C1090" t="s">
        <v>12</v>
      </c>
      <c r="D1090" t="s">
        <v>13</v>
      </c>
      <c r="E1090" t="s">
        <v>14</v>
      </c>
      <c r="F1090" t="s">
        <v>38</v>
      </c>
      <c r="G1090" t="s">
        <v>31</v>
      </c>
      <c r="H1090">
        <v>420000</v>
      </c>
      <c r="I1090">
        <v>2</v>
      </c>
      <c r="J1090" t="s">
        <v>37</v>
      </c>
      <c r="K1090">
        <v>336000</v>
      </c>
    </row>
    <row r="1091" spans="1:11" x14ac:dyDescent="0.25">
      <c r="A1091" s="10">
        <v>45753</v>
      </c>
      <c r="B1091" t="s">
        <v>29</v>
      </c>
      <c r="C1091" t="s">
        <v>12</v>
      </c>
      <c r="D1091" t="s">
        <v>23</v>
      </c>
      <c r="E1091" t="s">
        <v>14</v>
      </c>
      <c r="F1091" t="s">
        <v>30</v>
      </c>
      <c r="G1091" t="s">
        <v>31</v>
      </c>
      <c r="H1091">
        <v>300000</v>
      </c>
      <c r="I1091">
        <v>8</v>
      </c>
      <c r="J1091" t="s">
        <v>35</v>
      </c>
      <c r="K1091">
        <v>240000</v>
      </c>
    </row>
    <row r="1092" spans="1:11" x14ac:dyDescent="0.25">
      <c r="A1092" s="10">
        <v>45731</v>
      </c>
      <c r="B1092" t="s">
        <v>29</v>
      </c>
      <c r="C1092" t="s">
        <v>26</v>
      </c>
      <c r="D1092" t="s">
        <v>13</v>
      </c>
      <c r="E1092" t="s">
        <v>14</v>
      </c>
      <c r="F1092" t="s">
        <v>40</v>
      </c>
      <c r="G1092" t="s">
        <v>31</v>
      </c>
      <c r="H1092">
        <v>250000</v>
      </c>
      <c r="I1092">
        <v>5</v>
      </c>
      <c r="J1092" t="s">
        <v>35</v>
      </c>
      <c r="K1092">
        <v>200000</v>
      </c>
    </row>
    <row r="1093" spans="1:11" x14ac:dyDescent="0.25">
      <c r="A1093" s="10">
        <v>45709</v>
      </c>
      <c r="B1093" t="s">
        <v>18</v>
      </c>
      <c r="C1093" t="s">
        <v>32</v>
      </c>
      <c r="D1093" t="s">
        <v>23</v>
      </c>
      <c r="E1093" t="s">
        <v>20</v>
      </c>
      <c r="F1093" t="s">
        <v>38</v>
      </c>
      <c r="G1093" t="s">
        <v>31</v>
      </c>
      <c r="H1093">
        <v>420000</v>
      </c>
      <c r="I1093">
        <v>5</v>
      </c>
      <c r="J1093" t="s">
        <v>35</v>
      </c>
      <c r="K1093">
        <v>336000</v>
      </c>
    </row>
    <row r="1094" spans="1:11" x14ac:dyDescent="0.25">
      <c r="A1094" s="10">
        <v>45696</v>
      </c>
      <c r="B1094" t="s">
        <v>18</v>
      </c>
      <c r="C1094" t="s">
        <v>26</v>
      </c>
      <c r="D1094" t="s">
        <v>23</v>
      </c>
      <c r="E1094" t="s">
        <v>14</v>
      </c>
      <c r="F1094" t="s">
        <v>38</v>
      </c>
      <c r="G1094" t="s">
        <v>31</v>
      </c>
      <c r="H1094">
        <v>420000</v>
      </c>
      <c r="I1094">
        <v>10</v>
      </c>
      <c r="J1094" t="s">
        <v>24</v>
      </c>
      <c r="K1094">
        <v>336000</v>
      </c>
    </row>
    <row r="1095" spans="1:11" x14ac:dyDescent="0.25">
      <c r="A1095" s="10">
        <v>45767</v>
      </c>
      <c r="B1095" t="s">
        <v>29</v>
      </c>
      <c r="C1095" t="s">
        <v>26</v>
      </c>
      <c r="D1095" t="s">
        <v>13</v>
      </c>
      <c r="E1095" t="s">
        <v>14</v>
      </c>
      <c r="F1095" t="s">
        <v>34</v>
      </c>
      <c r="G1095" t="s">
        <v>16</v>
      </c>
      <c r="H1095">
        <v>320000</v>
      </c>
      <c r="I1095">
        <v>1</v>
      </c>
      <c r="J1095" t="s">
        <v>28</v>
      </c>
      <c r="K1095">
        <v>256000</v>
      </c>
    </row>
    <row r="1096" spans="1:11" x14ac:dyDescent="0.25">
      <c r="A1096" s="10">
        <v>45714</v>
      </c>
      <c r="B1096" t="s">
        <v>25</v>
      </c>
      <c r="C1096" t="s">
        <v>32</v>
      </c>
      <c r="D1096" t="s">
        <v>13</v>
      </c>
      <c r="E1096" t="s">
        <v>14</v>
      </c>
      <c r="F1096" t="s">
        <v>34</v>
      </c>
      <c r="G1096" t="s">
        <v>16</v>
      </c>
      <c r="H1096">
        <v>320000</v>
      </c>
      <c r="I1096">
        <v>1</v>
      </c>
      <c r="J1096" t="s">
        <v>35</v>
      </c>
      <c r="K1096">
        <v>256000</v>
      </c>
    </row>
    <row r="1097" spans="1:11" x14ac:dyDescent="0.25">
      <c r="A1097" s="10">
        <v>45777</v>
      </c>
      <c r="B1097" t="s">
        <v>29</v>
      </c>
      <c r="C1097" t="s">
        <v>26</v>
      </c>
      <c r="D1097" t="s">
        <v>23</v>
      </c>
      <c r="E1097" t="s">
        <v>20</v>
      </c>
      <c r="F1097" t="s">
        <v>36</v>
      </c>
      <c r="G1097" t="s">
        <v>31</v>
      </c>
      <c r="H1097">
        <v>150000</v>
      </c>
      <c r="I1097">
        <v>1</v>
      </c>
      <c r="J1097" t="s">
        <v>39</v>
      </c>
      <c r="K1097">
        <v>120000</v>
      </c>
    </row>
    <row r="1098" spans="1:11" x14ac:dyDescent="0.25">
      <c r="A1098" s="10">
        <v>45663</v>
      </c>
      <c r="B1098" t="s">
        <v>18</v>
      </c>
      <c r="C1098" t="s">
        <v>12</v>
      </c>
      <c r="D1098" t="s">
        <v>23</v>
      </c>
      <c r="E1098" t="s">
        <v>14</v>
      </c>
      <c r="F1098" t="s">
        <v>33</v>
      </c>
      <c r="G1098" t="s">
        <v>22</v>
      </c>
      <c r="H1098">
        <v>180000</v>
      </c>
      <c r="I1098">
        <v>10</v>
      </c>
      <c r="J1098" t="s">
        <v>28</v>
      </c>
      <c r="K1098">
        <v>144000</v>
      </c>
    </row>
    <row r="1099" spans="1:11" x14ac:dyDescent="0.25">
      <c r="A1099" s="10">
        <v>45776</v>
      </c>
      <c r="B1099" t="s">
        <v>29</v>
      </c>
      <c r="C1099" t="s">
        <v>26</v>
      </c>
      <c r="D1099" t="s">
        <v>13</v>
      </c>
      <c r="E1099" t="s">
        <v>20</v>
      </c>
      <c r="F1099" t="s">
        <v>38</v>
      </c>
      <c r="G1099" t="s">
        <v>31</v>
      </c>
      <c r="H1099">
        <v>420000</v>
      </c>
      <c r="I1099">
        <v>3</v>
      </c>
      <c r="J1099" t="s">
        <v>24</v>
      </c>
      <c r="K1099">
        <v>336000</v>
      </c>
    </row>
    <row r="1100" spans="1:11" x14ac:dyDescent="0.25">
      <c r="A1100" s="10">
        <v>45717</v>
      </c>
      <c r="B1100" t="s">
        <v>29</v>
      </c>
      <c r="C1100" t="s">
        <v>32</v>
      </c>
      <c r="D1100" t="s">
        <v>13</v>
      </c>
      <c r="E1100" t="s">
        <v>14</v>
      </c>
      <c r="F1100" t="s">
        <v>41</v>
      </c>
      <c r="G1100" t="s">
        <v>22</v>
      </c>
      <c r="H1100">
        <v>220000</v>
      </c>
      <c r="I1100">
        <v>10</v>
      </c>
      <c r="J1100" t="s">
        <v>39</v>
      </c>
      <c r="K1100">
        <v>176000</v>
      </c>
    </row>
    <row r="1101" spans="1:11" x14ac:dyDescent="0.25">
      <c r="A1101" s="10">
        <v>45743</v>
      </c>
      <c r="B1101" t="s">
        <v>18</v>
      </c>
      <c r="C1101" t="s">
        <v>32</v>
      </c>
      <c r="D1101" t="s">
        <v>23</v>
      </c>
      <c r="E1101" t="s">
        <v>20</v>
      </c>
      <c r="F1101" t="s">
        <v>38</v>
      </c>
      <c r="G1101" t="s">
        <v>31</v>
      </c>
      <c r="H1101">
        <v>420000</v>
      </c>
      <c r="I1101">
        <v>9</v>
      </c>
      <c r="J1101" t="s">
        <v>35</v>
      </c>
      <c r="K1101">
        <v>336000</v>
      </c>
    </row>
    <row r="1102" spans="1:11" x14ac:dyDescent="0.25">
      <c r="A1102" s="10">
        <v>45709</v>
      </c>
      <c r="B1102" t="s">
        <v>11</v>
      </c>
      <c r="C1102" t="s">
        <v>32</v>
      </c>
      <c r="D1102" t="s">
        <v>13</v>
      </c>
      <c r="E1102" t="s">
        <v>20</v>
      </c>
      <c r="F1102" t="s">
        <v>21</v>
      </c>
      <c r="G1102" t="s">
        <v>22</v>
      </c>
      <c r="H1102">
        <v>30000</v>
      </c>
      <c r="I1102">
        <v>6</v>
      </c>
      <c r="J1102" t="s">
        <v>39</v>
      </c>
      <c r="K1102">
        <v>24000</v>
      </c>
    </row>
    <row r="1103" spans="1:11" x14ac:dyDescent="0.25">
      <c r="A1103" s="10">
        <v>45777</v>
      </c>
      <c r="B1103" t="s">
        <v>29</v>
      </c>
      <c r="C1103" t="s">
        <v>12</v>
      </c>
      <c r="D1103" t="s">
        <v>13</v>
      </c>
      <c r="E1103" t="s">
        <v>20</v>
      </c>
      <c r="F1103" t="s">
        <v>40</v>
      </c>
      <c r="G1103" t="s">
        <v>31</v>
      </c>
      <c r="H1103">
        <v>250000</v>
      </c>
      <c r="I1103">
        <v>10</v>
      </c>
      <c r="J1103" t="s">
        <v>24</v>
      </c>
      <c r="K1103">
        <v>200000</v>
      </c>
    </row>
    <row r="1104" spans="1:11" x14ac:dyDescent="0.25">
      <c r="A1104" s="10">
        <v>45665</v>
      </c>
      <c r="B1104" t="s">
        <v>18</v>
      </c>
      <c r="C1104" t="s">
        <v>26</v>
      </c>
      <c r="D1104" t="s">
        <v>13</v>
      </c>
      <c r="E1104" t="s">
        <v>20</v>
      </c>
      <c r="F1104" t="s">
        <v>15</v>
      </c>
      <c r="G1104" t="s">
        <v>16</v>
      </c>
      <c r="H1104">
        <v>85000</v>
      </c>
      <c r="I1104">
        <v>6</v>
      </c>
      <c r="J1104" t="s">
        <v>39</v>
      </c>
      <c r="K1104">
        <v>68000</v>
      </c>
    </row>
    <row r="1105" spans="1:11" x14ac:dyDescent="0.25">
      <c r="A1105" s="10">
        <v>45719</v>
      </c>
      <c r="B1105" t="s">
        <v>29</v>
      </c>
      <c r="C1105" t="s">
        <v>19</v>
      </c>
      <c r="D1105" t="s">
        <v>23</v>
      </c>
      <c r="E1105" t="s">
        <v>20</v>
      </c>
      <c r="F1105" t="s">
        <v>38</v>
      </c>
      <c r="G1105" t="s">
        <v>31</v>
      </c>
      <c r="H1105">
        <v>420000</v>
      </c>
      <c r="I1105">
        <v>3</v>
      </c>
      <c r="J1105" t="s">
        <v>37</v>
      </c>
      <c r="K1105">
        <v>336000</v>
      </c>
    </row>
    <row r="1106" spans="1:11" x14ac:dyDescent="0.25">
      <c r="A1106" s="10">
        <v>45703</v>
      </c>
      <c r="B1106" t="s">
        <v>18</v>
      </c>
      <c r="C1106" t="s">
        <v>32</v>
      </c>
      <c r="D1106" t="s">
        <v>13</v>
      </c>
      <c r="E1106" t="s">
        <v>14</v>
      </c>
      <c r="F1106" t="s">
        <v>36</v>
      </c>
      <c r="G1106" t="s">
        <v>31</v>
      </c>
      <c r="H1106">
        <v>150000</v>
      </c>
      <c r="I1106">
        <v>8</v>
      </c>
      <c r="J1106" t="s">
        <v>17</v>
      </c>
      <c r="K1106">
        <v>120000</v>
      </c>
    </row>
    <row r="1107" spans="1:11" x14ac:dyDescent="0.25">
      <c r="A1107" s="10">
        <v>45664</v>
      </c>
      <c r="B1107" t="s">
        <v>11</v>
      </c>
      <c r="C1107" t="s">
        <v>19</v>
      </c>
      <c r="D1107" t="s">
        <v>23</v>
      </c>
      <c r="E1107" t="s">
        <v>14</v>
      </c>
      <c r="F1107" t="s">
        <v>27</v>
      </c>
      <c r="G1107" t="s">
        <v>22</v>
      </c>
      <c r="H1107">
        <v>60000</v>
      </c>
      <c r="I1107">
        <v>5</v>
      </c>
      <c r="J1107" t="s">
        <v>35</v>
      </c>
      <c r="K1107">
        <v>48000</v>
      </c>
    </row>
    <row r="1108" spans="1:11" x14ac:dyDescent="0.25">
      <c r="A1108" s="10">
        <v>45692</v>
      </c>
      <c r="B1108" t="s">
        <v>11</v>
      </c>
      <c r="C1108" t="s">
        <v>26</v>
      </c>
      <c r="D1108" t="s">
        <v>23</v>
      </c>
      <c r="E1108" t="s">
        <v>20</v>
      </c>
      <c r="F1108" t="s">
        <v>34</v>
      </c>
      <c r="G1108" t="s">
        <v>16</v>
      </c>
      <c r="H1108">
        <v>320000</v>
      </c>
      <c r="I1108">
        <v>9</v>
      </c>
      <c r="J1108" t="s">
        <v>37</v>
      </c>
      <c r="K1108">
        <v>256000</v>
      </c>
    </row>
    <row r="1109" spans="1:11" x14ac:dyDescent="0.25">
      <c r="A1109" s="10">
        <v>45684</v>
      </c>
      <c r="B1109" t="s">
        <v>11</v>
      </c>
      <c r="C1109" t="s">
        <v>19</v>
      </c>
      <c r="D1109" t="s">
        <v>23</v>
      </c>
      <c r="E1109" t="s">
        <v>14</v>
      </c>
      <c r="F1109" t="s">
        <v>38</v>
      </c>
      <c r="G1109" t="s">
        <v>31</v>
      </c>
      <c r="H1109">
        <v>420000</v>
      </c>
      <c r="I1109">
        <v>5</v>
      </c>
      <c r="J1109" t="s">
        <v>17</v>
      </c>
      <c r="K1109">
        <v>336000</v>
      </c>
    </row>
    <row r="1110" spans="1:11" x14ac:dyDescent="0.25">
      <c r="A1110" s="10">
        <v>45660</v>
      </c>
      <c r="B1110" t="s">
        <v>29</v>
      </c>
      <c r="C1110" t="s">
        <v>19</v>
      </c>
      <c r="D1110" t="s">
        <v>23</v>
      </c>
      <c r="E1110" t="s">
        <v>14</v>
      </c>
      <c r="F1110" t="s">
        <v>27</v>
      </c>
      <c r="G1110" t="s">
        <v>22</v>
      </c>
      <c r="H1110">
        <v>60000</v>
      </c>
      <c r="I1110">
        <v>9</v>
      </c>
      <c r="J1110" t="s">
        <v>28</v>
      </c>
      <c r="K1110">
        <v>48000</v>
      </c>
    </row>
    <row r="1111" spans="1:11" x14ac:dyDescent="0.25">
      <c r="A1111" s="10">
        <v>45712</v>
      </c>
      <c r="B1111" t="s">
        <v>25</v>
      </c>
      <c r="C1111" t="s">
        <v>19</v>
      </c>
      <c r="D1111" t="s">
        <v>13</v>
      </c>
      <c r="E1111" t="s">
        <v>14</v>
      </c>
      <c r="F1111" t="s">
        <v>38</v>
      </c>
      <c r="G1111" t="s">
        <v>31</v>
      </c>
      <c r="H1111">
        <v>420000</v>
      </c>
      <c r="I1111">
        <v>1</v>
      </c>
      <c r="J1111" t="s">
        <v>39</v>
      </c>
      <c r="K1111">
        <v>336000</v>
      </c>
    </row>
    <row r="1112" spans="1:11" x14ac:dyDescent="0.25">
      <c r="A1112" s="10">
        <v>45667</v>
      </c>
      <c r="B1112" t="s">
        <v>18</v>
      </c>
      <c r="C1112" t="s">
        <v>32</v>
      </c>
      <c r="D1112" t="s">
        <v>13</v>
      </c>
      <c r="E1112" t="s">
        <v>14</v>
      </c>
      <c r="F1112" t="s">
        <v>36</v>
      </c>
      <c r="G1112" t="s">
        <v>31</v>
      </c>
      <c r="H1112">
        <v>150000</v>
      </c>
      <c r="I1112">
        <v>9</v>
      </c>
      <c r="J1112" t="s">
        <v>37</v>
      </c>
      <c r="K1112">
        <v>120000</v>
      </c>
    </row>
    <row r="1113" spans="1:11" x14ac:dyDescent="0.25">
      <c r="A1113" s="10">
        <v>45774</v>
      </c>
      <c r="B1113" t="s">
        <v>25</v>
      </c>
      <c r="C1113" t="s">
        <v>32</v>
      </c>
      <c r="D1113" t="s">
        <v>23</v>
      </c>
      <c r="E1113" t="s">
        <v>20</v>
      </c>
      <c r="F1113" t="s">
        <v>41</v>
      </c>
      <c r="G1113" t="s">
        <v>22</v>
      </c>
      <c r="H1113">
        <v>220000</v>
      </c>
      <c r="I1113">
        <v>7</v>
      </c>
      <c r="J1113" t="s">
        <v>17</v>
      </c>
      <c r="K1113">
        <v>176000</v>
      </c>
    </row>
    <row r="1114" spans="1:11" x14ac:dyDescent="0.25">
      <c r="A1114" s="10">
        <v>45694</v>
      </c>
      <c r="B1114" t="s">
        <v>29</v>
      </c>
      <c r="C1114" t="s">
        <v>12</v>
      </c>
      <c r="D1114" t="s">
        <v>13</v>
      </c>
      <c r="E1114" t="s">
        <v>20</v>
      </c>
      <c r="F1114" t="s">
        <v>34</v>
      </c>
      <c r="G1114" t="s">
        <v>16</v>
      </c>
      <c r="H1114">
        <v>320000</v>
      </c>
      <c r="I1114">
        <v>3</v>
      </c>
      <c r="J1114" t="s">
        <v>35</v>
      </c>
      <c r="K1114">
        <v>256000</v>
      </c>
    </row>
    <row r="1115" spans="1:11" x14ac:dyDescent="0.25">
      <c r="A1115" s="10">
        <v>45706</v>
      </c>
      <c r="B1115" t="s">
        <v>25</v>
      </c>
      <c r="C1115" t="s">
        <v>19</v>
      </c>
      <c r="D1115" t="s">
        <v>23</v>
      </c>
      <c r="E1115" t="s">
        <v>14</v>
      </c>
      <c r="F1115" t="s">
        <v>34</v>
      </c>
      <c r="G1115" t="s">
        <v>16</v>
      </c>
      <c r="H1115">
        <v>320000</v>
      </c>
      <c r="I1115">
        <v>8</v>
      </c>
      <c r="J1115" t="s">
        <v>37</v>
      </c>
      <c r="K1115">
        <v>256000</v>
      </c>
    </row>
    <row r="1116" spans="1:11" x14ac:dyDescent="0.25">
      <c r="A1116" s="10">
        <v>45682</v>
      </c>
      <c r="B1116" t="s">
        <v>25</v>
      </c>
      <c r="C1116" t="s">
        <v>26</v>
      </c>
      <c r="D1116" t="s">
        <v>23</v>
      </c>
      <c r="E1116" t="s">
        <v>14</v>
      </c>
      <c r="F1116" t="s">
        <v>36</v>
      </c>
      <c r="G1116" t="s">
        <v>31</v>
      </c>
      <c r="H1116">
        <v>150000</v>
      </c>
      <c r="I1116">
        <v>3</v>
      </c>
      <c r="J1116" t="s">
        <v>37</v>
      </c>
      <c r="K1116">
        <v>120000</v>
      </c>
    </row>
    <row r="1117" spans="1:11" x14ac:dyDescent="0.25">
      <c r="A1117" s="10">
        <v>45748</v>
      </c>
      <c r="B1117" t="s">
        <v>11</v>
      </c>
      <c r="C1117" t="s">
        <v>32</v>
      </c>
      <c r="D1117" t="s">
        <v>13</v>
      </c>
      <c r="E1117" t="s">
        <v>14</v>
      </c>
      <c r="F1117" t="s">
        <v>40</v>
      </c>
      <c r="G1117" t="s">
        <v>31</v>
      </c>
      <c r="H1117">
        <v>250000</v>
      </c>
      <c r="I1117">
        <v>9</v>
      </c>
      <c r="J1117" t="s">
        <v>17</v>
      </c>
      <c r="K1117">
        <v>200000</v>
      </c>
    </row>
    <row r="1118" spans="1:11" x14ac:dyDescent="0.25">
      <c r="A1118" s="10">
        <v>45705</v>
      </c>
      <c r="B1118" t="s">
        <v>11</v>
      </c>
      <c r="C1118" t="s">
        <v>19</v>
      </c>
      <c r="D1118" t="s">
        <v>13</v>
      </c>
      <c r="E1118" t="s">
        <v>20</v>
      </c>
      <c r="F1118" t="s">
        <v>38</v>
      </c>
      <c r="G1118" t="s">
        <v>31</v>
      </c>
      <c r="H1118">
        <v>420000</v>
      </c>
      <c r="I1118">
        <v>7</v>
      </c>
      <c r="J1118" t="s">
        <v>28</v>
      </c>
      <c r="K1118">
        <v>336000</v>
      </c>
    </row>
    <row r="1119" spans="1:11" x14ac:dyDescent="0.25">
      <c r="A1119" s="10">
        <v>45729</v>
      </c>
      <c r="B1119" t="s">
        <v>11</v>
      </c>
      <c r="C1119" t="s">
        <v>12</v>
      </c>
      <c r="D1119" t="s">
        <v>23</v>
      </c>
      <c r="E1119" t="s">
        <v>20</v>
      </c>
      <c r="F1119" t="s">
        <v>40</v>
      </c>
      <c r="G1119" t="s">
        <v>31</v>
      </c>
      <c r="H1119">
        <v>250000</v>
      </c>
      <c r="I1119">
        <v>10</v>
      </c>
      <c r="J1119" t="s">
        <v>24</v>
      </c>
      <c r="K1119">
        <v>200000</v>
      </c>
    </row>
    <row r="1120" spans="1:11" x14ac:dyDescent="0.25">
      <c r="A1120" s="10">
        <v>45749</v>
      </c>
      <c r="B1120" t="s">
        <v>18</v>
      </c>
      <c r="C1120" t="s">
        <v>26</v>
      </c>
      <c r="D1120" t="s">
        <v>13</v>
      </c>
      <c r="E1120" t="s">
        <v>14</v>
      </c>
      <c r="F1120" t="s">
        <v>27</v>
      </c>
      <c r="G1120" t="s">
        <v>22</v>
      </c>
      <c r="H1120">
        <v>60000</v>
      </c>
      <c r="I1120">
        <v>4</v>
      </c>
      <c r="J1120" t="s">
        <v>24</v>
      </c>
      <c r="K1120">
        <v>48000</v>
      </c>
    </row>
    <row r="1121" spans="1:11" x14ac:dyDescent="0.25">
      <c r="A1121" s="10">
        <v>45727</v>
      </c>
      <c r="B1121" t="s">
        <v>29</v>
      </c>
      <c r="C1121" t="s">
        <v>19</v>
      </c>
      <c r="D1121" t="s">
        <v>13</v>
      </c>
      <c r="E1121" t="s">
        <v>14</v>
      </c>
      <c r="F1121" t="s">
        <v>40</v>
      </c>
      <c r="G1121" t="s">
        <v>31</v>
      </c>
      <c r="H1121">
        <v>250000</v>
      </c>
      <c r="I1121">
        <v>4</v>
      </c>
      <c r="J1121" t="s">
        <v>17</v>
      </c>
      <c r="K1121">
        <v>200000</v>
      </c>
    </row>
    <row r="1122" spans="1:11" x14ac:dyDescent="0.25">
      <c r="A1122" s="10">
        <v>45698</v>
      </c>
      <c r="B1122" t="s">
        <v>29</v>
      </c>
      <c r="C1122" t="s">
        <v>12</v>
      </c>
      <c r="D1122" t="s">
        <v>13</v>
      </c>
      <c r="E1122" t="s">
        <v>14</v>
      </c>
      <c r="F1122" t="s">
        <v>30</v>
      </c>
      <c r="G1122" t="s">
        <v>31</v>
      </c>
      <c r="H1122">
        <v>300000</v>
      </c>
      <c r="I1122">
        <v>3</v>
      </c>
      <c r="J1122" t="s">
        <v>39</v>
      </c>
      <c r="K1122">
        <v>240000</v>
      </c>
    </row>
    <row r="1123" spans="1:11" x14ac:dyDescent="0.25">
      <c r="A1123" s="10">
        <v>45745</v>
      </c>
      <c r="B1123" t="s">
        <v>25</v>
      </c>
      <c r="C1123" t="s">
        <v>19</v>
      </c>
      <c r="D1123" t="s">
        <v>23</v>
      </c>
      <c r="E1123" t="s">
        <v>14</v>
      </c>
      <c r="F1123" t="s">
        <v>38</v>
      </c>
      <c r="G1123" t="s">
        <v>31</v>
      </c>
      <c r="H1123">
        <v>420000</v>
      </c>
      <c r="I1123">
        <v>9</v>
      </c>
      <c r="J1123" t="s">
        <v>37</v>
      </c>
      <c r="K1123">
        <v>336000</v>
      </c>
    </row>
    <row r="1124" spans="1:11" x14ac:dyDescent="0.25">
      <c r="A1124" s="10">
        <v>45724</v>
      </c>
      <c r="B1124" t="s">
        <v>25</v>
      </c>
      <c r="C1124" t="s">
        <v>19</v>
      </c>
      <c r="D1124" t="s">
        <v>23</v>
      </c>
      <c r="E1124" t="s">
        <v>14</v>
      </c>
      <c r="F1124" t="s">
        <v>38</v>
      </c>
      <c r="G1124" t="s">
        <v>31</v>
      </c>
      <c r="H1124">
        <v>420000</v>
      </c>
      <c r="I1124">
        <v>7</v>
      </c>
      <c r="J1124" t="s">
        <v>28</v>
      </c>
      <c r="K1124">
        <v>336000</v>
      </c>
    </row>
    <row r="1125" spans="1:11" x14ac:dyDescent="0.25">
      <c r="A1125" s="10">
        <v>45696</v>
      </c>
      <c r="B1125" t="s">
        <v>18</v>
      </c>
      <c r="C1125" t="s">
        <v>26</v>
      </c>
      <c r="D1125" t="s">
        <v>13</v>
      </c>
      <c r="E1125" t="s">
        <v>14</v>
      </c>
      <c r="F1125" t="s">
        <v>41</v>
      </c>
      <c r="G1125" t="s">
        <v>22</v>
      </c>
      <c r="H1125">
        <v>220000</v>
      </c>
      <c r="I1125">
        <v>9</v>
      </c>
      <c r="J1125" t="s">
        <v>39</v>
      </c>
      <c r="K1125">
        <v>176000</v>
      </c>
    </row>
    <row r="1126" spans="1:11" x14ac:dyDescent="0.25">
      <c r="A1126" s="10">
        <v>45699</v>
      </c>
      <c r="B1126" t="s">
        <v>18</v>
      </c>
      <c r="C1126" t="s">
        <v>32</v>
      </c>
      <c r="D1126" t="s">
        <v>23</v>
      </c>
      <c r="E1126" t="s">
        <v>14</v>
      </c>
      <c r="F1126" t="s">
        <v>15</v>
      </c>
      <c r="G1126" t="s">
        <v>16</v>
      </c>
      <c r="H1126">
        <v>85000</v>
      </c>
      <c r="I1126">
        <v>8</v>
      </c>
      <c r="J1126" t="s">
        <v>28</v>
      </c>
      <c r="K1126">
        <v>68000</v>
      </c>
    </row>
    <row r="1127" spans="1:11" x14ac:dyDescent="0.25">
      <c r="A1127" s="10">
        <v>45676</v>
      </c>
      <c r="B1127" t="s">
        <v>25</v>
      </c>
      <c r="C1127" t="s">
        <v>12</v>
      </c>
      <c r="D1127" t="s">
        <v>23</v>
      </c>
      <c r="E1127" t="s">
        <v>20</v>
      </c>
      <c r="F1127" t="s">
        <v>15</v>
      </c>
      <c r="G1127" t="s">
        <v>16</v>
      </c>
      <c r="H1127">
        <v>85000</v>
      </c>
      <c r="I1127">
        <v>5</v>
      </c>
      <c r="J1127" t="s">
        <v>35</v>
      </c>
      <c r="K1127">
        <v>68000</v>
      </c>
    </row>
    <row r="1128" spans="1:11" x14ac:dyDescent="0.25">
      <c r="A1128" s="10">
        <v>45751</v>
      </c>
      <c r="B1128" t="s">
        <v>25</v>
      </c>
      <c r="C1128" t="s">
        <v>32</v>
      </c>
      <c r="D1128" t="s">
        <v>13</v>
      </c>
      <c r="E1128" t="s">
        <v>20</v>
      </c>
      <c r="F1128" t="s">
        <v>40</v>
      </c>
      <c r="G1128" t="s">
        <v>31</v>
      </c>
      <c r="H1128">
        <v>250000</v>
      </c>
      <c r="I1128">
        <v>6</v>
      </c>
      <c r="J1128" t="s">
        <v>39</v>
      </c>
      <c r="K1128">
        <v>200000</v>
      </c>
    </row>
    <row r="1129" spans="1:11" x14ac:dyDescent="0.25">
      <c r="A1129" s="10">
        <v>45768</v>
      </c>
      <c r="B1129" t="s">
        <v>18</v>
      </c>
      <c r="C1129" t="s">
        <v>26</v>
      </c>
      <c r="D1129" t="s">
        <v>23</v>
      </c>
      <c r="E1129" t="s">
        <v>20</v>
      </c>
      <c r="F1129" t="s">
        <v>21</v>
      </c>
      <c r="G1129" t="s">
        <v>22</v>
      </c>
      <c r="H1129">
        <v>30000</v>
      </c>
      <c r="I1129">
        <v>8</v>
      </c>
      <c r="J1129" t="s">
        <v>39</v>
      </c>
      <c r="K1129">
        <v>24000</v>
      </c>
    </row>
    <row r="1130" spans="1:11" x14ac:dyDescent="0.25">
      <c r="A1130" s="10">
        <v>45709</v>
      </c>
      <c r="B1130" t="s">
        <v>29</v>
      </c>
      <c r="C1130" t="s">
        <v>12</v>
      </c>
      <c r="D1130" t="s">
        <v>23</v>
      </c>
      <c r="E1130" t="s">
        <v>14</v>
      </c>
      <c r="F1130" t="s">
        <v>40</v>
      </c>
      <c r="G1130" t="s">
        <v>31</v>
      </c>
      <c r="H1130">
        <v>250000</v>
      </c>
      <c r="I1130">
        <v>6</v>
      </c>
      <c r="J1130" t="s">
        <v>37</v>
      </c>
      <c r="K1130">
        <v>200000</v>
      </c>
    </row>
    <row r="1131" spans="1:11" x14ac:dyDescent="0.25">
      <c r="A1131" s="10">
        <v>45744</v>
      </c>
      <c r="B1131" t="s">
        <v>25</v>
      </c>
      <c r="C1131" t="s">
        <v>19</v>
      </c>
      <c r="D1131" t="s">
        <v>23</v>
      </c>
      <c r="E1131" t="s">
        <v>20</v>
      </c>
      <c r="F1131" t="s">
        <v>34</v>
      </c>
      <c r="G1131" t="s">
        <v>16</v>
      </c>
      <c r="H1131">
        <v>320000</v>
      </c>
      <c r="I1131">
        <v>10</v>
      </c>
      <c r="J1131" t="s">
        <v>35</v>
      </c>
      <c r="K1131">
        <v>256000</v>
      </c>
    </row>
    <row r="1132" spans="1:11" x14ac:dyDescent="0.25">
      <c r="A1132" s="10">
        <v>45734</v>
      </c>
      <c r="B1132" t="s">
        <v>18</v>
      </c>
      <c r="C1132" t="s">
        <v>32</v>
      </c>
      <c r="D1132" t="s">
        <v>13</v>
      </c>
      <c r="E1132" t="s">
        <v>20</v>
      </c>
      <c r="F1132" t="s">
        <v>21</v>
      </c>
      <c r="G1132" t="s">
        <v>22</v>
      </c>
      <c r="H1132">
        <v>30000</v>
      </c>
      <c r="I1132">
        <v>4</v>
      </c>
      <c r="J1132" t="s">
        <v>35</v>
      </c>
      <c r="K1132">
        <v>24000</v>
      </c>
    </row>
    <row r="1133" spans="1:11" x14ac:dyDescent="0.25">
      <c r="A1133" s="10">
        <v>45696</v>
      </c>
      <c r="B1133" t="s">
        <v>25</v>
      </c>
      <c r="C1133" t="s">
        <v>32</v>
      </c>
      <c r="D1133" t="s">
        <v>13</v>
      </c>
      <c r="E1133" t="s">
        <v>20</v>
      </c>
      <c r="F1133" t="s">
        <v>15</v>
      </c>
      <c r="G1133" t="s">
        <v>16</v>
      </c>
      <c r="H1133">
        <v>85000</v>
      </c>
      <c r="I1133">
        <v>10</v>
      </c>
      <c r="J1133" t="s">
        <v>17</v>
      </c>
      <c r="K1133">
        <v>68000</v>
      </c>
    </row>
    <row r="1134" spans="1:11" x14ac:dyDescent="0.25">
      <c r="A1134" s="10">
        <v>45762</v>
      </c>
      <c r="B1134" t="s">
        <v>29</v>
      </c>
      <c r="C1134" t="s">
        <v>32</v>
      </c>
      <c r="D1134" t="s">
        <v>23</v>
      </c>
      <c r="E1134" t="s">
        <v>20</v>
      </c>
      <c r="F1134" t="s">
        <v>40</v>
      </c>
      <c r="G1134" t="s">
        <v>31</v>
      </c>
      <c r="H1134">
        <v>250000</v>
      </c>
      <c r="I1134">
        <v>6</v>
      </c>
      <c r="J1134" t="s">
        <v>28</v>
      </c>
      <c r="K1134">
        <v>200000</v>
      </c>
    </row>
    <row r="1135" spans="1:11" x14ac:dyDescent="0.25">
      <c r="A1135" s="10">
        <v>45669</v>
      </c>
      <c r="B1135" t="s">
        <v>25</v>
      </c>
      <c r="C1135" t="s">
        <v>19</v>
      </c>
      <c r="D1135" t="s">
        <v>13</v>
      </c>
      <c r="E1135" t="s">
        <v>20</v>
      </c>
      <c r="F1135" t="s">
        <v>27</v>
      </c>
      <c r="G1135" t="s">
        <v>22</v>
      </c>
      <c r="H1135">
        <v>60000</v>
      </c>
      <c r="I1135">
        <v>10</v>
      </c>
      <c r="J1135" t="s">
        <v>24</v>
      </c>
      <c r="K1135">
        <v>48000</v>
      </c>
    </row>
    <row r="1136" spans="1:11" x14ac:dyDescent="0.25">
      <c r="A1136" s="10">
        <v>45693</v>
      </c>
      <c r="B1136" t="s">
        <v>18</v>
      </c>
      <c r="C1136" t="s">
        <v>19</v>
      </c>
      <c r="D1136" t="s">
        <v>13</v>
      </c>
      <c r="E1136" t="s">
        <v>20</v>
      </c>
      <c r="F1136" t="s">
        <v>30</v>
      </c>
      <c r="G1136" t="s">
        <v>31</v>
      </c>
      <c r="H1136">
        <v>300000</v>
      </c>
      <c r="I1136">
        <v>3</v>
      </c>
      <c r="J1136" t="s">
        <v>24</v>
      </c>
      <c r="K1136">
        <v>240000</v>
      </c>
    </row>
    <row r="1137" spans="1:11" x14ac:dyDescent="0.25">
      <c r="A1137" s="10">
        <v>45674</v>
      </c>
      <c r="B1137" t="s">
        <v>11</v>
      </c>
      <c r="C1137" t="s">
        <v>32</v>
      </c>
      <c r="D1137" t="s">
        <v>13</v>
      </c>
      <c r="E1137" t="s">
        <v>20</v>
      </c>
      <c r="F1137" t="s">
        <v>36</v>
      </c>
      <c r="G1137" t="s">
        <v>31</v>
      </c>
      <c r="H1137">
        <v>150000</v>
      </c>
      <c r="I1137">
        <v>10</v>
      </c>
      <c r="J1137" t="s">
        <v>39</v>
      </c>
      <c r="K1137">
        <v>120000</v>
      </c>
    </row>
    <row r="1138" spans="1:11" x14ac:dyDescent="0.25">
      <c r="A1138" s="10">
        <v>45746</v>
      </c>
      <c r="B1138" t="s">
        <v>25</v>
      </c>
      <c r="C1138" t="s">
        <v>19</v>
      </c>
      <c r="D1138" t="s">
        <v>23</v>
      </c>
      <c r="E1138" t="s">
        <v>20</v>
      </c>
      <c r="F1138" t="s">
        <v>21</v>
      </c>
      <c r="G1138" t="s">
        <v>22</v>
      </c>
      <c r="H1138">
        <v>30000</v>
      </c>
      <c r="I1138">
        <v>7</v>
      </c>
      <c r="J1138" t="s">
        <v>35</v>
      </c>
      <c r="K1138">
        <v>24000</v>
      </c>
    </row>
    <row r="1139" spans="1:11" x14ac:dyDescent="0.25">
      <c r="A1139" s="10">
        <v>45671</v>
      </c>
      <c r="B1139" t="s">
        <v>18</v>
      </c>
      <c r="C1139" t="s">
        <v>19</v>
      </c>
      <c r="D1139" t="s">
        <v>23</v>
      </c>
      <c r="E1139" t="s">
        <v>20</v>
      </c>
      <c r="F1139" t="s">
        <v>30</v>
      </c>
      <c r="G1139" t="s">
        <v>31</v>
      </c>
      <c r="H1139">
        <v>300000</v>
      </c>
      <c r="I1139">
        <v>9</v>
      </c>
      <c r="J1139" t="s">
        <v>37</v>
      </c>
      <c r="K1139">
        <v>240000</v>
      </c>
    </row>
    <row r="1140" spans="1:11" x14ac:dyDescent="0.25">
      <c r="A1140" s="10">
        <v>45660</v>
      </c>
      <c r="B1140" t="s">
        <v>29</v>
      </c>
      <c r="C1140" t="s">
        <v>32</v>
      </c>
      <c r="D1140" t="s">
        <v>23</v>
      </c>
      <c r="E1140" t="s">
        <v>20</v>
      </c>
      <c r="F1140" t="s">
        <v>41</v>
      </c>
      <c r="G1140" t="s">
        <v>22</v>
      </c>
      <c r="H1140">
        <v>220000</v>
      </c>
      <c r="I1140">
        <v>4</v>
      </c>
      <c r="J1140" t="s">
        <v>28</v>
      </c>
      <c r="K1140">
        <v>176000</v>
      </c>
    </row>
    <row r="1141" spans="1:11" x14ac:dyDescent="0.25">
      <c r="A1141" s="10">
        <v>45682</v>
      </c>
      <c r="B1141" t="s">
        <v>18</v>
      </c>
      <c r="C1141" t="s">
        <v>26</v>
      </c>
      <c r="D1141" t="s">
        <v>23</v>
      </c>
      <c r="E1141" t="s">
        <v>14</v>
      </c>
      <c r="F1141" t="s">
        <v>40</v>
      </c>
      <c r="G1141" t="s">
        <v>31</v>
      </c>
      <c r="H1141">
        <v>250000</v>
      </c>
      <c r="I1141">
        <v>9</v>
      </c>
      <c r="J1141" t="s">
        <v>17</v>
      </c>
      <c r="K1141">
        <v>200000</v>
      </c>
    </row>
    <row r="1142" spans="1:11" x14ac:dyDescent="0.25">
      <c r="A1142" s="10">
        <v>45667</v>
      </c>
      <c r="B1142" t="s">
        <v>11</v>
      </c>
      <c r="C1142" t="s">
        <v>12</v>
      </c>
      <c r="D1142" t="s">
        <v>23</v>
      </c>
      <c r="E1142" t="s">
        <v>20</v>
      </c>
      <c r="F1142" t="s">
        <v>30</v>
      </c>
      <c r="G1142" t="s">
        <v>31</v>
      </c>
      <c r="H1142">
        <v>300000</v>
      </c>
      <c r="I1142">
        <v>4</v>
      </c>
      <c r="J1142" t="s">
        <v>39</v>
      </c>
      <c r="K1142">
        <v>240000</v>
      </c>
    </row>
    <row r="1143" spans="1:11" x14ac:dyDescent="0.25">
      <c r="A1143" s="10">
        <v>45658</v>
      </c>
      <c r="B1143" t="s">
        <v>11</v>
      </c>
      <c r="C1143" t="s">
        <v>12</v>
      </c>
      <c r="D1143" t="s">
        <v>13</v>
      </c>
      <c r="E1143" t="s">
        <v>20</v>
      </c>
      <c r="F1143" t="s">
        <v>27</v>
      </c>
      <c r="G1143" t="s">
        <v>22</v>
      </c>
      <c r="H1143">
        <v>60000</v>
      </c>
      <c r="I1143">
        <v>10</v>
      </c>
      <c r="J1143" t="s">
        <v>37</v>
      </c>
      <c r="K1143">
        <v>48000</v>
      </c>
    </row>
    <row r="1144" spans="1:11" x14ac:dyDescent="0.25">
      <c r="A1144" s="10">
        <v>45733</v>
      </c>
      <c r="B1144" t="s">
        <v>29</v>
      </c>
      <c r="C1144" t="s">
        <v>26</v>
      </c>
      <c r="D1144" t="s">
        <v>23</v>
      </c>
      <c r="E1144" t="s">
        <v>14</v>
      </c>
      <c r="F1144" t="s">
        <v>38</v>
      </c>
      <c r="G1144" t="s">
        <v>31</v>
      </c>
      <c r="H1144">
        <v>420000</v>
      </c>
      <c r="I1144">
        <v>10</v>
      </c>
      <c r="J1144" t="s">
        <v>28</v>
      </c>
      <c r="K1144">
        <v>336000</v>
      </c>
    </row>
    <row r="1145" spans="1:11" x14ac:dyDescent="0.25">
      <c r="A1145" s="10">
        <v>45738</v>
      </c>
      <c r="B1145" t="s">
        <v>11</v>
      </c>
      <c r="C1145" t="s">
        <v>26</v>
      </c>
      <c r="D1145" t="s">
        <v>13</v>
      </c>
      <c r="E1145" t="s">
        <v>20</v>
      </c>
      <c r="F1145" t="s">
        <v>36</v>
      </c>
      <c r="G1145" t="s">
        <v>31</v>
      </c>
      <c r="H1145">
        <v>150000</v>
      </c>
      <c r="I1145">
        <v>1</v>
      </c>
      <c r="J1145" t="s">
        <v>39</v>
      </c>
      <c r="K1145">
        <v>120000</v>
      </c>
    </row>
    <row r="1146" spans="1:11" x14ac:dyDescent="0.25">
      <c r="A1146" s="10">
        <v>45707</v>
      </c>
      <c r="B1146" t="s">
        <v>25</v>
      </c>
      <c r="C1146" t="s">
        <v>26</v>
      </c>
      <c r="D1146" t="s">
        <v>13</v>
      </c>
      <c r="E1146" t="s">
        <v>20</v>
      </c>
      <c r="F1146" t="s">
        <v>40</v>
      </c>
      <c r="G1146" t="s">
        <v>31</v>
      </c>
      <c r="H1146">
        <v>250000</v>
      </c>
      <c r="I1146">
        <v>7</v>
      </c>
      <c r="J1146" t="s">
        <v>24</v>
      </c>
      <c r="K1146">
        <v>200000</v>
      </c>
    </row>
    <row r="1147" spans="1:11" x14ac:dyDescent="0.25">
      <c r="A1147" s="10">
        <v>45759</v>
      </c>
      <c r="B1147" t="s">
        <v>25</v>
      </c>
      <c r="C1147" t="s">
        <v>32</v>
      </c>
      <c r="D1147" t="s">
        <v>13</v>
      </c>
      <c r="E1147" t="s">
        <v>20</v>
      </c>
      <c r="F1147" t="s">
        <v>30</v>
      </c>
      <c r="G1147" t="s">
        <v>31</v>
      </c>
      <c r="H1147">
        <v>300000</v>
      </c>
      <c r="I1147">
        <v>9</v>
      </c>
      <c r="J1147" t="s">
        <v>28</v>
      </c>
      <c r="K1147">
        <v>240000</v>
      </c>
    </row>
    <row r="1148" spans="1:11" x14ac:dyDescent="0.25">
      <c r="A1148" s="10">
        <v>45738</v>
      </c>
      <c r="B1148" t="s">
        <v>29</v>
      </c>
      <c r="C1148" t="s">
        <v>12</v>
      </c>
      <c r="D1148" t="s">
        <v>13</v>
      </c>
      <c r="E1148" t="s">
        <v>20</v>
      </c>
      <c r="F1148" t="s">
        <v>36</v>
      </c>
      <c r="G1148" t="s">
        <v>31</v>
      </c>
      <c r="H1148">
        <v>150000</v>
      </c>
      <c r="I1148">
        <v>2</v>
      </c>
      <c r="J1148" t="s">
        <v>37</v>
      </c>
      <c r="K1148">
        <v>120000</v>
      </c>
    </row>
    <row r="1149" spans="1:11" x14ac:dyDescent="0.25">
      <c r="A1149" s="10">
        <v>45758</v>
      </c>
      <c r="B1149" t="s">
        <v>11</v>
      </c>
      <c r="C1149" t="s">
        <v>19</v>
      </c>
      <c r="D1149" t="s">
        <v>13</v>
      </c>
      <c r="E1149" t="s">
        <v>20</v>
      </c>
      <c r="F1149" t="s">
        <v>41</v>
      </c>
      <c r="G1149" t="s">
        <v>22</v>
      </c>
      <c r="H1149">
        <v>220000</v>
      </c>
      <c r="I1149">
        <v>9</v>
      </c>
      <c r="J1149" t="s">
        <v>24</v>
      </c>
      <c r="K1149">
        <v>176000</v>
      </c>
    </row>
    <row r="1150" spans="1:11" x14ac:dyDescent="0.25">
      <c r="A1150" s="10">
        <v>45742</v>
      </c>
      <c r="B1150" t="s">
        <v>29</v>
      </c>
      <c r="C1150" t="s">
        <v>32</v>
      </c>
      <c r="D1150" t="s">
        <v>13</v>
      </c>
      <c r="E1150" t="s">
        <v>20</v>
      </c>
      <c r="F1150" t="s">
        <v>27</v>
      </c>
      <c r="G1150" t="s">
        <v>22</v>
      </c>
      <c r="H1150">
        <v>60000</v>
      </c>
      <c r="I1150">
        <v>5</v>
      </c>
      <c r="J1150" t="s">
        <v>17</v>
      </c>
      <c r="K1150">
        <v>48000</v>
      </c>
    </row>
    <row r="1151" spans="1:11" x14ac:dyDescent="0.25">
      <c r="A1151" s="10">
        <v>45708</v>
      </c>
      <c r="B1151" t="s">
        <v>11</v>
      </c>
      <c r="C1151" t="s">
        <v>12</v>
      </c>
      <c r="D1151" t="s">
        <v>23</v>
      </c>
      <c r="E1151" t="s">
        <v>20</v>
      </c>
      <c r="F1151" t="s">
        <v>33</v>
      </c>
      <c r="G1151" t="s">
        <v>22</v>
      </c>
      <c r="H1151">
        <v>180000</v>
      </c>
      <c r="I1151">
        <v>6</v>
      </c>
      <c r="J1151" t="s">
        <v>35</v>
      </c>
      <c r="K1151">
        <v>144000</v>
      </c>
    </row>
    <row r="1152" spans="1:11" x14ac:dyDescent="0.25">
      <c r="A1152" s="10">
        <v>45710</v>
      </c>
      <c r="B1152" t="s">
        <v>18</v>
      </c>
      <c r="C1152" t="s">
        <v>12</v>
      </c>
      <c r="D1152" t="s">
        <v>23</v>
      </c>
      <c r="E1152" t="s">
        <v>20</v>
      </c>
      <c r="F1152" t="s">
        <v>40</v>
      </c>
      <c r="G1152" t="s">
        <v>31</v>
      </c>
      <c r="H1152">
        <v>250000</v>
      </c>
      <c r="I1152">
        <v>10</v>
      </c>
      <c r="J1152" t="s">
        <v>17</v>
      </c>
      <c r="K1152">
        <v>200000</v>
      </c>
    </row>
    <row r="1153" spans="1:11" x14ac:dyDescent="0.25">
      <c r="A1153" s="10">
        <v>45743</v>
      </c>
      <c r="B1153" t="s">
        <v>18</v>
      </c>
      <c r="C1153" t="s">
        <v>32</v>
      </c>
      <c r="D1153" t="s">
        <v>13</v>
      </c>
      <c r="E1153" t="s">
        <v>20</v>
      </c>
      <c r="F1153" t="s">
        <v>15</v>
      </c>
      <c r="G1153" t="s">
        <v>16</v>
      </c>
      <c r="H1153">
        <v>85000</v>
      </c>
      <c r="I1153">
        <v>1</v>
      </c>
      <c r="J1153" t="s">
        <v>37</v>
      </c>
      <c r="K1153">
        <v>68000</v>
      </c>
    </row>
    <row r="1154" spans="1:11" x14ac:dyDescent="0.25">
      <c r="A1154" s="10">
        <v>45724</v>
      </c>
      <c r="B1154" t="s">
        <v>29</v>
      </c>
      <c r="C1154" t="s">
        <v>12</v>
      </c>
      <c r="D1154" t="s">
        <v>13</v>
      </c>
      <c r="E1154" t="s">
        <v>14</v>
      </c>
      <c r="F1154" t="s">
        <v>40</v>
      </c>
      <c r="G1154" t="s">
        <v>31</v>
      </c>
      <c r="H1154">
        <v>250000</v>
      </c>
      <c r="I1154">
        <v>9</v>
      </c>
      <c r="J1154" t="s">
        <v>24</v>
      </c>
      <c r="K1154">
        <v>200000</v>
      </c>
    </row>
    <row r="1155" spans="1:11" x14ac:dyDescent="0.25">
      <c r="A1155" s="10">
        <v>45756</v>
      </c>
      <c r="B1155" t="s">
        <v>18</v>
      </c>
      <c r="C1155" t="s">
        <v>19</v>
      </c>
      <c r="D1155" t="s">
        <v>13</v>
      </c>
      <c r="E1155" t="s">
        <v>14</v>
      </c>
      <c r="F1155" t="s">
        <v>40</v>
      </c>
      <c r="G1155" t="s">
        <v>31</v>
      </c>
      <c r="H1155">
        <v>250000</v>
      </c>
      <c r="I1155">
        <v>2</v>
      </c>
      <c r="J1155" t="s">
        <v>24</v>
      </c>
      <c r="K1155">
        <v>200000</v>
      </c>
    </row>
    <row r="1156" spans="1:11" x14ac:dyDescent="0.25">
      <c r="A1156" s="10">
        <v>45690</v>
      </c>
      <c r="B1156" t="s">
        <v>25</v>
      </c>
      <c r="C1156" t="s">
        <v>19</v>
      </c>
      <c r="D1156" t="s">
        <v>13</v>
      </c>
      <c r="E1156" t="s">
        <v>14</v>
      </c>
      <c r="F1156" t="s">
        <v>40</v>
      </c>
      <c r="G1156" t="s">
        <v>31</v>
      </c>
      <c r="H1156">
        <v>250000</v>
      </c>
      <c r="I1156">
        <v>1</v>
      </c>
      <c r="J1156" t="s">
        <v>39</v>
      </c>
      <c r="K1156">
        <v>200000</v>
      </c>
    </row>
    <row r="1157" spans="1:11" x14ac:dyDescent="0.25">
      <c r="A1157" s="10">
        <v>45691</v>
      </c>
      <c r="B1157" t="s">
        <v>11</v>
      </c>
      <c r="C1157" t="s">
        <v>12</v>
      </c>
      <c r="D1157" t="s">
        <v>23</v>
      </c>
      <c r="E1157" t="s">
        <v>20</v>
      </c>
      <c r="F1157" t="s">
        <v>30</v>
      </c>
      <c r="G1157" t="s">
        <v>31</v>
      </c>
      <c r="H1157">
        <v>300000</v>
      </c>
      <c r="I1157">
        <v>9</v>
      </c>
      <c r="J1157" t="s">
        <v>28</v>
      </c>
      <c r="K1157">
        <v>240000</v>
      </c>
    </row>
    <row r="1158" spans="1:11" x14ac:dyDescent="0.25">
      <c r="A1158" s="10">
        <v>45724</v>
      </c>
      <c r="B1158" t="s">
        <v>11</v>
      </c>
      <c r="C1158" t="s">
        <v>19</v>
      </c>
      <c r="D1158" t="s">
        <v>23</v>
      </c>
      <c r="E1158" t="s">
        <v>14</v>
      </c>
      <c r="F1158" t="s">
        <v>34</v>
      </c>
      <c r="G1158" t="s">
        <v>16</v>
      </c>
      <c r="H1158">
        <v>320000</v>
      </c>
      <c r="I1158">
        <v>10</v>
      </c>
      <c r="J1158" t="s">
        <v>24</v>
      </c>
      <c r="K1158">
        <v>256000</v>
      </c>
    </row>
    <row r="1159" spans="1:11" x14ac:dyDescent="0.25">
      <c r="A1159" s="10">
        <v>45665</v>
      </c>
      <c r="B1159" t="s">
        <v>25</v>
      </c>
      <c r="C1159" t="s">
        <v>19</v>
      </c>
      <c r="D1159" t="s">
        <v>23</v>
      </c>
      <c r="E1159" t="s">
        <v>14</v>
      </c>
      <c r="F1159" t="s">
        <v>33</v>
      </c>
      <c r="G1159" t="s">
        <v>22</v>
      </c>
      <c r="H1159">
        <v>180000</v>
      </c>
      <c r="I1159">
        <v>9</v>
      </c>
      <c r="J1159" t="s">
        <v>37</v>
      </c>
      <c r="K1159">
        <v>144000</v>
      </c>
    </row>
    <row r="1160" spans="1:11" x14ac:dyDescent="0.25">
      <c r="A1160" s="10">
        <v>45761</v>
      </c>
      <c r="B1160" t="s">
        <v>25</v>
      </c>
      <c r="C1160" t="s">
        <v>26</v>
      </c>
      <c r="D1160" t="s">
        <v>23</v>
      </c>
      <c r="E1160" t="s">
        <v>14</v>
      </c>
      <c r="F1160" t="s">
        <v>40</v>
      </c>
      <c r="G1160" t="s">
        <v>31</v>
      </c>
      <c r="H1160">
        <v>250000</v>
      </c>
      <c r="I1160">
        <v>1</v>
      </c>
      <c r="J1160" t="s">
        <v>39</v>
      </c>
      <c r="K1160">
        <v>200000</v>
      </c>
    </row>
    <row r="1161" spans="1:11" x14ac:dyDescent="0.25">
      <c r="A1161" s="10">
        <v>45747</v>
      </c>
      <c r="B1161" t="s">
        <v>25</v>
      </c>
      <c r="C1161" t="s">
        <v>32</v>
      </c>
      <c r="D1161" t="s">
        <v>23</v>
      </c>
      <c r="E1161" t="s">
        <v>14</v>
      </c>
      <c r="F1161" t="s">
        <v>15</v>
      </c>
      <c r="G1161" t="s">
        <v>16</v>
      </c>
      <c r="H1161">
        <v>85000</v>
      </c>
      <c r="I1161">
        <v>7</v>
      </c>
      <c r="J1161" t="s">
        <v>39</v>
      </c>
      <c r="K1161">
        <v>68000</v>
      </c>
    </row>
    <row r="1162" spans="1:11" x14ac:dyDescent="0.25">
      <c r="A1162" s="10">
        <v>45767</v>
      </c>
      <c r="B1162" t="s">
        <v>11</v>
      </c>
      <c r="C1162" t="s">
        <v>12</v>
      </c>
      <c r="D1162" t="s">
        <v>13</v>
      </c>
      <c r="E1162" t="s">
        <v>20</v>
      </c>
      <c r="F1162" t="s">
        <v>21</v>
      </c>
      <c r="G1162" t="s">
        <v>22</v>
      </c>
      <c r="H1162">
        <v>30000</v>
      </c>
      <c r="I1162">
        <v>6</v>
      </c>
      <c r="J1162" t="s">
        <v>28</v>
      </c>
      <c r="K1162">
        <v>24000</v>
      </c>
    </row>
    <row r="1163" spans="1:11" x14ac:dyDescent="0.25">
      <c r="A1163" s="10">
        <v>45686</v>
      </c>
      <c r="B1163" t="s">
        <v>11</v>
      </c>
      <c r="C1163" t="s">
        <v>19</v>
      </c>
      <c r="D1163" t="s">
        <v>13</v>
      </c>
      <c r="E1163" t="s">
        <v>20</v>
      </c>
      <c r="F1163" t="s">
        <v>21</v>
      </c>
      <c r="G1163" t="s">
        <v>22</v>
      </c>
      <c r="H1163">
        <v>30000</v>
      </c>
      <c r="I1163">
        <v>6</v>
      </c>
      <c r="J1163" t="s">
        <v>24</v>
      </c>
      <c r="K1163">
        <v>24000</v>
      </c>
    </row>
    <row r="1164" spans="1:11" x14ac:dyDescent="0.25">
      <c r="A1164" s="10">
        <v>45739</v>
      </c>
      <c r="B1164" t="s">
        <v>11</v>
      </c>
      <c r="C1164" t="s">
        <v>12</v>
      </c>
      <c r="D1164" t="s">
        <v>23</v>
      </c>
      <c r="E1164" t="s">
        <v>20</v>
      </c>
      <c r="F1164" t="s">
        <v>34</v>
      </c>
      <c r="G1164" t="s">
        <v>16</v>
      </c>
      <c r="H1164">
        <v>320000</v>
      </c>
      <c r="I1164">
        <v>2</v>
      </c>
      <c r="J1164" t="s">
        <v>37</v>
      </c>
      <c r="K1164">
        <v>256000</v>
      </c>
    </row>
    <row r="1165" spans="1:11" x14ac:dyDescent="0.25">
      <c r="A1165" s="10">
        <v>45682</v>
      </c>
      <c r="B1165" t="s">
        <v>11</v>
      </c>
      <c r="C1165" t="s">
        <v>32</v>
      </c>
      <c r="D1165" t="s">
        <v>13</v>
      </c>
      <c r="E1165" t="s">
        <v>20</v>
      </c>
      <c r="F1165" t="s">
        <v>27</v>
      </c>
      <c r="G1165" t="s">
        <v>22</v>
      </c>
      <c r="H1165">
        <v>60000</v>
      </c>
      <c r="I1165">
        <v>6</v>
      </c>
      <c r="J1165" t="s">
        <v>24</v>
      </c>
      <c r="K1165">
        <v>48000</v>
      </c>
    </row>
    <row r="1166" spans="1:11" x14ac:dyDescent="0.25">
      <c r="A1166" s="10">
        <v>45728</v>
      </c>
      <c r="B1166" t="s">
        <v>11</v>
      </c>
      <c r="C1166" t="s">
        <v>19</v>
      </c>
      <c r="D1166" t="s">
        <v>13</v>
      </c>
      <c r="E1166" t="s">
        <v>20</v>
      </c>
      <c r="F1166" t="s">
        <v>41</v>
      </c>
      <c r="G1166" t="s">
        <v>22</v>
      </c>
      <c r="H1166">
        <v>220000</v>
      </c>
      <c r="I1166">
        <v>10</v>
      </c>
      <c r="J1166" t="s">
        <v>39</v>
      </c>
      <c r="K1166">
        <v>176000</v>
      </c>
    </row>
    <row r="1167" spans="1:11" x14ac:dyDescent="0.25">
      <c r="A1167" s="10">
        <v>45757</v>
      </c>
      <c r="B1167" t="s">
        <v>11</v>
      </c>
      <c r="C1167" t="s">
        <v>32</v>
      </c>
      <c r="D1167" t="s">
        <v>13</v>
      </c>
      <c r="E1167" t="s">
        <v>14</v>
      </c>
      <c r="F1167" t="s">
        <v>27</v>
      </c>
      <c r="G1167" t="s">
        <v>22</v>
      </c>
      <c r="H1167">
        <v>60000</v>
      </c>
      <c r="I1167">
        <v>6</v>
      </c>
      <c r="J1167" t="s">
        <v>39</v>
      </c>
      <c r="K1167">
        <v>48000</v>
      </c>
    </row>
    <row r="1168" spans="1:11" x14ac:dyDescent="0.25">
      <c r="A1168" s="10">
        <v>45658</v>
      </c>
      <c r="B1168" t="s">
        <v>11</v>
      </c>
      <c r="C1168" t="s">
        <v>26</v>
      </c>
      <c r="D1168" t="s">
        <v>13</v>
      </c>
      <c r="E1168" t="s">
        <v>14</v>
      </c>
      <c r="F1168" t="s">
        <v>41</v>
      </c>
      <c r="G1168" t="s">
        <v>22</v>
      </c>
      <c r="H1168">
        <v>220000</v>
      </c>
      <c r="I1168">
        <v>7</v>
      </c>
      <c r="J1168" t="s">
        <v>37</v>
      </c>
      <c r="K1168">
        <v>176000</v>
      </c>
    </row>
    <row r="1169" spans="1:11" x14ac:dyDescent="0.25">
      <c r="A1169" s="10">
        <v>45677</v>
      </c>
      <c r="B1169" t="s">
        <v>18</v>
      </c>
      <c r="C1169" t="s">
        <v>19</v>
      </c>
      <c r="D1169" t="s">
        <v>23</v>
      </c>
      <c r="E1169" t="s">
        <v>20</v>
      </c>
      <c r="F1169" t="s">
        <v>38</v>
      </c>
      <c r="G1169" t="s">
        <v>31</v>
      </c>
      <c r="H1169">
        <v>420000</v>
      </c>
      <c r="I1169">
        <v>8</v>
      </c>
      <c r="J1169" t="s">
        <v>37</v>
      </c>
      <c r="K1169">
        <v>336000</v>
      </c>
    </row>
    <row r="1170" spans="1:11" x14ac:dyDescent="0.25">
      <c r="A1170" s="10">
        <v>45663</v>
      </c>
      <c r="B1170" t="s">
        <v>18</v>
      </c>
      <c r="C1170" t="s">
        <v>19</v>
      </c>
      <c r="D1170" t="s">
        <v>13</v>
      </c>
      <c r="E1170" t="s">
        <v>20</v>
      </c>
      <c r="F1170" t="s">
        <v>38</v>
      </c>
      <c r="G1170" t="s">
        <v>31</v>
      </c>
      <c r="H1170">
        <v>420000</v>
      </c>
      <c r="I1170">
        <v>1</v>
      </c>
      <c r="J1170" t="s">
        <v>39</v>
      </c>
      <c r="K1170">
        <v>336000</v>
      </c>
    </row>
    <row r="1171" spans="1:11" x14ac:dyDescent="0.25">
      <c r="A1171" s="10">
        <v>45728</v>
      </c>
      <c r="B1171" t="s">
        <v>18</v>
      </c>
      <c r="C1171" t="s">
        <v>12</v>
      </c>
      <c r="D1171" t="s">
        <v>23</v>
      </c>
      <c r="E1171" t="s">
        <v>20</v>
      </c>
      <c r="F1171" t="s">
        <v>40</v>
      </c>
      <c r="G1171" t="s">
        <v>31</v>
      </c>
      <c r="H1171">
        <v>250000</v>
      </c>
      <c r="I1171">
        <v>9</v>
      </c>
      <c r="J1171" t="s">
        <v>37</v>
      </c>
      <c r="K1171">
        <v>200000</v>
      </c>
    </row>
    <row r="1172" spans="1:11" x14ac:dyDescent="0.25">
      <c r="A1172" s="10">
        <v>45716</v>
      </c>
      <c r="B1172" t="s">
        <v>29</v>
      </c>
      <c r="C1172" t="s">
        <v>32</v>
      </c>
      <c r="D1172" t="s">
        <v>13</v>
      </c>
      <c r="E1172" t="s">
        <v>14</v>
      </c>
      <c r="F1172" t="s">
        <v>21</v>
      </c>
      <c r="G1172" t="s">
        <v>22</v>
      </c>
      <c r="H1172">
        <v>30000</v>
      </c>
      <c r="I1172">
        <v>3</v>
      </c>
      <c r="J1172" t="s">
        <v>24</v>
      </c>
      <c r="K1172">
        <v>24000</v>
      </c>
    </row>
    <row r="1173" spans="1:11" x14ac:dyDescent="0.25">
      <c r="A1173" s="10">
        <v>45778</v>
      </c>
      <c r="B1173" t="s">
        <v>29</v>
      </c>
      <c r="C1173" t="s">
        <v>26</v>
      </c>
      <c r="D1173" t="s">
        <v>13</v>
      </c>
      <c r="E1173" t="s">
        <v>14</v>
      </c>
      <c r="F1173" t="s">
        <v>34</v>
      </c>
      <c r="G1173" t="s">
        <v>16</v>
      </c>
      <c r="H1173">
        <v>320000</v>
      </c>
      <c r="I1173">
        <v>1</v>
      </c>
      <c r="J1173" t="s">
        <v>39</v>
      </c>
      <c r="K1173">
        <v>256000</v>
      </c>
    </row>
    <row r="1174" spans="1:11" x14ac:dyDescent="0.25">
      <c r="A1174" s="10">
        <v>45690</v>
      </c>
      <c r="B1174" t="s">
        <v>11</v>
      </c>
      <c r="C1174" t="s">
        <v>32</v>
      </c>
      <c r="D1174" t="s">
        <v>23</v>
      </c>
      <c r="E1174" t="s">
        <v>14</v>
      </c>
      <c r="F1174" t="s">
        <v>34</v>
      </c>
      <c r="G1174" t="s">
        <v>16</v>
      </c>
      <c r="H1174">
        <v>320000</v>
      </c>
      <c r="I1174">
        <v>10</v>
      </c>
      <c r="J1174" t="s">
        <v>28</v>
      </c>
      <c r="K1174">
        <v>256000</v>
      </c>
    </row>
    <row r="1175" spans="1:11" x14ac:dyDescent="0.25">
      <c r="A1175" s="10">
        <v>45763</v>
      </c>
      <c r="B1175" t="s">
        <v>29</v>
      </c>
      <c r="C1175" t="s">
        <v>19</v>
      </c>
      <c r="D1175" t="s">
        <v>23</v>
      </c>
      <c r="E1175" t="s">
        <v>14</v>
      </c>
      <c r="F1175" t="s">
        <v>33</v>
      </c>
      <c r="G1175" t="s">
        <v>22</v>
      </c>
      <c r="H1175">
        <v>180000</v>
      </c>
      <c r="I1175">
        <v>4</v>
      </c>
      <c r="J1175" t="s">
        <v>28</v>
      </c>
      <c r="K1175">
        <v>144000</v>
      </c>
    </row>
    <row r="1176" spans="1:11" x14ac:dyDescent="0.25">
      <c r="A1176" s="10">
        <v>45719</v>
      </c>
      <c r="B1176" t="s">
        <v>11</v>
      </c>
      <c r="C1176" t="s">
        <v>19</v>
      </c>
      <c r="D1176" t="s">
        <v>13</v>
      </c>
      <c r="E1176" t="s">
        <v>20</v>
      </c>
      <c r="F1176" t="s">
        <v>38</v>
      </c>
      <c r="G1176" t="s">
        <v>31</v>
      </c>
      <c r="H1176">
        <v>420000</v>
      </c>
      <c r="I1176">
        <v>5</v>
      </c>
      <c r="J1176" t="s">
        <v>37</v>
      </c>
      <c r="K1176">
        <v>336000</v>
      </c>
    </row>
    <row r="1177" spans="1:11" x14ac:dyDescent="0.25">
      <c r="A1177" s="10">
        <v>45735</v>
      </c>
      <c r="B1177" t="s">
        <v>29</v>
      </c>
      <c r="C1177" t="s">
        <v>32</v>
      </c>
      <c r="D1177" t="s">
        <v>13</v>
      </c>
      <c r="E1177" t="s">
        <v>14</v>
      </c>
      <c r="F1177" t="s">
        <v>27</v>
      </c>
      <c r="G1177" t="s">
        <v>22</v>
      </c>
      <c r="H1177">
        <v>60000</v>
      </c>
      <c r="I1177">
        <v>5</v>
      </c>
      <c r="J1177" t="s">
        <v>24</v>
      </c>
      <c r="K1177">
        <v>48000</v>
      </c>
    </row>
    <row r="1178" spans="1:11" x14ac:dyDescent="0.25">
      <c r="A1178" s="10">
        <v>45698</v>
      </c>
      <c r="B1178" t="s">
        <v>29</v>
      </c>
      <c r="C1178" t="s">
        <v>32</v>
      </c>
      <c r="D1178" t="s">
        <v>13</v>
      </c>
      <c r="E1178" t="s">
        <v>20</v>
      </c>
      <c r="F1178" t="s">
        <v>27</v>
      </c>
      <c r="G1178" t="s">
        <v>22</v>
      </c>
      <c r="H1178">
        <v>60000</v>
      </c>
      <c r="I1178">
        <v>9</v>
      </c>
      <c r="J1178" t="s">
        <v>37</v>
      </c>
      <c r="K1178">
        <v>48000</v>
      </c>
    </row>
    <row r="1179" spans="1:11" x14ac:dyDescent="0.25">
      <c r="A1179" s="10">
        <v>45676</v>
      </c>
      <c r="B1179" t="s">
        <v>18</v>
      </c>
      <c r="C1179" t="s">
        <v>26</v>
      </c>
      <c r="D1179" t="s">
        <v>23</v>
      </c>
      <c r="E1179" t="s">
        <v>20</v>
      </c>
      <c r="F1179" t="s">
        <v>30</v>
      </c>
      <c r="G1179" t="s">
        <v>31</v>
      </c>
      <c r="H1179">
        <v>300000</v>
      </c>
      <c r="I1179">
        <v>10</v>
      </c>
      <c r="J1179" t="s">
        <v>24</v>
      </c>
      <c r="K1179">
        <v>240000</v>
      </c>
    </row>
    <row r="1180" spans="1:11" x14ac:dyDescent="0.25">
      <c r="A1180" s="10">
        <v>45775</v>
      </c>
      <c r="B1180" t="s">
        <v>25</v>
      </c>
      <c r="C1180" t="s">
        <v>32</v>
      </c>
      <c r="D1180" t="s">
        <v>13</v>
      </c>
      <c r="E1180" t="s">
        <v>20</v>
      </c>
      <c r="F1180" t="s">
        <v>38</v>
      </c>
      <c r="G1180" t="s">
        <v>31</v>
      </c>
      <c r="H1180">
        <v>420000</v>
      </c>
      <c r="I1180">
        <v>8</v>
      </c>
      <c r="J1180" t="s">
        <v>39</v>
      </c>
      <c r="K1180">
        <v>336000</v>
      </c>
    </row>
    <row r="1181" spans="1:11" x14ac:dyDescent="0.25">
      <c r="A1181" s="10">
        <v>45725</v>
      </c>
      <c r="B1181" t="s">
        <v>25</v>
      </c>
      <c r="C1181" t="s">
        <v>26</v>
      </c>
      <c r="D1181" t="s">
        <v>23</v>
      </c>
      <c r="E1181" t="s">
        <v>20</v>
      </c>
      <c r="F1181" t="s">
        <v>33</v>
      </c>
      <c r="G1181" t="s">
        <v>22</v>
      </c>
      <c r="H1181">
        <v>180000</v>
      </c>
      <c r="I1181">
        <v>4</v>
      </c>
      <c r="J1181" t="s">
        <v>24</v>
      </c>
      <c r="K1181">
        <v>144000</v>
      </c>
    </row>
    <row r="1182" spans="1:11" x14ac:dyDescent="0.25">
      <c r="A1182" s="10">
        <v>45701</v>
      </c>
      <c r="B1182" t="s">
        <v>18</v>
      </c>
      <c r="C1182" t="s">
        <v>26</v>
      </c>
      <c r="D1182" t="s">
        <v>13</v>
      </c>
      <c r="E1182" t="s">
        <v>20</v>
      </c>
      <c r="F1182" t="s">
        <v>21</v>
      </c>
      <c r="G1182" t="s">
        <v>22</v>
      </c>
      <c r="H1182">
        <v>30000</v>
      </c>
      <c r="I1182">
        <v>5</v>
      </c>
      <c r="J1182" t="s">
        <v>37</v>
      </c>
      <c r="K1182">
        <v>24000</v>
      </c>
    </row>
    <row r="1183" spans="1:11" x14ac:dyDescent="0.25">
      <c r="A1183" s="10">
        <v>45685</v>
      </c>
      <c r="B1183" t="s">
        <v>29</v>
      </c>
      <c r="C1183" t="s">
        <v>19</v>
      </c>
      <c r="D1183" t="s">
        <v>13</v>
      </c>
      <c r="E1183" t="s">
        <v>14</v>
      </c>
      <c r="F1183" t="s">
        <v>40</v>
      </c>
      <c r="G1183" t="s">
        <v>31</v>
      </c>
      <c r="H1183">
        <v>250000</v>
      </c>
      <c r="I1183">
        <v>3</v>
      </c>
      <c r="J1183" t="s">
        <v>24</v>
      </c>
      <c r="K1183">
        <v>200000</v>
      </c>
    </row>
    <row r="1184" spans="1:11" x14ac:dyDescent="0.25">
      <c r="A1184" s="10">
        <v>45740</v>
      </c>
      <c r="B1184" t="s">
        <v>18</v>
      </c>
      <c r="C1184" t="s">
        <v>26</v>
      </c>
      <c r="D1184" t="s">
        <v>23</v>
      </c>
      <c r="E1184" t="s">
        <v>20</v>
      </c>
      <c r="F1184" t="s">
        <v>15</v>
      </c>
      <c r="G1184" t="s">
        <v>16</v>
      </c>
      <c r="H1184">
        <v>85000</v>
      </c>
      <c r="I1184">
        <v>8</v>
      </c>
      <c r="J1184" t="s">
        <v>28</v>
      </c>
      <c r="K1184">
        <v>68000</v>
      </c>
    </row>
    <row r="1185" spans="1:11" x14ac:dyDescent="0.25">
      <c r="A1185" s="10">
        <v>45688</v>
      </c>
      <c r="B1185" t="s">
        <v>25</v>
      </c>
      <c r="C1185" t="s">
        <v>12</v>
      </c>
      <c r="D1185" t="s">
        <v>23</v>
      </c>
      <c r="E1185" t="s">
        <v>14</v>
      </c>
      <c r="F1185" t="s">
        <v>27</v>
      </c>
      <c r="G1185" t="s">
        <v>22</v>
      </c>
      <c r="H1185">
        <v>60000</v>
      </c>
      <c r="I1185">
        <v>8</v>
      </c>
      <c r="J1185" t="s">
        <v>37</v>
      </c>
      <c r="K1185">
        <v>48000</v>
      </c>
    </row>
    <row r="1186" spans="1:11" x14ac:dyDescent="0.25">
      <c r="A1186" s="10">
        <v>45728</v>
      </c>
      <c r="B1186" t="s">
        <v>25</v>
      </c>
      <c r="C1186" t="s">
        <v>12</v>
      </c>
      <c r="D1186" t="s">
        <v>23</v>
      </c>
      <c r="E1186" t="s">
        <v>20</v>
      </c>
      <c r="F1186" t="s">
        <v>36</v>
      </c>
      <c r="G1186" t="s">
        <v>31</v>
      </c>
      <c r="H1186">
        <v>150000</v>
      </c>
      <c r="I1186">
        <v>5</v>
      </c>
      <c r="J1186" t="s">
        <v>17</v>
      </c>
      <c r="K1186">
        <v>120000</v>
      </c>
    </row>
    <row r="1187" spans="1:11" x14ac:dyDescent="0.25">
      <c r="A1187" s="10">
        <v>45723</v>
      </c>
      <c r="B1187" t="s">
        <v>29</v>
      </c>
      <c r="C1187" t="s">
        <v>12</v>
      </c>
      <c r="D1187" t="s">
        <v>23</v>
      </c>
      <c r="E1187" t="s">
        <v>14</v>
      </c>
      <c r="F1187" t="s">
        <v>34</v>
      </c>
      <c r="G1187" t="s">
        <v>16</v>
      </c>
      <c r="H1187">
        <v>320000</v>
      </c>
      <c r="I1187">
        <v>9</v>
      </c>
      <c r="J1187" t="s">
        <v>35</v>
      </c>
      <c r="K1187">
        <v>256000</v>
      </c>
    </row>
    <row r="1188" spans="1:11" x14ac:dyDescent="0.25">
      <c r="A1188" s="10">
        <v>45701</v>
      </c>
      <c r="B1188" t="s">
        <v>29</v>
      </c>
      <c r="C1188" t="s">
        <v>32</v>
      </c>
      <c r="D1188" t="s">
        <v>23</v>
      </c>
      <c r="E1188" t="s">
        <v>14</v>
      </c>
      <c r="F1188" t="s">
        <v>38</v>
      </c>
      <c r="G1188" t="s">
        <v>31</v>
      </c>
      <c r="H1188">
        <v>420000</v>
      </c>
      <c r="I1188">
        <v>7</v>
      </c>
      <c r="J1188" t="s">
        <v>17</v>
      </c>
      <c r="K1188">
        <v>336000</v>
      </c>
    </row>
    <row r="1189" spans="1:11" x14ac:dyDescent="0.25">
      <c r="A1189" s="10">
        <v>45763</v>
      </c>
      <c r="B1189" t="s">
        <v>25</v>
      </c>
      <c r="C1189" t="s">
        <v>26</v>
      </c>
      <c r="D1189" t="s">
        <v>23</v>
      </c>
      <c r="E1189" t="s">
        <v>20</v>
      </c>
      <c r="F1189" t="s">
        <v>27</v>
      </c>
      <c r="G1189" t="s">
        <v>22</v>
      </c>
      <c r="H1189">
        <v>60000</v>
      </c>
      <c r="I1189">
        <v>6</v>
      </c>
      <c r="J1189" t="s">
        <v>37</v>
      </c>
      <c r="K1189">
        <v>48000</v>
      </c>
    </row>
    <row r="1190" spans="1:11" x14ac:dyDescent="0.25">
      <c r="A1190" s="10">
        <v>45726</v>
      </c>
      <c r="B1190" t="s">
        <v>29</v>
      </c>
      <c r="C1190" t="s">
        <v>12</v>
      </c>
      <c r="D1190" t="s">
        <v>13</v>
      </c>
      <c r="E1190" t="s">
        <v>20</v>
      </c>
      <c r="F1190" t="s">
        <v>36</v>
      </c>
      <c r="G1190" t="s">
        <v>31</v>
      </c>
      <c r="H1190">
        <v>150000</v>
      </c>
      <c r="I1190">
        <v>7</v>
      </c>
      <c r="J1190" t="s">
        <v>39</v>
      </c>
      <c r="K1190">
        <v>120000</v>
      </c>
    </row>
    <row r="1191" spans="1:11" x14ac:dyDescent="0.25">
      <c r="A1191" s="10">
        <v>45731</v>
      </c>
      <c r="B1191" t="s">
        <v>18</v>
      </c>
      <c r="C1191" t="s">
        <v>26</v>
      </c>
      <c r="D1191" t="s">
        <v>13</v>
      </c>
      <c r="E1191" t="s">
        <v>20</v>
      </c>
      <c r="F1191" t="s">
        <v>34</v>
      </c>
      <c r="G1191" t="s">
        <v>16</v>
      </c>
      <c r="H1191">
        <v>320000</v>
      </c>
      <c r="I1191">
        <v>10</v>
      </c>
      <c r="J1191" t="s">
        <v>28</v>
      </c>
      <c r="K1191">
        <v>256000</v>
      </c>
    </row>
    <row r="1192" spans="1:11" x14ac:dyDescent="0.25">
      <c r="A1192" s="10">
        <v>45732</v>
      </c>
      <c r="B1192" t="s">
        <v>18</v>
      </c>
      <c r="C1192" t="s">
        <v>12</v>
      </c>
      <c r="D1192" t="s">
        <v>23</v>
      </c>
      <c r="E1192" t="s">
        <v>14</v>
      </c>
      <c r="F1192" t="s">
        <v>30</v>
      </c>
      <c r="G1192" t="s">
        <v>31</v>
      </c>
      <c r="H1192">
        <v>300000</v>
      </c>
      <c r="I1192">
        <v>8</v>
      </c>
      <c r="J1192" t="s">
        <v>24</v>
      </c>
      <c r="K1192">
        <v>240000</v>
      </c>
    </row>
    <row r="1193" spans="1:11" x14ac:dyDescent="0.25">
      <c r="A1193" s="10">
        <v>45672</v>
      </c>
      <c r="B1193" t="s">
        <v>11</v>
      </c>
      <c r="C1193" t="s">
        <v>12</v>
      </c>
      <c r="D1193" t="s">
        <v>13</v>
      </c>
      <c r="E1193" t="s">
        <v>14</v>
      </c>
      <c r="F1193" t="s">
        <v>38</v>
      </c>
      <c r="G1193" t="s">
        <v>31</v>
      </c>
      <c r="H1193">
        <v>420000</v>
      </c>
      <c r="I1193">
        <v>5</v>
      </c>
      <c r="J1193" t="s">
        <v>35</v>
      </c>
      <c r="K1193">
        <v>336000</v>
      </c>
    </row>
    <row r="1194" spans="1:11" x14ac:dyDescent="0.25">
      <c r="A1194" s="10">
        <v>45773</v>
      </c>
      <c r="B1194" t="s">
        <v>18</v>
      </c>
      <c r="C1194" t="s">
        <v>26</v>
      </c>
      <c r="D1194" t="s">
        <v>13</v>
      </c>
      <c r="E1194" t="s">
        <v>20</v>
      </c>
      <c r="F1194" t="s">
        <v>41</v>
      </c>
      <c r="G1194" t="s">
        <v>22</v>
      </c>
      <c r="H1194">
        <v>220000</v>
      </c>
      <c r="I1194">
        <v>5</v>
      </c>
      <c r="J1194" t="s">
        <v>17</v>
      </c>
      <c r="K1194">
        <v>176000</v>
      </c>
    </row>
    <row r="1195" spans="1:11" x14ac:dyDescent="0.25">
      <c r="A1195" s="10">
        <v>45753</v>
      </c>
      <c r="B1195" t="s">
        <v>11</v>
      </c>
      <c r="C1195" t="s">
        <v>12</v>
      </c>
      <c r="D1195" t="s">
        <v>23</v>
      </c>
      <c r="E1195" t="s">
        <v>20</v>
      </c>
      <c r="F1195" t="s">
        <v>34</v>
      </c>
      <c r="G1195" t="s">
        <v>16</v>
      </c>
      <c r="H1195">
        <v>320000</v>
      </c>
      <c r="I1195">
        <v>3</v>
      </c>
      <c r="J1195" t="s">
        <v>24</v>
      </c>
      <c r="K1195">
        <v>256000</v>
      </c>
    </row>
    <row r="1196" spans="1:11" x14ac:dyDescent="0.25">
      <c r="A1196" s="10">
        <v>45763</v>
      </c>
      <c r="B1196" t="s">
        <v>18</v>
      </c>
      <c r="C1196" t="s">
        <v>12</v>
      </c>
      <c r="D1196" t="s">
        <v>13</v>
      </c>
      <c r="E1196" t="s">
        <v>14</v>
      </c>
      <c r="F1196" t="s">
        <v>33</v>
      </c>
      <c r="G1196" t="s">
        <v>22</v>
      </c>
      <c r="H1196">
        <v>180000</v>
      </c>
      <c r="I1196">
        <v>9</v>
      </c>
      <c r="J1196" t="s">
        <v>39</v>
      </c>
      <c r="K1196">
        <v>144000</v>
      </c>
    </row>
    <row r="1197" spans="1:11" x14ac:dyDescent="0.25">
      <c r="A1197" s="10">
        <v>45746</v>
      </c>
      <c r="B1197" t="s">
        <v>29</v>
      </c>
      <c r="C1197" t="s">
        <v>12</v>
      </c>
      <c r="D1197" t="s">
        <v>13</v>
      </c>
      <c r="E1197" t="s">
        <v>14</v>
      </c>
      <c r="F1197" t="s">
        <v>30</v>
      </c>
      <c r="G1197" t="s">
        <v>31</v>
      </c>
      <c r="H1197">
        <v>300000</v>
      </c>
      <c r="I1197">
        <v>1</v>
      </c>
      <c r="J1197" t="s">
        <v>39</v>
      </c>
      <c r="K1197">
        <v>240000</v>
      </c>
    </row>
    <row r="1198" spans="1:11" x14ac:dyDescent="0.25">
      <c r="A1198" s="10">
        <v>45750</v>
      </c>
      <c r="B1198" t="s">
        <v>29</v>
      </c>
      <c r="C1198" t="s">
        <v>26</v>
      </c>
      <c r="D1198" t="s">
        <v>13</v>
      </c>
      <c r="E1198" t="s">
        <v>20</v>
      </c>
      <c r="F1198" t="s">
        <v>41</v>
      </c>
      <c r="G1198" t="s">
        <v>22</v>
      </c>
      <c r="H1198">
        <v>220000</v>
      </c>
      <c r="I1198">
        <v>7</v>
      </c>
      <c r="J1198" t="s">
        <v>39</v>
      </c>
      <c r="K1198">
        <v>176000</v>
      </c>
    </row>
    <row r="1199" spans="1:11" x14ac:dyDescent="0.25">
      <c r="A1199" s="10">
        <v>45741</v>
      </c>
      <c r="B1199" t="s">
        <v>18</v>
      </c>
      <c r="C1199" t="s">
        <v>19</v>
      </c>
      <c r="D1199" t="s">
        <v>23</v>
      </c>
      <c r="E1199" t="s">
        <v>20</v>
      </c>
      <c r="F1199" t="s">
        <v>15</v>
      </c>
      <c r="G1199" t="s">
        <v>16</v>
      </c>
      <c r="H1199">
        <v>85000</v>
      </c>
      <c r="I1199">
        <v>9</v>
      </c>
      <c r="J1199" t="s">
        <v>24</v>
      </c>
      <c r="K1199">
        <v>68000</v>
      </c>
    </row>
    <row r="1200" spans="1:11" x14ac:dyDescent="0.25">
      <c r="A1200" s="10">
        <v>45695</v>
      </c>
      <c r="B1200" t="s">
        <v>18</v>
      </c>
      <c r="C1200" t="s">
        <v>19</v>
      </c>
      <c r="D1200" t="s">
        <v>13</v>
      </c>
      <c r="E1200" t="s">
        <v>14</v>
      </c>
      <c r="F1200" t="s">
        <v>15</v>
      </c>
      <c r="G1200" t="s">
        <v>16</v>
      </c>
      <c r="H1200">
        <v>85000</v>
      </c>
      <c r="I1200">
        <v>4</v>
      </c>
      <c r="J1200" t="s">
        <v>28</v>
      </c>
      <c r="K1200">
        <v>68000</v>
      </c>
    </row>
    <row r="1201" spans="1:11" x14ac:dyDescent="0.25">
      <c r="A1201" s="10">
        <v>45746</v>
      </c>
      <c r="B1201" t="s">
        <v>18</v>
      </c>
      <c r="C1201" t="s">
        <v>32</v>
      </c>
      <c r="D1201" t="s">
        <v>13</v>
      </c>
      <c r="E1201" t="s">
        <v>20</v>
      </c>
      <c r="F1201" t="s">
        <v>27</v>
      </c>
      <c r="G1201" t="s">
        <v>22</v>
      </c>
      <c r="H1201">
        <v>60000</v>
      </c>
      <c r="I1201">
        <v>8</v>
      </c>
      <c r="J1201" t="s">
        <v>28</v>
      </c>
      <c r="K1201">
        <v>48000</v>
      </c>
    </row>
    <row r="1202" spans="1:11" x14ac:dyDescent="0.25">
      <c r="A1202" s="10">
        <v>45681</v>
      </c>
      <c r="B1202" t="s">
        <v>25</v>
      </c>
      <c r="C1202" t="s">
        <v>19</v>
      </c>
      <c r="D1202" t="s">
        <v>23</v>
      </c>
      <c r="E1202" t="s">
        <v>20</v>
      </c>
      <c r="F1202" t="s">
        <v>36</v>
      </c>
      <c r="G1202" t="s">
        <v>31</v>
      </c>
      <c r="H1202">
        <v>150000</v>
      </c>
      <c r="I1202">
        <v>6</v>
      </c>
      <c r="J1202" t="s">
        <v>35</v>
      </c>
      <c r="K1202">
        <v>120000</v>
      </c>
    </row>
    <row r="1203" spans="1:11" x14ac:dyDescent="0.25">
      <c r="A1203" s="10">
        <v>45749</v>
      </c>
      <c r="B1203" t="s">
        <v>18</v>
      </c>
      <c r="C1203" t="s">
        <v>26</v>
      </c>
      <c r="D1203" t="s">
        <v>23</v>
      </c>
      <c r="E1203" t="s">
        <v>14</v>
      </c>
      <c r="F1203" t="s">
        <v>15</v>
      </c>
      <c r="G1203" t="s">
        <v>16</v>
      </c>
      <c r="H1203">
        <v>85000</v>
      </c>
      <c r="I1203">
        <v>10</v>
      </c>
      <c r="J1203" t="s">
        <v>28</v>
      </c>
      <c r="K1203">
        <v>68000</v>
      </c>
    </row>
    <row r="1204" spans="1:11" x14ac:dyDescent="0.25">
      <c r="A1204" s="10">
        <v>45759</v>
      </c>
      <c r="B1204" t="s">
        <v>11</v>
      </c>
      <c r="C1204" t="s">
        <v>19</v>
      </c>
      <c r="D1204" t="s">
        <v>23</v>
      </c>
      <c r="E1204" t="s">
        <v>20</v>
      </c>
      <c r="F1204" t="s">
        <v>15</v>
      </c>
      <c r="G1204" t="s">
        <v>16</v>
      </c>
      <c r="H1204">
        <v>85000</v>
      </c>
      <c r="I1204">
        <v>3</v>
      </c>
      <c r="J1204" t="s">
        <v>39</v>
      </c>
      <c r="K1204">
        <v>68000</v>
      </c>
    </row>
    <row r="1205" spans="1:11" x14ac:dyDescent="0.25">
      <c r="A1205" s="10">
        <v>45742</v>
      </c>
      <c r="B1205" t="s">
        <v>11</v>
      </c>
      <c r="C1205" t="s">
        <v>26</v>
      </c>
      <c r="D1205" t="s">
        <v>23</v>
      </c>
      <c r="E1205" t="s">
        <v>14</v>
      </c>
      <c r="F1205" t="s">
        <v>30</v>
      </c>
      <c r="G1205" t="s">
        <v>31</v>
      </c>
      <c r="H1205">
        <v>300000</v>
      </c>
      <c r="I1205">
        <v>8</v>
      </c>
      <c r="J1205" t="s">
        <v>35</v>
      </c>
      <c r="K1205">
        <v>240000</v>
      </c>
    </row>
    <row r="1206" spans="1:11" x14ac:dyDescent="0.25">
      <c r="A1206" s="10">
        <v>45713</v>
      </c>
      <c r="B1206" t="s">
        <v>11</v>
      </c>
      <c r="C1206" t="s">
        <v>12</v>
      </c>
      <c r="D1206" t="s">
        <v>23</v>
      </c>
      <c r="E1206" t="s">
        <v>14</v>
      </c>
      <c r="F1206" t="s">
        <v>38</v>
      </c>
      <c r="G1206" t="s">
        <v>31</v>
      </c>
      <c r="H1206">
        <v>420000</v>
      </c>
      <c r="I1206">
        <v>6</v>
      </c>
      <c r="J1206" t="s">
        <v>37</v>
      </c>
      <c r="K1206">
        <v>336000</v>
      </c>
    </row>
    <row r="1207" spans="1:11" x14ac:dyDescent="0.25">
      <c r="A1207" s="10">
        <v>45675</v>
      </c>
      <c r="B1207" t="s">
        <v>25</v>
      </c>
      <c r="C1207" t="s">
        <v>26</v>
      </c>
      <c r="D1207" t="s">
        <v>23</v>
      </c>
      <c r="E1207" t="s">
        <v>14</v>
      </c>
      <c r="F1207" t="s">
        <v>40</v>
      </c>
      <c r="G1207" t="s">
        <v>31</v>
      </c>
      <c r="H1207">
        <v>250000</v>
      </c>
      <c r="I1207">
        <v>3</v>
      </c>
      <c r="J1207" t="s">
        <v>24</v>
      </c>
      <c r="K1207">
        <v>200000</v>
      </c>
    </row>
    <row r="1208" spans="1:11" x14ac:dyDescent="0.25">
      <c r="A1208" s="10">
        <v>45727</v>
      </c>
      <c r="B1208" t="s">
        <v>11</v>
      </c>
      <c r="C1208" t="s">
        <v>32</v>
      </c>
      <c r="D1208" t="s">
        <v>13</v>
      </c>
      <c r="E1208" t="s">
        <v>20</v>
      </c>
      <c r="F1208" t="s">
        <v>40</v>
      </c>
      <c r="G1208" t="s">
        <v>31</v>
      </c>
      <c r="H1208">
        <v>250000</v>
      </c>
      <c r="I1208">
        <v>8</v>
      </c>
      <c r="J1208" t="s">
        <v>28</v>
      </c>
      <c r="K1208">
        <v>200000</v>
      </c>
    </row>
    <row r="1209" spans="1:11" x14ac:dyDescent="0.25">
      <c r="A1209" s="10">
        <v>45665</v>
      </c>
      <c r="B1209" t="s">
        <v>29</v>
      </c>
      <c r="C1209" t="s">
        <v>19</v>
      </c>
      <c r="D1209" t="s">
        <v>23</v>
      </c>
      <c r="E1209" t="s">
        <v>14</v>
      </c>
      <c r="F1209" t="s">
        <v>15</v>
      </c>
      <c r="G1209" t="s">
        <v>16</v>
      </c>
      <c r="H1209">
        <v>85000</v>
      </c>
      <c r="I1209">
        <v>3</v>
      </c>
      <c r="J1209" t="s">
        <v>28</v>
      </c>
      <c r="K1209">
        <v>68000</v>
      </c>
    </row>
    <row r="1210" spans="1:11" x14ac:dyDescent="0.25">
      <c r="A1210" s="10">
        <v>45743</v>
      </c>
      <c r="B1210" t="s">
        <v>29</v>
      </c>
      <c r="C1210" t="s">
        <v>32</v>
      </c>
      <c r="D1210" t="s">
        <v>23</v>
      </c>
      <c r="E1210" t="s">
        <v>14</v>
      </c>
      <c r="F1210" t="s">
        <v>21</v>
      </c>
      <c r="G1210" t="s">
        <v>22</v>
      </c>
      <c r="H1210">
        <v>30000</v>
      </c>
      <c r="I1210">
        <v>7</v>
      </c>
      <c r="J1210" t="s">
        <v>28</v>
      </c>
      <c r="K1210">
        <v>24000</v>
      </c>
    </row>
    <row r="1211" spans="1:11" x14ac:dyDescent="0.25">
      <c r="A1211" s="10">
        <v>45673</v>
      </c>
      <c r="B1211" t="s">
        <v>18</v>
      </c>
      <c r="C1211" t="s">
        <v>26</v>
      </c>
      <c r="D1211" t="s">
        <v>13</v>
      </c>
      <c r="E1211" t="s">
        <v>20</v>
      </c>
      <c r="F1211" t="s">
        <v>27</v>
      </c>
      <c r="G1211" t="s">
        <v>22</v>
      </c>
      <c r="H1211">
        <v>60000</v>
      </c>
      <c r="I1211">
        <v>7</v>
      </c>
      <c r="J1211" t="s">
        <v>35</v>
      </c>
      <c r="K1211">
        <v>48000</v>
      </c>
    </row>
    <row r="1212" spans="1:11" x14ac:dyDescent="0.25">
      <c r="A1212" s="10">
        <v>45664</v>
      </c>
      <c r="B1212" t="s">
        <v>25</v>
      </c>
      <c r="C1212" t="s">
        <v>12</v>
      </c>
      <c r="D1212" t="s">
        <v>13</v>
      </c>
      <c r="E1212" t="s">
        <v>20</v>
      </c>
      <c r="F1212" t="s">
        <v>41</v>
      </c>
      <c r="G1212" t="s">
        <v>22</v>
      </c>
      <c r="H1212">
        <v>220000</v>
      </c>
      <c r="I1212">
        <v>10</v>
      </c>
      <c r="J1212" t="s">
        <v>24</v>
      </c>
      <c r="K1212">
        <v>176000</v>
      </c>
    </row>
    <row r="1213" spans="1:11" x14ac:dyDescent="0.25">
      <c r="A1213" s="10">
        <v>45749</v>
      </c>
      <c r="B1213" t="s">
        <v>25</v>
      </c>
      <c r="C1213" t="s">
        <v>19</v>
      </c>
      <c r="D1213" t="s">
        <v>13</v>
      </c>
      <c r="E1213" t="s">
        <v>20</v>
      </c>
      <c r="F1213" t="s">
        <v>40</v>
      </c>
      <c r="G1213" t="s">
        <v>31</v>
      </c>
      <c r="H1213">
        <v>250000</v>
      </c>
      <c r="I1213">
        <v>5</v>
      </c>
      <c r="J1213" t="s">
        <v>39</v>
      </c>
      <c r="K1213">
        <v>200000</v>
      </c>
    </row>
    <row r="1214" spans="1:11" x14ac:dyDescent="0.25">
      <c r="A1214" s="10">
        <v>45756</v>
      </c>
      <c r="B1214" t="s">
        <v>25</v>
      </c>
      <c r="C1214" t="s">
        <v>32</v>
      </c>
      <c r="D1214" t="s">
        <v>13</v>
      </c>
      <c r="E1214" t="s">
        <v>14</v>
      </c>
      <c r="F1214" t="s">
        <v>15</v>
      </c>
      <c r="G1214" t="s">
        <v>16</v>
      </c>
      <c r="H1214">
        <v>85000</v>
      </c>
      <c r="I1214">
        <v>7</v>
      </c>
      <c r="J1214" t="s">
        <v>39</v>
      </c>
      <c r="K1214">
        <v>68000</v>
      </c>
    </row>
    <row r="1215" spans="1:11" x14ac:dyDescent="0.25">
      <c r="A1215" s="10">
        <v>45777</v>
      </c>
      <c r="B1215" t="s">
        <v>11</v>
      </c>
      <c r="C1215" t="s">
        <v>19</v>
      </c>
      <c r="D1215" t="s">
        <v>23</v>
      </c>
      <c r="E1215" t="s">
        <v>14</v>
      </c>
      <c r="F1215" t="s">
        <v>36</v>
      </c>
      <c r="G1215" t="s">
        <v>31</v>
      </c>
      <c r="H1215">
        <v>150000</v>
      </c>
      <c r="I1215">
        <v>4</v>
      </c>
      <c r="J1215" t="s">
        <v>28</v>
      </c>
      <c r="K1215">
        <v>120000</v>
      </c>
    </row>
    <row r="1216" spans="1:11" x14ac:dyDescent="0.25">
      <c r="A1216" s="10">
        <v>45749</v>
      </c>
      <c r="B1216" t="s">
        <v>25</v>
      </c>
      <c r="C1216" t="s">
        <v>32</v>
      </c>
      <c r="D1216" t="s">
        <v>13</v>
      </c>
      <c r="E1216" t="s">
        <v>14</v>
      </c>
      <c r="F1216" t="s">
        <v>38</v>
      </c>
      <c r="G1216" t="s">
        <v>31</v>
      </c>
      <c r="H1216">
        <v>420000</v>
      </c>
      <c r="I1216">
        <v>5</v>
      </c>
      <c r="J1216" t="s">
        <v>24</v>
      </c>
      <c r="K1216">
        <v>336000</v>
      </c>
    </row>
    <row r="1217" spans="1:11" x14ac:dyDescent="0.25">
      <c r="A1217" s="10">
        <v>45703</v>
      </c>
      <c r="B1217" t="s">
        <v>18</v>
      </c>
      <c r="C1217" t="s">
        <v>26</v>
      </c>
      <c r="D1217" t="s">
        <v>13</v>
      </c>
      <c r="E1217" t="s">
        <v>14</v>
      </c>
      <c r="F1217" t="s">
        <v>27</v>
      </c>
      <c r="G1217" t="s">
        <v>22</v>
      </c>
      <c r="H1217">
        <v>60000</v>
      </c>
      <c r="I1217">
        <v>5</v>
      </c>
      <c r="J1217" t="s">
        <v>17</v>
      </c>
      <c r="K1217">
        <v>48000</v>
      </c>
    </row>
    <row r="1218" spans="1:11" x14ac:dyDescent="0.25">
      <c r="A1218" s="10">
        <v>45706</v>
      </c>
      <c r="B1218" t="s">
        <v>25</v>
      </c>
      <c r="C1218" t="s">
        <v>12</v>
      </c>
      <c r="D1218" t="s">
        <v>23</v>
      </c>
      <c r="E1218" t="s">
        <v>14</v>
      </c>
      <c r="F1218" t="s">
        <v>40</v>
      </c>
      <c r="G1218" t="s">
        <v>31</v>
      </c>
      <c r="H1218">
        <v>250000</v>
      </c>
      <c r="I1218">
        <v>10</v>
      </c>
      <c r="J1218" t="s">
        <v>24</v>
      </c>
      <c r="K1218">
        <v>200000</v>
      </c>
    </row>
    <row r="1219" spans="1:11" x14ac:dyDescent="0.25">
      <c r="A1219" s="10">
        <v>45749</v>
      </c>
      <c r="B1219" t="s">
        <v>11</v>
      </c>
      <c r="C1219" t="s">
        <v>19</v>
      </c>
      <c r="D1219" t="s">
        <v>13</v>
      </c>
      <c r="E1219" t="s">
        <v>14</v>
      </c>
      <c r="F1219" t="s">
        <v>27</v>
      </c>
      <c r="G1219" t="s">
        <v>22</v>
      </c>
      <c r="H1219">
        <v>60000</v>
      </c>
      <c r="I1219">
        <v>3</v>
      </c>
      <c r="J1219" t="s">
        <v>24</v>
      </c>
      <c r="K1219">
        <v>48000</v>
      </c>
    </row>
    <row r="1220" spans="1:11" x14ac:dyDescent="0.25">
      <c r="A1220" s="10">
        <v>45669</v>
      </c>
      <c r="B1220" t="s">
        <v>11</v>
      </c>
      <c r="C1220" t="s">
        <v>32</v>
      </c>
      <c r="D1220" t="s">
        <v>23</v>
      </c>
      <c r="E1220" t="s">
        <v>14</v>
      </c>
      <c r="F1220" t="s">
        <v>41</v>
      </c>
      <c r="G1220" t="s">
        <v>22</v>
      </c>
      <c r="H1220">
        <v>220000</v>
      </c>
      <c r="I1220">
        <v>5</v>
      </c>
      <c r="J1220" t="s">
        <v>37</v>
      </c>
      <c r="K1220">
        <v>176000</v>
      </c>
    </row>
    <row r="1221" spans="1:11" x14ac:dyDescent="0.25">
      <c r="A1221" s="10">
        <v>45767</v>
      </c>
      <c r="B1221" t="s">
        <v>25</v>
      </c>
      <c r="C1221" t="s">
        <v>12</v>
      </c>
      <c r="D1221" t="s">
        <v>23</v>
      </c>
      <c r="E1221" t="s">
        <v>20</v>
      </c>
      <c r="F1221" t="s">
        <v>38</v>
      </c>
      <c r="G1221" t="s">
        <v>31</v>
      </c>
      <c r="H1221">
        <v>420000</v>
      </c>
      <c r="I1221">
        <v>3</v>
      </c>
      <c r="J1221" t="s">
        <v>28</v>
      </c>
      <c r="K1221">
        <v>336000</v>
      </c>
    </row>
    <row r="1222" spans="1:11" x14ac:dyDescent="0.25">
      <c r="A1222" s="10">
        <v>45733</v>
      </c>
      <c r="B1222" t="s">
        <v>11</v>
      </c>
      <c r="C1222" t="s">
        <v>19</v>
      </c>
      <c r="D1222" t="s">
        <v>23</v>
      </c>
      <c r="E1222" t="s">
        <v>20</v>
      </c>
      <c r="F1222" t="s">
        <v>27</v>
      </c>
      <c r="G1222" t="s">
        <v>22</v>
      </c>
      <c r="H1222">
        <v>60000</v>
      </c>
      <c r="I1222">
        <v>7</v>
      </c>
      <c r="J1222" t="s">
        <v>35</v>
      </c>
      <c r="K1222">
        <v>48000</v>
      </c>
    </row>
    <row r="1223" spans="1:11" x14ac:dyDescent="0.25">
      <c r="A1223" s="10">
        <v>45719</v>
      </c>
      <c r="B1223" t="s">
        <v>11</v>
      </c>
      <c r="C1223" t="s">
        <v>12</v>
      </c>
      <c r="D1223" t="s">
        <v>13</v>
      </c>
      <c r="E1223" t="s">
        <v>14</v>
      </c>
      <c r="F1223" t="s">
        <v>41</v>
      </c>
      <c r="G1223" t="s">
        <v>22</v>
      </c>
      <c r="H1223">
        <v>220000</v>
      </c>
      <c r="I1223">
        <v>8</v>
      </c>
      <c r="J1223" t="s">
        <v>28</v>
      </c>
      <c r="K1223">
        <v>176000</v>
      </c>
    </row>
    <row r="1224" spans="1:11" x14ac:dyDescent="0.25">
      <c r="A1224" s="10">
        <v>45778</v>
      </c>
      <c r="B1224" t="s">
        <v>11</v>
      </c>
      <c r="C1224" t="s">
        <v>32</v>
      </c>
      <c r="D1224" t="s">
        <v>23</v>
      </c>
      <c r="E1224" t="s">
        <v>20</v>
      </c>
      <c r="F1224" t="s">
        <v>40</v>
      </c>
      <c r="G1224" t="s">
        <v>31</v>
      </c>
      <c r="H1224">
        <v>250000</v>
      </c>
      <c r="I1224">
        <v>6</v>
      </c>
      <c r="J1224" t="s">
        <v>37</v>
      </c>
      <c r="K1224">
        <v>200000</v>
      </c>
    </row>
    <row r="1225" spans="1:11" x14ac:dyDescent="0.25">
      <c r="A1225" s="10">
        <v>45771</v>
      </c>
      <c r="B1225" t="s">
        <v>11</v>
      </c>
      <c r="C1225" t="s">
        <v>19</v>
      </c>
      <c r="D1225" t="s">
        <v>23</v>
      </c>
      <c r="E1225" t="s">
        <v>14</v>
      </c>
      <c r="F1225" t="s">
        <v>36</v>
      </c>
      <c r="G1225" t="s">
        <v>31</v>
      </c>
      <c r="H1225">
        <v>150000</v>
      </c>
      <c r="I1225">
        <v>5</v>
      </c>
      <c r="J1225" t="s">
        <v>28</v>
      </c>
      <c r="K1225">
        <v>120000</v>
      </c>
    </row>
    <row r="1226" spans="1:11" x14ac:dyDescent="0.25">
      <c r="A1226" s="10">
        <v>45677</v>
      </c>
      <c r="B1226" t="s">
        <v>29</v>
      </c>
      <c r="C1226" t="s">
        <v>19</v>
      </c>
      <c r="D1226" t="s">
        <v>23</v>
      </c>
      <c r="E1226" t="s">
        <v>14</v>
      </c>
      <c r="F1226" t="s">
        <v>15</v>
      </c>
      <c r="G1226" t="s">
        <v>16</v>
      </c>
      <c r="H1226">
        <v>85000</v>
      </c>
      <c r="I1226">
        <v>2</v>
      </c>
      <c r="J1226" t="s">
        <v>35</v>
      </c>
      <c r="K1226">
        <v>68000</v>
      </c>
    </row>
    <row r="1227" spans="1:11" x14ac:dyDescent="0.25">
      <c r="A1227" s="10">
        <v>45695</v>
      </c>
      <c r="B1227" t="s">
        <v>25</v>
      </c>
      <c r="C1227" t="s">
        <v>12</v>
      </c>
      <c r="D1227" t="s">
        <v>23</v>
      </c>
      <c r="E1227" t="s">
        <v>20</v>
      </c>
      <c r="F1227" t="s">
        <v>15</v>
      </c>
      <c r="G1227" t="s">
        <v>16</v>
      </c>
      <c r="H1227">
        <v>85000</v>
      </c>
      <c r="I1227">
        <v>6</v>
      </c>
      <c r="J1227" t="s">
        <v>24</v>
      </c>
      <c r="K1227">
        <v>68000</v>
      </c>
    </row>
    <row r="1228" spans="1:11" x14ac:dyDescent="0.25">
      <c r="A1228" s="10">
        <v>45661</v>
      </c>
      <c r="B1228" t="s">
        <v>11</v>
      </c>
      <c r="C1228" t="s">
        <v>32</v>
      </c>
      <c r="D1228" t="s">
        <v>23</v>
      </c>
      <c r="E1228" t="s">
        <v>14</v>
      </c>
      <c r="F1228" t="s">
        <v>36</v>
      </c>
      <c r="G1228" t="s">
        <v>31</v>
      </c>
      <c r="H1228">
        <v>150000</v>
      </c>
      <c r="I1228">
        <v>5</v>
      </c>
      <c r="J1228" t="s">
        <v>35</v>
      </c>
      <c r="K1228">
        <v>120000</v>
      </c>
    </row>
    <row r="1229" spans="1:11" x14ac:dyDescent="0.25">
      <c r="A1229" s="10">
        <v>45667</v>
      </c>
      <c r="B1229" t="s">
        <v>11</v>
      </c>
      <c r="C1229" t="s">
        <v>26</v>
      </c>
      <c r="D1229" t="s">
        <v>23</v>
      </c>
      <c r="E1229" t="s">
        <v>20</v>
      </c>
      <c r="F1229" t="s">
        <v>38</v>
      </c>
      <c r="G1229" t="s">
        <v>31</v>
      </c>
      <c r="H1229">
        <v>420000</v>
      </c>
      <c r="I1229">
        <v>4</v>
      </c>
      <c r="J1229" t="s">
        <v>37</v>
      </c>
      <c r="K1229">
        <v>336000</v>
      </c>
    </row>
    <row r="1230" spans="1:11" x14ac:dyDescent="0.25">
      <c r="A1230" s="10">
        <v>45761</v>
      </c>
      <c r="B1230" t="s">
        <v>18</v>
      </c>
      <c r="C1230" t="s">
        <v>26</v>
      </c>
      <c r="D1230" t="s">
        <v>23</v>
      </c>
      <c r="E1230" t="s">
        <v>20</v>
      </c>
      <c r="F1230" t="s">
        <v>30</v>
      </c>
      <c r="G1230" t="s">
        <v>31</v>
      </c>
      <c r="H1230">
        <v>300000</v>
      </c>
      <c r="I1230">
        <v>6</v>
      </c>
      <c r="J1230" t="s">
        <v>39</v>
      </c>
      <c r="K1230">
        <v>240000</v>
      </c>
    </row>
    <row r="1231" spans="1:11" x14ac:dyDescent="0.25">
      <c r="A1231" s="10">
        <v>45728</v>
      </c>
      <c r="B1231" t="s">
        <v>29</v>
      </c>
      <c r="C1231" t="s">
        <v>12</v>
      </c>
      <c r="D1231" t="s">
        <v>23</v>
      </c>
      <c r="E1231" t="s">
        <v>14</v>
      </c>
      <c r="F1231" t="s">
        <v>27</v>
      </c>
      <c r="G1231" t="s">
        <v>22</v>
      </c>
      <c r="H1231">
        <v>60000</v>
      </c>
      <c r="I1231">
        <v>2</v>
      </c>
      <c r="J1231" t="s">
        <v>37</v>
      </c>
      <c r="K1231">
        <v>48000</v>
      </c>
    </row>
    <row r="1232" spans="1:11" x14ac:dyDescent="0.25">
      <c r="A1232" s="10">
        <v>45677</v>
      </c>
      <c r="B1232" t="s">
        <v>29</v>
      </c>
      <c r="C1232" t="s">
        <v>32</v>
      </c>
      <c r="D1232" t="s">
        <v>23</v>
      </c>
      <c r="E1232" t="s">
        <v>14</v>
      </c>
      <c r="F1232" t="s">
        <v>15</v>
      </c>
      <c r="G1232" t="s">
        <v>16</v>
      </c>
      <c r="H1232">
        <v>85000</v>
      </c>
      <c r="I1232">
        <v>5</v>
      </c>
      <c r="J1232" t="s">
        <v>35</v>
      </c>
      <c r="K1232">
        <v>68000</v>
      </c>
    </row>
    <row r="1233" spans="1:11" x14ac:dyDescent="0.25">
      <c r="A1233" s="10">
        <v>45770</v>
      </c>
      <c r="B1233" t="s">
        <v>11</v>
      </c>
      <c r="C1233" t="s">
        <v>32</v>
      </c>
      <c r="D1233" t="s">
        <v>13</v>
      </c>
      <c r="E1233" t="s">
        <v>20</v>
      </c>
      <c r="F1233" t="s">
        <v>27</v>
      </c>
      <c r="G1233" t="s">
        <v>22</v>
      </c>
      <c r="H1233">
        <v>60000</v>
      </c>
      <c r="I1233">
        <v>3</v>
      </c>
      <c r="J1233" t="s">
        <v>24</v>
      </c>
      <c r="K1233">
        <v>48000</v>
      </c>
    </row>
    <row r="1234" spans="1:11" x14ac:dyDescent="0.25">
      <c r="A1234" s="10">
        <v>45700</v>
      </c>
      <c r="B1234" t="s">
        <v>29</v>
      </c>
      <c r="C1234" t="s">
        <v>32</v>
      </c>
      <c r="D1234" t="s">
        <v>23</v>
      </c>
      <c r="E1234" t="s">
        <v>14</v>
      </c>
      <c r="F1234" t="s">
        <v>15</v>
      </c>
      <c r="G1234" t="s">
        <v>16</v>
      </c>
      <c r="H1234">
        <v>85000</v>
      </c>
      <c r="I1234">
        <v>7</v>
      </c>
      <c r="J1234" t="s">
        <v>35</v>
      </c>
      <c r="K1234">
        <v>68000</v>
      </c>
    </row>
    <row r="1235" spans="1:11" x14ac:dyDescent="0.25">
      <c r="A1235" s="10">
        <v>45751</v>
      </c>
      <c r="B1235" t="s">
        <v>29</v>
      </c>
      <c r="C1235" t="s">
        <v>19</v>
      </c>
      <c r="D1235" t="s">
        <v>23</v>
      </c>
      <c r="E1235" t="s">
        <v>14</v>
      </c>
      <c r="F1235" t="s">
        <v>33</v>
      </c>
      <c r="G1235" t="s">
        <v>22</v>
      </c>
      <c r="H1235">
        <v>180000</v>
      </c>
      <c r="I1235">
        <v>5</v>
      </c>
      <c r="J1235" t="s">
        <v>39</v>
      </c>
      <c r="K1235">
        <v>144000</v>
      </c>
    </row>
    <row r="1236" spans="1:11" x14ac:dyDescent="0.25">
      <c r="A1236" s="10">
        <v>45739</v>
      </c>
      <c r="B1236" t="s">
        <v>18</v>
      </c>
      <c r="C1236" t="s">
        <v>19</v>
      </c>
      <c r="D1236" t="s">
        <v>13</v>
      </c>
      <c r="E1236" t="s">
        <v>14</v>
      </c>
      <c r="F1236" t="s">
        <v>38</v>
      </c>
      <c r="G1236" t="s">
        <v>31</v>
      </c>
      <c r="H1236">
        <v>420000</v>
      </c>
      <c r="I1236">
        <v>5</v>
      </c>
      <c r="J1236" t="s">
        <v>28</v>
      </c>
      <c r="K1236">
        <v>336000</v>
      </c>
    </row>
    <row r="1237" spans="1:11" x14ac:dyDescent="0.25">
      <c r="A1237" s="10">
        <v>45757</v>
      </c>
      <c r="B1237" t="s">
        <v>18</v>
      </c>
      <c r="C1237" t="s">
        <v>32</v>
      </c>
      <c r="D1237" t="s">
        <v>23</v>
      </c>
      <c r="E1237" t="s">
        <v>20</v>
      </c>
      <c r="F1237" t="s">
        <v>15</v>
      </c>
      <c r="G1237" t="s">
        <v>16</v>
      </c>
      <c r="H1237">
        <v>85000</v>
      </c>
      <c r="I1237">
        <v>6</v>
      </c>
      <c r="J1237" t="s">
        <v>28</v>
      </c>
      <c r="K1237">
        <v>68000</v>
      </c>
    </row>
    <row r="1238" spans="1:11" x14ac:dyDescent="0.25">
      <c r="A1238" s="10">
        <v>45721</v>
      </c>
      <c r="B1238" t="s">
        <v>29</v>
      </c>
      <c r="C1238" t="s">
        <v>12</v>
      </c>
      <c r="D1238" t="s">
        <v>13</v>
      </c>
      <c r="E1238" t="s">
        <v>20</v>
      </c>
      <c r="F1238" t="s">
        <v>38</v>
      </c>
      <c r="G1238" t="s">
        <v>31</v>
      </c>
      <c r="H1238">
        <v>420000</v>
      </c>
      <c r="I1238">
        <v>7</v>
      </c>
      <c r="J1238" t="s">
        <v>17</v>
      </c>
      <c r="K1238">
        <v>336000</v>
      </c>
    </row>
    <row r="1239" spans="1:11" x14ac:dyDescent="0.25">
      <c r="A1239" s="10">
        <v>45690</v>
      </c>
      <c r="B1239" t="s">
        <v>25</v>
      </c>
      <c r="C1239" t="s">
        <v>32</v>
      </c>
      <c r="D1239" t="s">
        <v>23</v>
      </c>
      <c r="E1239" t="s">
        <v>14</v>
      </c>
      <c r="F1239" t="s">
        <v>38</v>
      </c>
      <c r="G1239" t="s">
        <v>31</v>
      </c>
      <c r="H1239">
        <v>420000</v>
      </c>
      <c r="I1239">
        <v>9</v>
      </c>
      <c r="J1239" t="s">
        <v>39</v>
      </c>
      <c r="K1239">
        <v>336000</v>
      </c>
    </row>
    <row r="1240" spans="1:11" x14ac:dyDescent="0.25">
      <c r="A1240" s="10">
        <v>45706</v>
      </c>
      <c r="B1240" t="s">
        <v>11</v>
      </c>
      <c r="C1240" t="s">
        <v>19</v>
      </c>
      <c r="D1240" t="s">
        <v>23</v>
      </c>
      <c r="E1240" t="s">
        <v>14</v>
      </c>
      <c r="F1240" t="s">
        <v>30</v>
      </c>
      <c r="G1240" t="s">
        <v>31</v>
      </c>
      <c r="H1240">
        <v>300000</v>
      </c>
      <c r="I1240">
        <v>3</v>
      </c>
      <c r="J1240" t="s">
        <v>37</v>
      </c>
      <c r="K1240">
        <v>240000</v>
      </c>
    </row>
    <row r="1241" spans="1:11" x14ac:dyDescent="0.25">
      <c r="A1241" s="10">
        <v>45667</v>
      </c>
      <c r="B1241" t="s">
        <v>18</v>
      </c>
      <c r="C1241" t="s">
        <v>26</v>
      </c>
      <c r="D1241" t="s">
        <v>13</v>
      </c>
      <c r="E1241" t="s">
        <v>14</v>
      </c>
      <c r="F1241" t="s">
        <v>15</v>
      </c>
      <c r="G1241" t="s">
        <v>16</v>
      </c>
      <c r="H1241">
        <v>85000</v>
      </c>
      <c r="I1241">
        <v>9</v>
      </c>
      <c r="J1241" t="s">
        <v>37</v>
      </c>
      <c r="K1241">
        <v>68000</v>
      </c>
    </row>
    <row r="1242" spans="1:11" x14ac:dyDescent="0.25">
      <c r="A1242" s="10">
        <v>45718</v>
      </c>
      <c r="B1242" t="s">
        <v>25</v>
      </c>
      <c r="C1242" t="s">
        <v>12</v>
      </c>
      <c r="D1242" t="s">
        <v>23</v>
      </c>
      <c r="E1242" t="s">
        <v>20</v>
      </c>
      <c r="F1242" t="s">
        <v>41</v>
      </c>
      <c r="G1242" t="s">
        <v>22</v>
      </c>
      <c r="H1242">
        <v>220000</v>
      </c>
      <c r="I1242">
        <v>7</v>
      </c>
      <c r="J1242" t="s">
        <v>35</v>
      </c>
      <c r="K1242">
        <v>176000</v>
      </c>
    </row>
    <row r="1243" spans="1:11" x14ac:dyDescent="0.25">
      <c r="A1243" s="10">
        <v>45754</v>
      </c>
      <c r="B1243" t="s">
        <v>11</v>
      </c>
      <c r="C1243" t="s">
        <v>19</v>
      </c>
      <c r="D1243" t="s">
        <v>23</v>
      </c>
      <c r="E1243" t="s">
        <v>20</v>
      </c>
      <c r="F1243" t="s">
        <v>30</v>
      </c>
      <c r="G1243" t="s">
        <v>31</v>
      </c>
      <c r="H1243">
        <v>300000</v>
      </c>
      <c r="I1243">
        <v>10</v>
      </c>
      <c r="J1243" t="s">
        <v>17</v>
      </c>
      <c r="K1243">
        <v>240000</v>
      </c>
    </row>
    <row r="1244" spans="1:11" x14ac:dyDescent="0.25">
      <c r="A1244" s="10">
        <v>45760</v>
      </c>
      <c r="B1244" t="s">
        <v>11</v>
      </c>
      <c r="C1244" t="s">
        <v>12</v>
      </c>
      <c r="D1244" t="s">
        <v>13</v>
      </c>
      <c r="E1244" t="s">
        <v>20</v>
      </c>
      <c r="F1244" t="s">
        <v>15</v>
      </c>
      <c r="G1244" t="s">
        <v>16</v>
      </c>
      <c r="H1244">
        <v>85000</v>
      </c>
      <c r="I1244">
        <v>8</v>
      </c>
      <c r="J1244" t="s">
        <v>37</v>
      </c>
      <c r="K1244">
        <v>68000</v>
      </c>
    </row>
    <row r="1245" spans="1:11" x14ac:dyDescent="0.25">
      <c r="A1245" s="10">
        <v>45701</v>
      </c>
      <c r="B1245" t="s">
        <v>18</v>
      </c>
      <c r="C1245" t="s">
        <v>19</v>
      </c>
      <c r="D1245" t="s">
        <v>23</v>
      </c>
      <c r="E1245" t="s">
        <v>14</v>
      </c>
      <c r="F1245" t="s">
        <v>21</v>
      </c>
      <c r="G1245" t="s">
        <v>22</v>
      </c>
      <c r="H1245">
        <v>30000</v>
      </c>
      <c r="I1245">
        <v>3</v>
      </c>
      <c r="J1245" t="s">
        <v>37</v>
      </c>
      <c r="K1245">
        <v>24000</v>
      </c>
    </row>
    <row r="1246" spans="1:11" x14ac:dyDescent="0.25">
      <c r="A1246" s="10">
        <v>45699</v>
      </c>
      <c r="B1246" t="s">
        <v>25</v>
      </c>
      <c r="C1246" t="s">
        <v>26</v>
      </c>
      <c r="D1246" t="s">
        <v>23</v>
      </c>
      <c r="E1246" t="s">
        <v>20</v>
      </c>
      <c r="F1246" t="s">
        <v>15</v>
      </c>
      <c r="G1246" t="s">
        <v>16</v>
      </c>
      <c r="H1246">
        <v>85000</v>
      </c>
      <c r="I1246">
        <v>8</v>
      </c>
      <c r="J1246" t="s">
        <v>35</v>
      </c>
      <c r="K1246">
        <v>68000</v>
      </c>
    </row>
    <row r="1247" spans="1:11" x14ac:dyDescent="0.25">
      <c r="A1247" s="10">
        <v>45697</v>
      </c>
      <c r="B1247" t="s">
        <v>11</v>
      </c>
      <c r="C1247" t="s">
        <v>26</v>
      </c>
      <c r="D1247" t="s">
        <v>13</v>
      </c>
      <c r="E1247" t="s">
        <v>20</v>
      </c>
      <c r="F1247" t="s">
        <v>33</v>
      </c>
      <c r="G1247" t="s">
        <v>22</v>
      </c>
      <c r="H1247">
        <v>180000</v>
      </c>
      <c r="I1247">
        <v>3</v>
      </c>
      <c r="J1247" t="s">
        <v>35</v>
      </c>
      <c r="K1247">
        <v>144000</v>
      </c>
    </row>
    <row r="1248" spans="1:11" x14ac:dyDescent="0.25">
      <c r="A1248" s="10">
        <v>45741</v>
      </c>
      <c r="B1248" t="s">
        <v>29</v>
      </c>
      <c r="C1248" t="s">
        <v>12</v>
      </c>
      <c r="D1248" t="s">
        <v>13</v>
      </c>
      <c r="E1248" t="s">
        <v>14</v>
      </c>
      <c r="F1248" t="s">
        <v>41</v>
      </c>
      <c r="G1248" t="s">
        <v>22</v>
      </c>
      <c r="H1248">
        <v>220000</v>
      </c>
      <c r="I1248">
        <v>7</v>
      </c>
      <c r="J1248" t="s">
        <v>37</v>
      </c>
      <c r="K1248">
        <v>176000</v>
      </c>
    </row>
    <row r="1249" spans="1:11" x14ac:dyDescent="0.25">
      <c r="A1249" s="10">
        <v>45725</v>
      </c>
      <c r="B1249" t="s">
        <v>29</v>
      </c>
      <c r="C1249" t="s">
        <v>26</v>
      </c>
      <c r="D1249" t="s">
        <v>13</v>
      </c>
      <c r="E1249" t="s">
        <v>14</v>
      </c>
      <c r="F1249" t="s">
        <v>33</v>
      </c>
      <c r="G1249" t="s">
        <v>22</v>
      </c>
      <c r="H1249">
        <v>180000</v>
      </c>
      <c r="I1249">
        <v>8</v>
      </c>
      <c r="J1249" t="s">
        <v>39</v>
      </c>
      <c r="K1249">
        <v>144000</v>
      </c>
    </row>
    <row r="1250" spans="1:11" x14ac:dyDescent="0.25">
      <c r="A1250" s="10">
        <v>45738</v>
      </c>
      <c r="B1250" t="s">
        <v>25</v>
      </c>
      <c r="C1250" t="s">
        <v>32</v>
      </c>
      <c r="D1250" t="s">
        <v>13</v>
      </c>
      <c r="E1250" t="s">
        <v>14</v>
      </c>
      <c r="F1250" t="s">
        <v>21</v>
      </c>
      <c r="G1250" t="s">
        <v>22</v>
      </c>
      <c r="H1250">
        <v>30000</v>
      </c>
      <c r="I1250">
        <v>1</v>
      </c>
      <c r="J1250" t="s">
        <v>28</v>
      </c>
      <c r="K1250">
        <v>24000</v>
      </c>
    </row>
    <row r="1251" spans="1:11" x14ac:dyDescent="0.25">
      <c r="A1251" s="10">
        <v>45706</v>
      </c>
      <c r="B1251" t="s">
        <v>18</v>
      </c>
      <c r="C1251" t="s">
        <v>19</v>
      </c>
      <c r="D1251" t="s">
        <v>13</v>
      </c>
      <c r="E1251" t="s">
        <v>14</v>
      </c>
      <c r="F1251" t="s">
        <v>21</v>
      </c>
      <c r="G1251" t="s">
        <v>22</v>
      </c>
      <c r="H1251">
        <v>30000</v>
      </c>
      <c r="I1251">
        <v>8</v>
      </c>
      <c r="J1251" t="s">
        <v>35</v>
      </c>
      <c r="K1251">
        <v>24000</v>
      </c>
    </row>
    <row r="1252" spans="1:11" x14ac:dyDescent="0.25">
      <c r="A1252" s="10">
        <v>45703</v>
      </c>
      <c r="B1252" t="s">
        <v>25</v>
      </c>
      <c r="C1252" t="s">
        <v>12</v>
      </c>
      <c r="D1252" t="s">
        <v>13</v>
      </c>
      <c r="E1252" t="s">
        <v>14</v>
      </c>
      <c r="F1252" t="s">
        <v>33</v>
      </c>
      <c r="G1252" t="s">
        <v>22</v>
      </c>
      <c r="H1252">
        <v>180000</v>
      </c>
      <c r="I1252">
        <v>3</v>
      </c>
      <c r="J1252" t="s">
        <v>39</v>
      </c>
      <c r="K1252">
        <v>144000</v>
      </c>
    </row>
    <row r="1253" spans="1:11" x14ac:dyDescent="0.25">
      <c r="A1253" s="10">
        <v>45713</v>
      </c>
      <c r="B1253" t="s">
        <v>25</v>
      </c>
      <c r="C1253" t="s">
        <v>19</v>
      </c>
      <c r="D1253" t="s">
        <v>13</v>
      </c>
      <c r="E1253" t="s">
        <v>20</v>
      </c>
      <c r="F1253" t="s">
        <v>15</v>
      </c>
      <c r="G1253" t="s">
        <v>16</v>
      </c>
      <c r="H1253">
        <v>85000</v>
      </c>
      <c r="I1253">
        <v>7</v>
      </c>
      <c r="J1253" t="s">
        <v>24</v>
      </c>
      <c r="K1253">
        <v>68000</v>
      </c>
    </row>
    <row r="1254" spans="1:11" x14ac:dyDescent="0.25">
      <c r="A1254" s="10">
        <v>45745</v>
      </c>
      <c r="B1254" t="s">
        <v>11</v>
      </c>
      <c r="C1254" t="s">
        <v>19</v>
      </c>
      <c r="D1254" t="s">
        <v>13</v>
      </c>
      <c r="E1254" t="s">
        <v>20</v>
      </c>
      <c r="F1254" t="s">
        <v>21</v>
      </c>
      <c r="G1254" t="s">
        <v>22</v>
      </c>
      <c r="H1254">
        <v>30000</v>
      </c>
      <c r="I1254">
        <v>7</v>
      </c>
      <c r="J1254" t="s">
        <v>28</v>
      </c>
      <c r="K1254">
        <v>24000</v>
      </c>
    </row>
    <row r="1255" spans="1:11" x14ac:dyDescent="0.25">
      <c r="A1255" s="10">
        <v>45726</v>
      </c>
      <c r="B1255" t="s">
        <v>29</v>
      </c>
      <c r="C1255" t="s">
        <v>32</v>
      </c>
      <c r="D1255" t="s">
        <v>13</v>
      </c>
      <c r="E1255" t="s">
        <v>20</v>
      </c>
      <c r="F1255" t="s">
        <v>27</v>
      </c>
      <c r="G1255" t="s">
        <v>22</v>
      </c>
      <c r="H1255">
        <v>60000</v>
      </c>
      <c r="I1255">
        <v>3</v>
      </c>
      <c r="J1255" t="s">
        <v>28</v>
      </c>
      <c r="K1255">
        <v>48000</v>
      </c>
    </row>
    <row r="1256" spans="1:11" x14ac:dyDescent="0.25">
      <c r="A1256" s="10">
        <v>45689</v>
      </c>
      <c r="B1256" t="s">
        <v>29</v>
      </c>
      <c r="C1256" t="s">
        <v>32</v>
      </c>
      <c r="D1256" t="s">
        <v>13</v>
      </c>
      <c r="E1256" t="s">
        <v>20</v>
      </c>
      <c r="F1256" t="s">
        <v>15</v>
      </c>
      <c r="G1256" t="s">
        <v>16</v>
      </c>
      <c r="H1256">
        <v>85000</v>
      </c>
      <c r="I1256">
        <v>5</v>
      </c>
      <c r="J1256" t="s">
        <v>17</v>
      </c>
      <c r="K1256">
        <v>68000</v>
      </c>
    </row>
    <row r="1257" spans="1:11" x14ac:dyDescent="0.25">
      <c r="A1257" s="10">
        <v>45703</v>
      </c>
      <c r="B1257" t="s">
        <v>18</v>
      </c>
      <c r="C1257" t="s">
        <v>32</v>
      </c>
      <c r="D1257" t="s">
        <v>23</v>
      </c>
      <c r="E1257" t="s">
        <v>14</v>
      </c>
      <c r="F1257" t="s">
        <v>38</v>
      </c>
      <c r="G1257" t="s">
        <v>31</v>
      </c>
      <c r="H1257">
        <v>420000</v>
      </c>
      <c r="I1257">
        <v>1</v>
      </c>
      <c r="J1257" t="s">
        <v>17</v>
      </c>
      <c r="K1257">
        <v>336000</v>
      </c>
    </row>
    <row r="1258" spans="1:11" x14ac:dyDescent="0.25">
      <c r="A1258" s="10">
        <v>45754</v>
      </c>
      <c r="B1258" t="s">
        <v>25</v>
      </c>
      <c r="C1258" t="s">
        <v>26</v>
      </c>
      <c r="D1258" t="s">
        <v>23</v>
      </c>
      <c r="E1258" t="s">
        <v>20</v>
      </c>
      <c r="F1258" t="s">
        <v>21</v>
      </c>
      <c r="G1258" t="s">
        <v>22</v>
      </c>
      <c r="H1258">
        <v>30000</v>
      </c>
      <c r="I1258">
        <v>5</v>
      </c>
      <c r="J1258" t="s">
        <v>17</v>
      </c>
      <c r="K1258">
        <v>24000</v>
      </c>
    </row>
    <row r="1259" spans="1:11" x14ac:dyDescent="0.25">
      <c r="A1259" s="10">
        <v>45749</v>
      </c>
      <c r="B1259" t="s">
        <v>11</v>
      </c>
      <c r="C1259" t="s">
        <v>26</v>
      </c>
      <c r="D1259" t="s">
        <v>13</v>
      </c>
      <c r="E1259" t="s">
        <v>14</v>
      </c>
      <c r="F1259" t="s">
        <v>40</v>
      </c>
      <c r="G1259" t="s">
        <v>31</v>
      </c>
      <c r="H1259">
        <v>250000</v>
      </c>
      <c r="I1259">
        <v>9</v>
      </c>
      <c r="J1259" t="s">
        <v>35</v>
      </c>
      <c r="K1259">
        <v>200000</v>
      </c>
    </row>
    <row r="1260" spans="1:11" x14ac:dyDescent="0.25">
      <c r="A1260" s="10">
        <v>45677</v>
      </c>
      <c r="B1260" t="s">
        <v>29</v>
      </c>
      <c r="C1260" t="s">
        <v>19</v>
      </c>
      <c r="D1260" t="s">
        <v>23</v>
      </c>
      <c r="E1260" t="s">
        <v>14</v>
      </c>
      <c r="F1260" t="s">
        <v>36</v>
      </c>
      <c r="G1260" t="s">
        <v>31</v>
      </c>
      <c r="H1260">
        <v>150000</v>
      </c>
      <c r="I1260">
        <v>3</v>
      </c>
      <c r="J1260" t="s">
        <v>39</v>
      </c>
      <c r="K1260">
        <v>120000</v>
      </c>
    </row>
    <row r="1261" spans="1:11" x14ac:dyDescent="0.25">
      <c r="A1261" s="10">
        <v>45676</v>
      </c>
      <c r="B1261" t="s">
        <v>18</v>
      </c>
      <c r="C1261" t="s">
        <v>19</v>
      </c>
      <c r="D1261" t="s">
        <v>23</v>
      </c>
      <c r="E1261" t="s">
        <v>14</v>
      </c>
      <c r="F1261" t="s">
        <v>30</v>
      </c>
      <c r="G1261" t="s">
        <v>31</v>
      </c>
      <c r="H1261">
        <v>300000</v>
      </c>
      <c r="I1261">
        <v>5</v>
      </c>
      <c r="J1261" t="s">
        <v>39</v>
      </c>
      <c r="K1261">
        <v>240000</v>
      </c>
    </row>
    <row r="1262" spans="1:11" x14ac:dyDescent="0.25">
      <c r="A1262" s="10">
        <v>45667</v>
      </c>
      <c r="B1262" t="s">
        <v>11</v>
      </c>
      <c r="C1262" t="s">
        <v>12</v>
      </c>
      <c r="D1262" t="s">
        <v>13</v>
      </c>
      <c r="E1262" t="s">
        <v>20</v>
      </c>
      <c r="F1262" t="s">
        <v>34</v>
      </c>
      <c r="G1262" t="s">
        <v>16</v>
      </c>
      <c r="H1262">
        <v>320000</v>
      </c>
      <c r="I1262">
        <v>5</v>
      </c>
      <c r="J1262" t="s">
        <v>17</v>
      </c>
      <c r="K1262">
        <v>256000</v>
      </c>
    </row>
    <row r="1263" spans="1:11" x14ac:dyDescent="0.25">
      <c r="A1263" s="10">
        <v>45659</v>
      </c>
      <c r="B1263" t="s">
        <v>11</v>
      </c>
      <c r="C1263" t="s">
        <v>32</v>
      </c>
      <c r="D1263" t="s">
        <v>23</v>
      </c>
      <c r="E1263" t="s">
        <v>20</v>
      </c>
      <c r="F1263" t="s">
        <v>15</v>
      </c>
      <c r="G1263" t="s">
        <v>16</v>
      </c>
      <c r="H1263">
        <v>85000</v>
      </c>
      <c r="I1263">
        <v>10</v>
      </c>
      <c r="J1263" t="s">
        <v>37</v>
      </c>
      <c r="K1263">
        <v>68000</v>
      </c>
    </row>
    <row r="1264" spans="1:11" x14ac:dyDescent="0.25">
      <c r="A1264" s="10">
        <v>45681</v>
      </c>
      <c r="B1264" t="s">
        <v>11</v>
      </c>
      <c r="C1264" t="s">
        <v>19</v>
      </c>
      <c r="D1264" t="s">
        <v>13</v>
      </c>
      <c r="E1264" t="s">
        <v>20</v>
      </c>
      <c r="F1264" t="s">
        <v>33</v>
      </c>
      <c r="G1264" t="s">
        <v>22</v>
      </c>
      <c r="H1264">
        <v>180000</v>
      </c>
      <c r="I1264">
        <v>3</v>
      </c>
      <c r="J1264" t="s">
        <v>37</v>
      </c>
      <c r="K1264">
        <v>144000</v>
      </c>
    </row>
    <row r="1265" spans="1:11" x14ac:dyDescent="0.25">
      <c r="A1265" s="10">
        <v>45718</v>
      </c>
      <c r="B1265" t="s">
        <v>18</v>
      </c>
      <c r="C1265" t="s">
        <v>32</v>
      </c>
      <c r="D1265" t="s">
        <v>23</v>
      </c>
      <c r="E1265" t="s">
        <v>20</v>
      </c>
      <c r="F1265" t="s">
        <v>21</v>
      </c>
      <c r="G1265" t="s">
        <v>22</v>
      </c>
      <c r="H1265">
        <v>30000</v>
      </c>
      <c r="I1265">
        <v>3</v>
      </c>
      <c r="J1265" t="s">
        <v>39</v>
      </c>
      <c r="K1265">
        <v>24000</v>
      </c>
    </row>
    <row r="1266" spans="1:11" x14ac:dyDescent="0.25">
      <c r="A1266" s="10">
        <v>45660</v>
      </c>
      <c r="B1266" t="s">
        <v>29</v>
      </c>
      <c r="C1266" t="s">
        <v>19</v>
      </c>
      <c r="D1266" t="s">
        <v>13</v>
      </c>
      <c r="E1266" t="s">
        <v>20</v>
      </c>
      <c r="F1266" t="s">
        <v>36</v>
      </c>
      <c r="G1266" t="s">
        <v>31</v>
      </c>
      <c r="H1266">
        <v>150000</v>
      </c>
      <c r="I1266">
        <v>5</v>
      </c>
      <c r="J1266" t="s">
        <v>37</v>
      </c>
      <c r="K1266">
        <v>120000</v>
      </c>
    </row>
    <row r="1267" spans="1:11" x14ac:dyDescent="0.25">
      <c r="A1267" s="10">
        <v>45716</v>
      </c>
      <c r="B1267" t="s">
        <v>29</v>
      </c>
      <c r="C1267" t="s">
        <v>26</v>
      </c>
      <c r="D1267" t="s">
        <v>13</v>
      </c>
      <c r="E1267" t="s">
        <v>14</v>
      </c>
      <c r="F1267" t="s">
        <v>30</v>
      </c>
      <c r="G1267" t="s">
        <v>31</v>
      </c>
      <c r="H1267">
        <v>300000</v>
      </c>
      <c r="I1267">
        <v>4</v>
      </c>
      <c r="J1267" t="s">
        <v>35</v>
      </c>
      <c r="K1267">
        <v>240000</v>
      </c>
    </row>
    <row r="1268" spans="1:11" x14ac:dyDescent="0.25">
      <c r="A1268" s="10">
        <v>45686</v>
      </c>
      <c r="B1268" t="s">
        <v>18</v>
      </c>
      <c r="C1268" t="s">
        <v>26</v>
      </c>
      <c r="D1268" t="s">
        <v>23</v>
      </c>
      <c r="E1268" t="s">
        <v>20</v>
      </c>
      <c r="F1268" t="s">
        <v>21</v>
      </c>
      <c r="G1268" t="s">
        <v>22</v>
      </c>
      <c r="H1268">
        <v>30000</v>
      </c>
      <c r="I1268">
        <v>8</v>
      </c>
      <c r="J1268" t="s">
        <v>37</v>
      </c>
      <c r="K1268">
        <v>24000</v>
      </c>
    </row>
    <row r="1269" spans="1:11" x14ac:dyDescent="0.25">
      <c r="A1269" s="10">
        <v>45714</v>
      </c>
      <c r="B1269" t="s">
        <v>11</v>
      </c>
      <c r="C1269" t="s">
        <v>12</v>
      </c>
      <c r="D1269" t="s">
        <v>13</v>
      </c>
      <c r="E1269" t="s">
        <v>20</v>
      </c>
      <c r="F1269" t="s">
        <v>41</v>
      </c>
      <c r="G1269" t="s">
        <v>22</v>
      </c>
      <c r="H1269">
        <v>220000</v>
      </c>
      <c r="I1269">
        <v>10</v>
      </c>
      <c r="J1269" t="s">
        <v>24</v>
      </c>
      <c r="K1269">
        <v>176000</v>
      </c>
    </row>
    <row r="1270" spans="1:11" x14ac:dyDescent="0.25">
      <c r="A1270" s="10">
        <v>45725</v>
      </c>
      <c r="B1270" t="s">
        <v>25</v>
      </c>
      <c r="C1270" t="s">
        <v>26</v>
      </c>
      <c r="D1270" t="s">
        <v>13</v>
      </c>
      <c r="E1270" t="s">
        <v>14</v>
      </c>
      <c r="F1270" t="s">
        <v>21</v>
      </c>
      <c r="G1270" t="s">
        <v>22</v>
      </c>
      <c r="H1270">
        <v>30000</v>
      </c>
      <c r="I1270">
        <v>10</v>
      </c>
      <c r="J1270" t="s">
        <v>28</v>
      </c>
      <c r="K1270">
        <v>24000</v>
      </c>
    </row>
    <row r="1271" spans="1:11" x14ac:dyDescent="0.25">
      <c r="A1271" s="10">
        <v>45772</v>
      </c>
      <c r="B1271" t="s">
        <v>18</v>
      </c>
      <c r="C1271" t="s">
        <v>19</v>
      </c>
      <c r="D1271" t="s">
        <v>23</v>
      </c>
      <c r="E1271" t="s">
        <v>20</v>
      </c>
      <c r="F1271" t="s">
        <v>40</v>
      </c>
      <c r="G1271" t="s">
        <v>31</v>
      </c>
      <c r="H1271">
        <v>250000</v>
      </c>
      <c r="I1271">
        <v>5</v>
      </c>
      <c r="J1271" t="s">
        <v>17</v>
      </c>
      <c r="K1271">
        <v>200000</v>
      </c>
    </row>
    <row r="1272" spans="1:11" x14ac:dyDescent="0.25">
      <c r="A1272" s="10">
        <v>45696</v>
      </c>
      <c r="B1272" t="s">
        <v>25</v>
      </c>
      <c r="C1272" t="s">
        <v>19</v>
      </c>
      <c r="D1272" t="s">
        <v>23</v>
      </c>
      <c r="E1272" t="s">
        <v>20</v>
      </c>
      <c r="F1272" t="s">
        <v>36</v>
      </c>
      <c r="G1272" t="s">
        <v>31</v>
      </c>
      <c r="H1272">
        <v>150000</v>
      </c>
      <c r="I1272">
        <v>8</v>
      </c>
      <c r="J1272" t="s">
        <v>17</v>
      </c>
      <c r="K1272">
        <v>120000</v>
      </c>
    </row>
    <row r="1273" spans="1:11" x14ac:dyDescent="0.25">
      <c r="A1273" s="10">
        <v>45775</v>
      </c>
      <c r="B1273" t="s">
        <v>25</v>
      </c>
      <c r="C1273" t="s">
        <v>12</v>
      </c>
      <c r="D1273" t="s">
        <v>13</v>
      </c>
      <c r="E1273" t="s">
        <v>20</v>
      </c>
      <c r="F1273" t="s">
        <v>15</v>
      </c>
      <c r="G1273" t="s">
        <v>16</v>
      </c>
      <c r="H1273">
        <v>85000</v>
      </c>
      <c r="I1273">
        <v>1</v>
      </c>
      <c r="J1273" t="s">
        <v>17</v>
      </c>
      <c r="K1273">
        <v>68000</v>
      </c>
    </row>
    <row r="1274" spans="1:11" x14ac:dyDescent="0.25">
      <c r="A1274" s="10">
        <v>45778</v>
      </c>
      <c r="B1274" t="s">
        <v>18</v>
      </c>
      <c r="C1274" t="s">
        <v>26</v>
      </c>
      <c r="D1274" t="s">
        <v>13</v>
      </c>
      <c r="E1274" t="s">
        <v>14</v>
      </c>
      <c r="F1274" t="s">
        <v>41</v>
      </c>
      <c r="G1274" t="s">
        <v>22</v>
      </c>
      <c r="H1274">
        <v>220000</v>
      </c>
      <c r="I1274">
        <v>2</v>
      </c>
      <c r="J1274" t="s">
        <v>37</v>
      </c>
      <c r="K1274">
        <v>176000</v>
      </c>
    </row>
    <row r="1275" spans="1:11" x14ac:dyDescent="0.25">
      <c r="A1275" s="10">
        <v>45685</v>
      </c>
      <c r="B1275" t="s">
        <v>25</v>
      </c>
      <c r="C1275" t="s">
        <v>19</v>
      </c>
      <c r="D1275" t="s">
        <v>23</v>
      </c>
      <c r="E1275" t="s">
        <v>14</v>
      </c>
      <c r="F1275" t="s">
        <v>27</v>
      </c>
      <c r="G1275" t="s">
        <v>22</v>
      </c>
      <c r="H1275">
        <v>60000</v>
      </c>
      <c r="I1275">
        <v>9</v>
      </c>
      <c r="J1275" t="s">
        <v>28</v>
      </c>
      <c r="K1275">
        <v>48000</v>
      </c>
    </row>
    <row r="1276" spans="1:11" x14ac:dyDescent="0.25">
      <c r="A1276" s="10">
        <v>45705</v>
      </c>
      <c r="B1276" t="s">
        <v>29</v>
      </c>
      <c r="C1276" t="s">
        <v>26</v>
      </c>
      <c r="D1276" t="s">
        <v>13</v>
      </c>
      <c r="E1276" t="s">
        <v>14</v>
      </c>
      <c r="F1276" t="s">
        <v>40</v>
      </c>
      <c r="G1276" t="s">
        <v>31</v>
      </c>
      <c r="H1276">
        <v>250000</v>
      </c>
      <c r="I1276">
        <v>9</v>
      </c>
      <c r="J1276" t="s">
        <v>35</v>
      </c>
      <c r="K1276">
        <v>200000</v>
      </c>
    </row>
    <row r="1277" spans="1:11" x14ac:dyDescent="0.25">
      <c r="A1277" s="10">
        <v>45741</v>
      </c>
      <c r="B1277" t="s">
        <v>18</v>
      </c>
      <c r="C1277" t="s">
        <v>12</v>
      </c>
      <c r="D1277" t="s">
        <v>13</v>
      </c>
      <c r="E1277" t="s">
        <v>20</v>
      </c>
      <c r="F1277" t="s">
        <v>15</v>
      </c>
      <c r="G1277" t="s">
        <v>16</v>
      </c>
      <c r="H1277">
        <v>85000</v>
      </c>
      <c r="I1277">
        <v>7</v>
      </c>
      <c r="J1277" t="s">
        <v>37</v>
      </c>
      <c r="K1277">
        <v>68000</v>
      </c>
    </row>
    <row r="1278" spans="1:11" x14ac:dyDescent="0.25">
      <c r="A1278" s="10">
        <v>45773</v>
      </c>
      <c r="B1278" t="s">
        <v>25</v>
      </c>
      <c r="C1278" t="s">
        <v>26</v>
      </c>
      <c r="D1278" t="s">
        <v>13</v>
      </c>
      <c r="E1278" t="s">
        <v>20</v>
      </c>
      <c r="F1278" t="s">
        <v>36</v>
      </c>
      <c r="G1278" t="s">
        <v>31</v>
      </c>
      <c r="H1278">
        <v>150000</v>
      </c>
      <c r="I1278">
        <v>7</v>
      </c>
      <c r="J1278" t="s">
        <v>35</v>
      </c>
      <c r="K1278">
        <v>120000</v>
      </c>
    </row>
    <row r="1279" spans="1:11" x14ac:dyDescent="0.25">
      <c r="A1279" s="10">
        <v>45714</v>
      </c>
      <c r="B1279" t="s">
        <v>18</v>
      </c>
      <c r="C1279" t="s">
        <v>26</v>
      </c>
      <c r="D1279" t="s">
        <v>23</v>
      </c>
      <c r="E1279" t="s">
        <v>14</v>
      </c>
      <c r="F1279" t="s">
        <v>21</v>
      </c>
      <c r="G1279" t="s">
        <v>22</v>
      </c>
      <c r="H1279">
        <v>30000</v>
      </c>
      <c r="I1279">
        <v>3</v>
      </c>
      <c r="J1279" t="s">
        <v>24</v>
      </c>
      <c r="K1279">
        <v>24000</v>
      </c>
    </row>
    <row r="1280" spans="1:11" x14ac:dyDescent="0.25">
      <c r="A1280" s="10">
        <v>45770</v>
      </c>
      <c r="B1280" t="s">
        <v>18</v>
      </c>
      <c r="C1280" t="s">
        <v>26</v>
      </c>
      <c r="D1280" t="s">
        <v>23</v>
      </c>
      <c r="E1280" t="s">
        <v>20</v>
      </c>
      <c r="F1280" t="s">
        <v>21</v>
      </c>
      <c r="G1280" t="s">
        <v>22</v>
      </c>
      <c r="H1280">
        <v>30000</v>
      </c>
      <c r="I1280">
        <v>3</v>
      </c>
      <c r="J1280" t="s">
        <v>39</v>
      </c>
      <c r="K1280">
        <v>24000</v>
      </c>
    </row>
    <row r="1281" spans="1:11" x14ac:dyDescent="0.25">
      <c r="A1281" s="10">
        <v>45711</v>
      </c>
      <c r="B1281" t="s">
        <v>29</v>
      </c>
      <c r="C1281" t="s">
        <v>32</v>
      </c>
      <c r="D1281" t="s">
        <v>13</v>
      </c>
      <c r="E1281" t="s">
        <v>14</v>
      </c>
      <c r="F1281" t="s">
        <v>21</v>
      </c>
      <c r="G1281" t="s">
        <v>22</v>
      </c>
      <c r="H1281">
        <v>30000</v>
      </c>
      <c r="I1281">
        <v>4</v>
      </c>
      <c r="J1281" t="s">
        <v>37</v>
      </c>
      <c r="K1281">
        <v>24000</v>
      </c>
    </row>
    <row r="1282" spans="1:11" x14ac:dyDescent="0.25">
      <c r="A1282" s="10">
        <v>45769</v>
      </c>
      <c r="B1282" t="s">
        <v>25</v>
      </c>
      <c r="C1282" t="s">
        <v>19</v>
      </c>
      <c r="D1282" t="s">
        <v>13</v>
      </c>
      <c r="E1282" t="s">
        <v>20</v>
      </c>
      <c r="F1282" t="s">
        <v>27</v>
      </c>
      <c r="G1282" t="s">
        <v>22</v>
      </c>
      <c r="H1282">
        <v>60000</v>
      </c>
      <c r="I1282">
        <v>9</v>
      </c>
      <c r="J1282" t="s">
        <v>24</v>
      </c>
      <c r="K1282">
        <v>48000</v>
      </c>
    </row>
    <row r="1283" spans="1:11" x14ac:dyDescent="0.25">
      <c r="A1283" s="10">
        <v>45684</v>
      </c>
      <c r="B1283" t="s">
        <v>25</v>
      </c>
      <c r="C1283" t="s">
        <v>32</v>
      </c>
      <c r="D1283" t="s">
        <v>23</v>
      </c>
      <c r="E1283" t="s">
        <v>14</v>
      </c>
      <c r="F1283" t="s">
        <v>27</v>
      </c>
      <c r="G1283" t="s">
        <v>22</v>
      </c>
      <c r="H1283">
        <v>60000</v>
      </c>
      <c r="I1283">
        <v>9</v>
      </c>
      <c r="J1283" t="s">
        <v>35</v>
      </c>
      <c r="K1283">
        <v>48000</v>
      </c>
    </row>
    <row r="1284" spans="1:11" x14ac:dyDescent="0.25">
      <c r="A1284" s="10">
        <v>45747</v>
      </c>
      <c r="B1284" t="s">
        <v>25</v>
      </c>
      <c r="C1284" t="s">
        <v>12</v>
      </c>
      <c r="D1284" t="s">
        <v>23</v>
      </c>
      <c r="E1284" t="s">
        <v>14</v>
      </c>
      <c r="F1284" t="s">
        <v>38</v>
      </c>
      <c r="G1284" t="s">
        <v>31</v>
      </c>
      <c r="H1284">
        <v>420000</v>
      </c>
      <c r="I1284">
        <v>2</v>
      </c>
      <c r="J1284" t="s">
        <v>28</v>
      </c>
      <c r="K1284">
        <v>336000</v>
      </c>
    </row>
    <row r="1285" spans="1:11" x14ac:dyDescent="0.25">
      <c r="A1285" s="10">
        <v>45727</v>
      </c>
      <c r="B1285" t="s">
        <v>29</v>
      </c>
      <c r="C1285" t="s">
        <v>26</v>
      </c>
      <c r="D1285" t="s">
        <v>13</v>
      </c>
      <c r="E1285" t="s">
        <v>20</v>
      </c>
      <c r="F1285" t="s">
        <v>34</v>
      </c>
      <c r="G1285" t="s">
        <v>16</v>
      </c>
      <c r="H1285">
        <v>320000</v>
      </c>
      <c r="I1285">
        <v>1</v>
      </c>
      <c r="J1285" t="s">
        <v>39</v>
      </c>
      <c r="K1285">
        <v>256000</v>
      </c>
    </row>
    <row r="1286" spans="1:11" x14ac:dyDescent="0.25">
      <c r="A1286" s="10">
        <v>45659</v>
      </c>
      <c r="B1286" t="s">
        <v>11</v>
      </c>
      <c r="C1286" t="s">
        <v>12</v>
      </c>
      <c r="D1286" t="s">
        <v>13</v>
      </c>
      <c r="E1286" t="s">
        <v>20</v>
      </c>
      <c r="F1286" t="s">
        <v>21</v>
      </c>
      <c r="G1286" t="s">
        <v>22</v>
      </c>
      <c r="H1286">
        <v>30000</v>
      </c>
      <c r="I1286">
        <v>5</v>
      </c>
      <c r="J1286" t="s">
        <v>24</v>
      </c>
      <c r="K1286">
        <v>24000</v>
      </c>
    </row>
    <row r="1287" spans="1:11" x14ac:dyDescent="0.25">
      <c r="A1287" s="10">
        <v>45718</v>
      </c>
      <c r="B1287" t="s">
        <v>11</v>
      </c>
      <c r="C1287" t="s">
        <v>26</v>
      </c>
      <c r="D1287" t="s">
        <v>23</v>
      </c>
      <c r="E1287" t="s">
        <v>20</v>
      </c>
      <c r="F1287" t="s">
        <v>15</v>
      </c>
      <c r="G1287" t="s">
        <v>16</v>
      </c>
      <c r="H1287">
        <v>85000</v>
      </c>
      <c r="I1287">
        <v>5</v>
      </c>
      <c r="J1287" t="s">
        <v>39</v>
      </c>
      <c r="K1287">
        <v>68000</v>
      </c>
    </row>
    <row r="1288" spans="1:11" x14ac:dyDescent="0.25">
      <c r="A1288" s="10">
        <v>45673</v>
      </c>
      <c r="B1288" t="s">
        <v>11</v>
      </c>
      <c r="C1288" t="s">
        <v>26</v>
      </c>
      <c r="D1288" t="s">
        <v>23</v>
      </c>
      <c r="E1288" t="s">
        <v>14</v>
      </c>
      <c r="F1288" t="s">
        <v>38</v>
      </c>
      <c r="G1288" t="s">
        <v>31</v>
      </c>
      <c r="H1288">
        <v>420000</v>
      </c>
      <c r="I1288">
        <v>10</v>
      </c>
      <c r="J1288" t="s">
        <v>35</v>
      </c>
      <c r="K1288">
        <v>336000</v>
      </c>
    </row>
    <row r="1289" spans="1:11" x14ac:dyDescent="0.25">
      <c r="A1289" s="10">
        <v>45730</v>
      </c>
      <c r="B1289" t="s">
        <v>18</v>
      </c>
      <c r="C1289" t="s">
        <v>12</v>
      </c>
      <c r="D1289" t="s">
        <v>23</v>
      </c>
      <c r="E1289" t="s">
        <v>14</v>
      </c>
      <c r="F1289" t="s">
        <v>40</v>
      </c>
      <c r="G1289" t="s">
        <v>31</v>
      </c>
      <c r="H1289">
        <v>250000</v>
      </c>
      <c r="I1289">
        <v>8</v>
      </c>
      <c r="J1289" t="s">
        <v>37</v>
      </c>
      <c r="K1289">
        <v>200000</v>
      </c>
    </row>
    <row r="1290" spans="1:11" x14ac:dyDescent="0.25">
      <c r="A1290" s="10">
        <v>45741</v>
      </c>
      <c r="B1290" t="s">
        <v>11</v>
      </c>
      <c r="C1290" t="s">
        <v>19</v>
      </c>
      <c r="D1290" t="s">
        <v>23</v>
      </c>
      <c r="E1290" t="s">
        <v>20</v>
      </c>
      <c r="F1290" t="s">
        <v>40</v>
      </c>
      <c r="G1290" t="s">
        <v>31</v>
      </c>
      <c r="H1290">
        <v>250000</v>
      </c>
      <c r="I1290">
        <v>10</v>
      </c>
      <c r="J1290" t="s">
        <v>35</v>
      </c>
      <c r="K1290">
        <v>200000</v>
      </c>
    </row>
    <row r="1291" spans="1:11" x14ac:dyDescent="0.25">
      <c r="A1291" s="10">
        <v>45699</v>
      </c>
      <c r="B1291" t="s">
        <v>18</v>
      </c>
      <c r="C1291" t="s">
        <v>19</v>
      </c>
      <c r="D1291" t="s">
        <v>23</v>
      </c>
      <c r="E1291" t="s">
        <v>20</v>
      </c>
      <c r="F1291" t="s">
        <v>36</v>
      </c>
      <c r="G1291" t="s">
        <v>31</v>
      </c>
      <c r="H1291">
        <v>150000</v>
      </c>
      <c r="I1291">
        <v>4</v>
      </c>
      <c r="J1291" t="s">
        <v>28</v>
      </c>
      <c r="K1291">
        <v>120000</v>
      </c>
    </row>
    <row r="1292" spans="1:11" x14ac:dyDescent="0.25">
      <c r="A1292" s="10">
        <v>45689</v>
      </c>
      <c r="B1292" t="s">
        <v>18</v>
      </c>
      <c r="C1292" t="s">
        <v>19</v>
      </c>
      <c r="D1292" t="s">
        <v>23</v>
      </c>
      <c r="E1292" t="s">
        <v>14</v>
      </c>
      <c r="F1292" t="s">
        <v>33</v>
      </c>
      <c r="G1292" t="s">
        <v>22</v>
      </c>
      <c r="H1292">
        <v>180000</v>
      </c>
      <c r="I1292">
        <v>6</v>
      </c>
      <c r="J1292" t="s">
        <v>28</v>
      </c>
      <c r="K1292">
        <v>144000</v>
      </c>
    </row>
    <row r="1293" spans="1:11" x14ac:dyDescent="0.25">
      <c r="A1293" s="10">
        <v>45777</v>
      </c>
      <c r="B1293" t="s">
        <v>18</v>
      </c>
      <c r="C1293" t="s">
        <v>26</v>
      </c>
      <c r="D1293" t="s">
        <v>23</v>
      </c>
      <c r="E1293" t="s">
        <v>20</v>
      </c>
      <c r="F1293" t="s">
        <v>21</v>
      </c>
      <c r="G1293" t="s">
        <v>22</v>
      </c>
      <c r="H1293">
        <v>30000</v>
      </c>
      <c r="I1293">
        <v>6</v>
      </c>
      <c r="J1293" t="s">
        <v>28</v>
      </c>
      <c r="K1293">
        <v>24000</v>
      </c>
    </row>
    <row r="1294" spans="1:11" x14ac:dyDescent="0.25">
      <c r="A1294" s="10">
        <v>45696</v>
      </c>
      <c r="B1294" t="s">
        <v>11</v>
      </c>
      <c r="C1294" t="s">
        <v>19</v>
      </c>
      <c r="D1294" t="s">
        <v>23</v>
      </c>
      <c r="E1294" t="s">
        <v>14</v>
      </c>
      <c r="F1294" t="s">
        <v>40</v>
      </c>
      <c r="G1294" t="s">
        <v>31</v>
      </c>
      <c r="H1294">
        <v>250000</v>
      </c>
      <c r="I1294">
        <v>5</v>
      </c>
      <c r="J1294" t="s">
        <v>35</v>
      </c>
      <c r="K1294">
        <v>200000</v>
      </c>
    </row>
    <row r="1295" spans="1:11" x14ac:dyDescent="0.25">
      <c r="A1295" s="10">
        <v>45690</v>
      </c>
      <c r="B1295" t="s">
        <v>25</v>
      </c>
      <c r="C1295" t="s">
        <v>19</v>
      </c>
      <c r="D1295" t="s">
        <v>23</v>
      </c>
      <c r="E1295" t="s">
        <v>14</v>
      </c>
      <c r="F1295" t="s">
        <v>34</v>
      </c>
      <c r="G1295" t="s">
        <v>16</v>
      </c>
      <c r="H1295">
        <v>320000</v>
      </c>
      <c r="I1295">
        <v>2</v>
      </c>
      <c r="J1295" t="s">
        <v>39</v>
      </c>
      <c r="K1295">
        <v>256000</v>
      </c>
    </row>
    <row r="1296" spans="1:11" x14ac:dyDescent="0.25">
      <c r="A1296" s="10">
        <v>45698</v>
      </c>
      <c r="B1296" t="s">
        <v>18</v>
      </c>
      <c r="C1296" t="s">
        <v>19</v>
      </c>
      <c r="D1296" t="s">
        <v>23</v>
      </c>
      <c r="E1296" t="s">
        <v>20</v>
      </c>
      <c r="F1296" t="s">
        <v>30</v>
      </c>
      <c r="G1296" t="s">
        <v>31</v>
      </c>
      <c r="H1296">
        <v>300000</v>
      </c>
      <c r="I1296">
        <v>10</v>
      </c>
      <c r="J1296" t="s">
        <v>35</v>
      </c>
      <c r="K1296">
        <v>240000</v>
      </c>
    </row>
    <row r="1297" spans="1:11" x14ac:dyDescent="0.25">
      <c r="A1297" s="10">
        <v>45681</v>
      </c>
      <c r="B1297" t="s">
        <v>11</v>
      </c>
      <c r="C1297" t="s">
        <v>19</v>
      </c>
      <c r="D1297" t="s">
        <v>23</v>
      </c>
      <c r="E1297" t="s">
        <v>20</v>
      </c>
      <c r="F1297" t="s">
        <v>30</v>
      </c>
      <c r="G1297" t="s">
        <v>31</v>
      </c>
      <c r="H1297">
        <v>300000</v>
      </c>
      <c r="I1297">
        <v>7</v>
      </c>
      <c r="J1297" t="s">
        <v>37</v>
      </c>
      <c r="K1297">
        <v>240000</v>
      </c>
    </row>
    <row r="1298" spans="1:11" x14ac:dyDescent="0.25">
      <c r="A1298" s="10">
        <v>45669</v>
      </c>
      <c r="B1298" t="s">
        <v>29</v>
      </c>
      <c r="C1298" t="s">
        <v>12</v>
      </c>
      <c r="D1298" t="s">
        <v>23</v>
      </c>
      <c r="E1298" t="s">
        <v>14</v>
      </c>
      <c r="F1298" t="s">
        <v>33</v>
      </c>
      <c r="G1298" t="s">
        <v>22</v>
      </c>
      <c r="H1298">
        <v>180000</v>
      </c>
      <c r="I1298">
        <v>1</v>
      </c>
      <c r="J1298" t="s">
        <v>39</v>
      </c>
      <c r="K1298">
        <v>144000</v>
      </c>
    </row>
    <row r="1299" spans="1:11" x14ac:dyDescent="0.25">
      <c r="A1299" s="10">
        <v>45713</v>
      </c>
      <c r="B1299" t="s">
        <v>18</v>
      </c>
      <c r="C1299" t="s">
        <v>26</v>
      </c>
      <c r="D1299" t="s">
        <v>23</v>
      </c>
      <c r="E1299" t="s">
        <v>20</v>
      </c>
      <c r="F1299" t="s">
        <v>30</v>
      </c>
      <c r="G1299" t="s">
        <v>31</v>
      </c>
      <c r="H1299">
        <v>300000</v>
      </c>
      <c r="I1299">
        <v>10</v>
      </c>
      <c r="J1299" t="s">
        <v>17</v>
      </c>
      <c r="K1299">
        <v>240000</v>
      </c>
    </row>
    <row r="1300" spans="1:11" x14ac:dyDescent="0.25">
      <c r="A1300" s="10">
        <v>45767</v>
      </c>
      <c r="B1300" t="s">
        <v>11</v>
      </c>
      <c r="C1300" t="s">
        <v>32</v>
      </c>
      <c r="D1300" t="s">
        <v>23</v>
      </c>
      <c r="E1300" t="s">
        <v>14</v>
      </c>
      <c r="F1300" t="s">
        <v>33</v>
      </c>
      <c r="G1300" t="s">
        <v>22</v>
      </c>
      <c r="H1300">
        <v>180000</v>
      </c>
      <c r="I1300">
        <v>7</v>
      </c>
      <c r="J1300" t="s">
        <v>37</v>
      </c>
      <c r="K1300">
        <v>144000</v>
      </c>
    </row>
    <row r="1301" spans="1:11" x14ac:dyDescent="0.25">
      <c r="A1301" s="10">
        <v>45684</v>
      </c>
      <c r="B1301" t="s">
        <v>11</v>
      </c>
      <c r="C1301" t="s">
        <v>19</v>
      </c>
      <c r="D1301" t="s">
        <v>23</v>
      </c>
      <c r="E1301" t="s">
        <v>14</v>
      </c>
      <c r="F1301" t="s">
        <v>21</v>
      </c>
      <c r="G1301" t="s">
        <v>22</v>
      </c>
      <c r="H1301">
        <v>30000</v>
      </c>
      <c r="I1301">
        <v>7</v>
      </c>
      <c r="J1301" t="s">
        <v>28</v>
      </c>
      <c r="K1301">
        <v>24000</v>
      </c>
    </row>
    <row r="1302" spans="1:11" x14ac:dyDescent="0.25">
      <c r="A1302" s="10">
        <v>45685</v>
      </c>
      <c r="B1302" t="s">
        <v>18</v>
      </c>
      <c r="C1302" t="s">
        <v>12</v>
      </c>
      <c r="D1302" t="s">
        <v>23</v>
      </c>
      <c r="E1302" t="s">
        <v>14</v>
      </c>
      <c r="F1302" t="s">
        <v>21</v>
      </c>
      <c r="G1302" t="s">
        <v>22</v>
      </c>
      <c r="H1302">
        <v>30000</v>
      </c>
      <c r="I1302">
        <v>6</v>
      </c>
      <c r="J1302" t="s">
        <v>24</v>
      </c>
      <c r="K1302">
        <v>24000</v>
      </c>
    </row>
    <row r="1303" spans="1:11" x14ac:dyDescent="0.25">
      <c r="A1303" s="10">
        <v>45711</v>
      </c>
      <c r="B1303" t="s">
        <v>18</v>
      </c>
      <c r="C1303" t="s">
        <v>19</v>
      </c>
      <c r="D1303" t="s">
        <v>23</v>
      </c>
      <c r="E1303" t="s">
        <v>14</v>
      </c>
      <c r="F1303" t="s">
        <v>15</v>
      </c>
      <c r="G1303" t="s">
        <v>16</v>
      </c>
      <c r="H1303">
        <v>85000</v>
      </c>
      <c r="I1303">
        <v>7</v>
      </c>
      <c r="J1303" t="s">
        <v>35</v>
      </c>
      <c r="K1303">
        <v>68000</v>
      </c>
    </row>
    <row r="1304" spans="1:11" x14ac:dyDescent="0.25">
      <c r="A1304" s="10">
        <v>45762</v>
      </c>
      <c r="B1304" t="s">
        <v>18</v>
      </c>
      <c r="C1304" t="s">
        <v>12</v>
      </c>
      <c r="D1304" t="s">
        <v>23</v>
      </c>
      <c r="E1304" t="s">
        <v>20</v>
      </c>
      <c r="F1304" t="s">
        <v>40</v>
      </c>
      <c r="G1304" t="s">
        <v>31</v>
      </c>
      <c r="H1304">
        <v>250000</v>
      </c>
      <c r="I1304">
        <v>3</v>
      </c>
      <c r="J1304" t="s">
        <v>35</v>
      </c>
      <c r="K1304">
        <v>200000</v>
      </c>
    </row>
    <row r="1305" spans="1:11" x14ac:dyDescent="0.25">
      <c r="A1305" s="10">
        <v>45708</v>
      </c>
      <c r="B1305" t="s">
        <v>11</v>
      </c>
      <c r="C1305" t="s">
        <v>19</v>
      </c>
      <c r="D1305" t="s">
        <v>23</v>
      </c>
      <c r="E1305" t="s">
        <v>14</v>
      </c>
      <c r="F1305" t="s">
        <v>34</v>
      </c>
      <c r="G1305" t="s">
        <v>16</v>
      </c>
      <c r="H1305">
        <v>320000</v>
      </c>
      <c r="I1305">
        <v>7</v>
      </c>
      <c r="J1305" t="s">
        <v>28</v>
      </c>
      <c r="K1305">
        <v>256000</v>
      </c>
    </row>
    <row r="1306" spans="1:11" x14ac:dyDescent="0.25">
      <c r="A1306" s="10">
        <v>45668</v>
      </c>
      <c r="B1306" t="s">
        <v>25</v>
      </c>
      <c r="C1306" t="s">
        <v>26</v>
      </c>
      <c r="D1306" t="s">
        <v>23</v>
      </c>
      <c r="E1306" t="s">
        <v>20</v>
      </c>
      <c r="F1306" t="s">
        <v>21</v>
      </c>
      <c r="G1306" t="s">
        <v>22</v>
      </c>
      <c r="H1306">
        <v>30000</v>
      </c>
      <c r="I1306">
        <v>7</v>
      </c>
      <c r="J1306" t="s">
        <v>35</v>
      </c>
      <c r="K1306">
        <v>24000</v>
      </c>
    </row>
    <row r="1307" spans="1:11" x14ac:dyDescent="0.25">
      <c r="A1307" s="10">
        <v>45730</v>
      </c>
      <c r="B1307" t="s">
        <v>11</v>
      </c>
      <c r="C1307" t="s">
        <v>26</v>
      </c>
      <c r="D1307" t="s">
        <v>23</v>
      </c>
      <c r="E1307" t="s">
        <v>14</v>
      </c>
      <c r="F1307" t="s">
        <v>34</v>
      </c>
      <c r="G1307" t="s">
        <v>16</v>
      </c>
      <c r="H1307">
        <v>320000</v>
      </c>
      <c r="I1307">
        <v>8</v>
      </c>
      <c r="J1307" t="s">
        <v>17</v>
      </c>
      <c r="K1307">
        <v>256000</v>
      </c>
    </row>
    <row r="1308" spans="1:11" x14ac:dyDescent="0.25">
      <c r="A1308" s="10">
        <v>45772</v>
      </c>
      <c r="B1308" t="s">
        <v>29</v>
      </c>
      <c r="C1308" t="s">
        <v>32</v>
      </c>
      <c r="D1308" t="s">
        <v>23</v>
      </c>
      <c r="E1308" t="s">
        <v>14</v>
      </c>
      <c r="F1308" t="s">
        <v>34</v>
      </c>
      <c r="G1308" t="s">
        <v>16</v>
      </c>
      <c r="H1308">
        <v>320000</v>
      </c>
      <c r="I1308">
        <v>7</v>
      </c>
      <c r="J1308" t="s">
        <v>37</v>
      </c>
      <c r="K1308">
        <v>256000</v>
      </c>
    </row>
    <row r="1309" spans="1:11" x14ac:dyDescent="0.25">
      <c r="A1309" s="10">
        <v>45770</v>
      </c>
      <c r="B1309" t="s">
        <v>18</v>
      </c>
      <c r="C1309" t="s">
        <v>19</v>
      </c>
      <c r="D1309" t="s">
        <v>23</v>
      </c>
      <c r="E1309" t="s">
        <v>20</v>
      </c>
      <c r="F1309" t="s">
        <v>27</v>
      </c>
      <c r="G1309" t="s">
        <v>22</v>
      </c>
      <c r="H1309">
        <v>60000</v>
      </c>
      <c r="I1309">
        <v>2</v>
      </c>
      <c r="J1309" t="s">
        <v>28</v>
      </c>
      <c r="K1309">
        <v>48000</v>
      </c>
    </row>
    <row r="1310" spans="1:11" x14ac:dyDescent="0.25">
      <c r="A1310" s="10">
        <v>45721</v>
      </c>
      <c r="B1310" t="s">
        <v>11</v>
      </c>
      <c r="C1310" t="s">
        <v>12</v>
      </c>
      <c r="D1310" t="s">
        <v>23</v>
      </c>
      <c r="E1310" t="s">
        <v>20</v>
      </c>
      <c r="F1310" t="s">
        <v>41</v>
      </c>
      <c r="G1310" t="s">
        <v>22</v>
      </c>
      <c r="H1310">
        <v>220000</v>
      </c>
      <c r="I1310">
        <v>8</v>
      </c>
      <c r="J1310" t="s">
        <v>37</v>
      </c>
      <c r="K1310">
        <v>176000</v>
      </c>
    </row>
    <row r="1311" spans="1:11" x14ac:dyDescent="0.25">
      <c r="A1311" s="10">
        <v>45684</v>
      </c>
      <c r="B1311" t="s">
        <v>25</v>
      </c>
      <c r="C1311" t="s">
        <v>26</v>
      </c>
      <c r="D1311" t="s">
        <v>23</v>
      </c>
      <c r="E1311" t="s">
        <v>14</v>
      </c>
      <c r="F1311" t="s">
        <v>27</v>
      </c>
      <c r="G1311" t="s">
        <v>22</v>
      </c>
      <c r="H1311">
        <v>60000</v>
      </c>
      <c r="I1311">
        <v>2</v>
      </c>
      <c r="J1311" t="s">
        <v>28</v>
      </c>
      <c r="K1311">
        <v>48000</v>
      </c>
    </row>
    <row r="1312" spans="1:11" x14ac:dyDescent="0.25">
      <c r="A1312" s="10">
        <v>45753</v>
      </c>
      <c r="B1312" t="s">
        <v>11</v>
      </c>
      <c r="C1312" t="s">
        <v>26</v>
      </c>
      <c r="D1312" t="s">
        <v>23</v>
      </c>
      <c r="E1312" t="s">
        <v>14</v>
      </c>
      <c r="F1312" t="s">
        <v>34</v>
      </c>
      <c r="G1312" t="s">
        <v>16</v>
      </c>
      <c r="H1312">
        <v>320000</v>
      </c>
      <c r="I1312">
        <v>2</v>
      </c>
      <c r="J1312" t="s">
        <v>39</v>
      </c>
      <c r="K1312">
        <v>256000</v>
      </c>
    </row>
    <row r="1313" spans="1:11" x14ac:dyDescent="0.25">
      <c r="A1313" s="10">
        <v>45762</v>
      </c>
      <c r="B1313" t="s">
        <v>18</v>
      </c>
      <c r="C1313" t="s">
        <v>12</v>
      </c>
      <c r="D1313" t="s">
        <v>23</v>
      </c>
      <c r="E1313" t="s">
        <v>20</v>
      </c>
      <c r="F1313" t="s">
        <v>21</v>
      </c>
      <c r="G1313" t="s">
        <v>22</v>
      </c>
      <c r="H1313">
        <v>30000</v>
      </c>
      <c r="I1313">
        <v>2</v>
      </c>
      <c r="J1313" t="s">
        <v>35</v>
      </c>
      <c r="K1313">
        <v>24000</v>
      </c>
    </row>
    <row r="1314" spans="1:11" x14ac:dyDescent="0.25">
      <c r="A1314" s="10">
        <v>45752</v>
      </c>
      <c r="B1314" t="s">
        <v>29</v>
      </c>
      <c r="C1314" t="s">
        <v>19</v>
      </c>
      <c r="D1314" t="s">
        <v>23</v>
      </c>
      <c r="E1314" t="s">
        <v>20</v>
      </c>
      <c r="F1314" t="s">
        <v>21</v>
      </c>
      <c r="G1314" t="s">
        <v>22</v>
      </c>
      <c r="H1314">
        <v>30000</v>
      </c>
      <c r="I1314">
        <v>7</v>
      </c>
      <c r="J1314" t="s">
        <v>35</v>
      </c>
      <c r="K1314">
        <v>24000</v>
      </c>
    </row>
    <row r="1315" spans="1:11" x14ac:dyDescent="0.25">
      <c r="A1315" s="10">
        <v>45728</v>
      </c>
      <c r="B1315" t="s">
        <v>29</v>
      </c>
      <c r="C1315" t="s">
        <v>12</v>
      </c>
      <c r="D1315" t="s">
        <v>23</v>
      </c>
      <c r="E1315" t="s">
        <v>20</v>
      </c>
      <c r="F1315" t="s">
        <v>40</v>
      </c>
      <c r="G1315" t="s">
        <v>31</v>
      </c>
      <c r="H1315">
        <v>250000</v>
      </c>
      <c r="I1315">
        <v>10</v>
      </c>
      <c r="J1315" t="s">
        <v>35</v>
      </c>
      <c r="K1315">
        <v>200000</v>
      </c>
    </row>
    <row r="1316" spans="1:11" x14ac:dyDescent="0.25">
      <c r="A1316" s="10">
        <v>45768</v>
      </c>
      <c r="B1316" t="s">
        <v>18</v>
      </c>
      <c r="C1316" t="s">
        <v>32</v>
      </c>
      <c r="D1316" t="s">
        <v>23</v>
      </c>
      <c r="E1316" t="s">
        <v>20</v>
      </c>
      <c r="F1316" t="s">
        <v>30</v>
      </c>
      <c r="G1316" t="s">
        <v>31</v>
      </c>
      <c r="H1316">
        <v>300000</v>
      </c>
      <c r="I1316">
        <v>9</v>
      </c>
      <c r="J1316" t="s">
        <v>28</v>
      </c>
      <c r="K1316">
        <v>240000</v>
      </c>
    </row>
    <row r="1317" spans="1:11" x14ac:dyDescent="0.25">
      <c r="A1317" s="10">
        <v>45720</v>
      </c>
      <c r="B1317" t="s">
        <v>25</v>
      </c>
      <c r="C1317" t="s">
        <v>26</v>
      </c>
      <c r="D1317" t="s">
        <v>23</v>
      </c>
      <c r="E1317" t="s">
        <v>20</v>
      </c>
      <c r="F1317" t="s">
        <v>15</v>
      </c>
      <c r="G1317" t="s">
        <v>16</v>
      </c>
      <c r="H1317">
        <v>85000</v>
      </c>
      <c r="I1317">
        <v>6</v>
      </c>
      <c r="J1317" t="s">
        <v>37</v>
      </c>
      <c r="K1317">
        <v>68000</v>
      </c>
    </row>
    <row r="1318" spans="1:11" x14ac:dyDescent="0.25">
      <c r="A1318" s="10">
        <v>45687</v>
      </c>
      <c r="B1318" t="s">
        <v>11</v>
      </c>
      <c r="C1318" t="s">
        <v>12</v>
      </c>
      <c r="D1318" t="s">
        <v>23</v>
      </c>
      <c r="E1318" t="s">
        <v>20</v>
      </c>
      <c r="F1318" t="s">
        <v>21</v>
      </c>
      <c r="G1318" t="s">
        <v>22</v>
      </c>
      <c r="H1318">
        <v>30000</v>
      </c>
      <c r="I1318">
        <v>4</v>
      </c>
      <c r="J1318" t="s">
        <v>17</v>
      </c>
      <c r="K1318">
        <v>24000</v>
      </c>
    </row>
    <row r="1319" spans="1:11" x14ac:dyDescent="0.25">
      <c r="A1319" s="10">
        <v>45745</v>
      </c>
      <c r="B1319" t="s">
        <v>25</v>
      </c>
      <c r="C1319" t="s">
        <v>32</v>
      </c>
      <c r="D1319" t="s">
        <v>23</v>
      </c>
      <c r="E1319" t="s">
        <v>14</v>
      </c>
      <c r="F1319" t="s">
        <v>30</v>
      </c>
      <c r="G1319" t="s">
        <v>31</v>
      </c>
      <c r="H1319">
        <v>300000</v>
      </c>
      <c r="I1319">
        <v>4</v>
      </c>
      <c r="J1319" t="s">
        <v>17</v>
      </c>
      <c r="K1319">
        <v>240000</v>
      </c>
    </row>
    <row r="1320" spans="1:11" x14ac:dyDescent="0.25">
      <c r="A1320" s="10">
        <v>45697</v>
      </c>
      <c r="B1320" t="s">
        <v>25</v>
      </c>
      <c r="C1320" t="s">
        <v>32</v>
      </c>
      <c r="D1320" t="s">
        <v>23</v>
      </c>
      <c r="E1320" t="s">
        <v>20</v>
      </c>
      <c r="F1320" t="s">
        <v>41</v>
      </c>
      <c r="G1320" t="s">
        <v>22</v>
      </c>
      <c r="H1320">
        <v>220000</v>
      </c>
      <c r="I1320">
        <v>5</v>
      </c>
      <c r="J1320" t="s">
        <v>35</v>
      </c>
      <c r="K1320">
        <v>176000</v>
      </c>
    </row>
    <row r="1321" spans="1:11" x14ac:dyDescent="0.25">
      <c r="A1321" s="10">
        <v>45679</v>
      </c>
      <c r="B1321" t="s">
        <v>18</v>
      </c>
      <c r="C1321" t="s">
        <v>32</v>
      </c>
      <c r="D1321" t="s">
        <v>23</v>
      </c>
      <c r="E1321" t="s">
        <v>20</v>
      </c>
      <c r="F1321" t="s">
        <v>41</v>
      </c>
      <c r="G1321" t="s">
        <v>22</v>
      </c>
      <c r="H1321">
        <v>220000</v>
      </c>
      <c r="I1321">
        <v>4</v>
      </c>
      <c r="J1321" t="s">
        <v>35</v>
      </c>
      <c r="K1321">
        <v>176000</v>
      </c>
    </row>
    <row r="1322" spans="1:11" x14ac:dyDescent="0.25">
      <c r="A1322" s="10">
        <v>45680</v>
      </c>
      <c r="B1322" t="s">
        <v>18</v>
      </c>
      <c r="C1322" t="s">
        <v>32</v>
      </c>
      <c r="D1322" t="s">
        <v>23</v>
      </c>
      <c r="E1322" t="s">
        <v>14</v>
      </c>
      <c r="F1322" t="s">
        <v>21</v>
      </c>
      <c r="G1322" t="s">
        <v>22</v>
      </c>
      <c r="H1322">
        <v>30000</v>
      </c>
      <c r="I1322">
        <v>1</v>
      </c>
      <c r="J1322" t="s">
        <v>39</v>
      </c>
      <c r="K1322">
        <v>24000</v>
      </c>
    </row>
    <row r="1323" spans="1:11" x14ac:dyDescent="0.25">
      <c r="A1323" s="10">
        <v>45700</v>
      </c>
      <c r="B1323" t="s">
        <v>25</v>
      </c>
      <c r="C1323" t="s">
        <v>19</v>
      </c>
      <c r="D1323" t="s">
        <v>13</v>
      </c>
      <c r="E1323" t="s">
        <v>14</v>
      </c>
      <c r="F1323" t="s">
        <v>38</v>
      </c>
      <c r="G1323" t="s">
        <v>31</v>
      </c>
      <c r="H1323">
        <v>420000</v>
      </c>
      <c r="I1323">
        <v>9</v>
      </c>
      <c r="J1323" t="s">
        <v>24</v>
      </c>
      <c r="K1323">
        <v>336000</v>
      </c>
    </row>
    <row r="1324" spans="1:11" x14ac:dyDescent="0.25">
      <c r="A1324" s="10">
        <v>45760</v>
      </c>
      <c r="B1324" t="s">
        <v>11</v>
      </c>
      <c r="C1324" t="s">
        <v>19</v>
      </c>
      <c r="D1324" t="s">
        <v>23</v>
      </c>
      <c r="E1324" t="s">
        <v>14</v>
      </c>
      <c r="F1324" t="s">
        <v>27</v>
      </c>
      <c r="G1324" t="s">
        <v>22</v>
      </c>
      <c r="H1324">
        <v>60000</v>
      </c>
      <c r="I1324">
        <v>6</v>
      </c>
      <c r="J1324" t="s">
        <v>24</v>
      </c>
      <c r="K1324">
        <v>48000</v>
      </c>
    </row>
    <row r="1325" spans="1:11" x14ac:dyDescent="0.25">
      <c r="A1325" s="10">
        <v>45684</v>
      </c>
      <c r="B1325" t="s">
        <v>11</v>
      </c>
      <c r="C1325" t="s">
        <v>32</v>
      </c>
      <c r="D1325" t="s">
        <v>13</v>
      </c>
      <c r="E1325" t="s">
        <v>14</v>
      </c>
      <c r="F1325" t="s">
        <v>33</v>
      </c>
      <c r="G1325" t="s">
        <v>22</v>
      </c>
      <c r="H1325">
        <v>180000</v>
      </c>
      <c r="I1325">
        <v>2</v>
      </c>
      <c r="J1325" t="s">
        <v>28</v>
      </c>
      <c r="K1325">
        <v>144000</v>
      </c>
    </row>
    <row r="1326" spans="1:11" x14ac:dyDescent="0.25">
      <c r="A1326" s="10">
        <v>45763</v>
      </c>
      <c r="B1326" t="s">
        <v>18</v>
      </c>
      <c r="C1326" t="s">
        <v>19</v>
      </c>
      <c r="D1326" t="s">
        <v>13</v>
      </c>
      <c r="E1326" t="s">
        <v>14</v>
      </c>
      <c r="F1326" t="s">
        <v>15</v>
      </c>
      <c r="G1326" t="s">
        <v>16</v>
      </c>
      <c r="H1326">
        <v>85000</v>
      </c>
      <c r="I1326">
        <v>1</v>
      </c>
      <c r="J1326" t="s">
        <v>24</v>
      </c>
      <c r="K1326">
        <v>68000</v>
      </c>
    </row>
    <row r="1327" spans="1:11" x14ac:dyDescent="0.25">
      <c r="A1327" s="10">
        <v>45701</v>
      </c>
      <c r="B1327" t="s">
        <v>11</v>
      </c>
      <c r="C1327" t="s">
        <v>26</v>
      </c>
      <c r="D1327" t="s">
        <v>13</v>
      </c>
      <c r="E1327" t="s">
        <v>20</v>
      </c>
      <c r="F1327" t="s">
        <v>40</v>
      </c>
      <c r="G1327" t="s">
        <v>31</v>
      </c>
      <c r="H1327">
        <v>250000</v>
      </c>
      <c r="I1327">
        <v>2</v>
      </c>
      <c r="J1327" t="s">
        <v>17</v>
      </c>
      <c r="K1327">
        <v>200000</v>
      </c>
    </row>
    <row r="1328" spans="1:11" x14ac:dyDescent="0.25">
      <c r="A1328" s="10">
        <v>45670</v>
      </c>
      <c r="B1328" t="s">
        <v>29</v>
      </c>
      <c r="C1328" t="s">
        <v>32</v>
      </c>
      <c r="D1328" t="s">
        <v>13</v>
      </c>
      <c r="E1328" t="s">
        <v>20</v>
      </c>
      <c r="F1328" t="s">
        <v>21</v>
      </c>
      <c r="G1328" t="s">
        <v>22</v>
      </c>
      <c r="H1328">
        <v>30000</v>
      </c>
      <c r="I1328">
        <v>7</v>
      </c>
      <c r="J1328" t="s">
        <v>35</v>
      </c>
      <c r="K1328">
        <v>24000</v>
      </c>
    </row>
    <row r="1329" spans="1:11" x14ac:dyDescent="0.25">
      <c r="A1329" s="10">
        <v>45771</v>
      </c>
      <c r="B1329" t="s">
        <v>11</v>
      </c>
      <c r="C1329" t="s">
        <v>19</v>
      </c>
      <c r="D1329" t="s">
        <v>13</v>
      </c>
      <c r="E1329" t="s">
        <v>20</v>
      </c>
      <c r="F1329" t="s">
        <v>38</v>
      </c>
      <c r="G1329" t="s">
        <v>31</v>
      </c>
      <c r="H1329">
        <v>420000</v>
      </c>
      <c r="I1329">
        <v>9</v>
      </c>
      <c r="J1329" t="s">
        <v>35</v>
      </c>
      <c r="K1329">
        <v>336000</v>
      </c>
    </row>
    <row r="1330" spans="1:11" x14ac:dyDescent="0.25">
      <c r="A1330" s="10">
        <v>45676</v>
      </c>
      <c r="B1330" t="s">
        <v>25</v>
      </c>
      <c r="C1330" t="s">
        <v>32</v>
      </c>
      <c r="D1330" t="s">
        <v>13</v>
      </c>
      <c r="E1330" t="s">
        <v>14</v>
      </c>
      <c r="F1330" t="s">
        <v>27</v>
      </c>
      <c r="G1330" t="s">
        <v>22</v>
      </c>
      <c r="H1330">
        <v>60000</v>
      </c>
      <c r="I1330">
        <v>7</v>
      </c>
      <c r="J1330" t="s">
        <v>24</v>
      </c>
      <c r="K1330">
        <v>48000</v>
      </c>
    </row>
    <row r="1331" spans="1:11" x14ac:dyDescent="0.25">
      <c r="A1331" s="10">
        <v>45748</v>
      </c>
      <c r="B1331" t="s">
        <v>29</v>
      </c>
      <c r="C1331" t="s">
        <v>26</v>
      </c>
      <c r="D1331" t="s">
        <v>13</v>
      </c>
      <c r="E1331" t="s">
        <v>20</v>
      </c>
      <c r="F1331" t="s">
        <v>30</v>
      </c>
      <c r="G1331" t="s">
        <v>31</v>
      </c>
      <c r="H1331">
        <v>300000</v>
      </c>
      <c r="I1331">
        <v>7</v>
      </c>
      <c r="J1331" t="s">
        <v>35</v>
      </c>
      <c r="K1331">
        <v>240000</v>
      </c>
    </row>
    <row r="1332" spans="1:11" x14ac:dyDescent="0.25">
      <c r="A1332" s="10">
        <v>45719</v>
      </c>
      <c r="B1332" t="s">
        <v>18</v>
      </c>
      <c r="C1332" t="s">
        <v>12</v>
      </c>
      <c r="D1332" t="s">
        <v>23</v>
      </c>
      <c r="E1332" t="s">
        <v>14</v>
      </c>
      <c r="F1332" t="s">
        <v>36</v>
      </c>
      <c r="G1332" t="s">
        <v>31</v>
      </c>
      <c r="H1332">
        <v>150000</v>
      </c>
      <c r="I1332">
        <v>9</v>
      </c>
      <c r="J1332" t="s">
        <v>39</v>
      </c>
      <c r="K1332">
        <v>120000</v>
      </c>
    </row>
    <row r="1333" spans="1:11" x14ac:dyDescent="0.25">
      <c r="A1333" s="10">
        <v>45693</v>
      </c>
      <c r="B1333" t="s">
        <v>25</v>
      </c>
      <c r="C1333" t="s">
        <v>26</v>
      </c>
      <c r="D1333" t="s">
        <v>23</v>
      </c>
      <c r="E1333" t="s">
        <v>14</v>
      </c>
      <c r="F1333" t="s">
        <v>30</v>
      </c>
      <c r="G1333" t="s">
        <v>31</v>
      </c>
      <c r="H1333">
        <v>300000</v>
      </c>
      <c r="I1333">
        <v>7</v>
      </c>
      <c r="J1333" t="s">
        <v>28</v>
      </c>
      <c r="K1333">
        <v>240000</v>
      </c>
    </row>
    <row r="1334" spans="1:11" x14ac:dyDescent="0.25">
      <c r="A1334" s="10">
        <v>45681</v>
      </c>
      <c r="B1334" t="s">
        <v>11</v>
      </c>
      <c r="C1334" t="s">
        <v>19</v>
      </c>
      <c r="D1334" t="s">
        <v>13</v>
      </c>
      <c r="E1334" t="s">
        <v>14</v>
      </c>
      <c r="F1334" t="s">
        <v>40</v>
      </c>
      <c r="G1334" t="s">
        <v>31</v>
      </c>
      <c r="H1334">
        <v>250000</v>
      </c>
      <c r="I1334">
        <v>1</v>
      </c>
      <c r="J1334" t="s">
        <v>37</v>
      </c>
      <c r="K1334">
        <v>200000</v>
      </c>
    </row>
    <row r="1335" spans="1:11" x14ac:dyDescent="0.25">
      <c r="A1335" s="10">
        <v>45668</v>
      </c>
      <c r="B1335" t="s">
        <v>11</v>
      </c>
      <c r="C1335" t="s">
        <v>19</v>
      </c>
      <c r="D1335" t="s">
        <v>23</v>
      </c>
      <c r="E1335" t="s">
        <v>14</v>
      </c>
      <c r="F1335" t="s">
        <v>40</v>
      </c>
      <c r="G1335" t="s">
        <v>31</v>
      </c>
      <c r="H1335">
        <v>250000</v>
      </c>
      <c r="I1335">
        <v>6</v>
      </c>
      <c r="J1335" t="s">
        <v>28</v>
      </c>
      <c r="K1335">
        <v>200000</v>
      </c>
    </row>
    <row r="1336" spans="1:11" x14ac:dyDescent="0.25">
      <c r="A1336" s="10">
        <v>45675</v>
      </c>
      <c r="B1336" t="s">
        <v>18</v>
      </c>
      <c r="C1336" t="s">
        <v>26</v>
      </c>
      <c r="D1336" t="s">
        <v>23</v>
      </c>
      <c r="E1336" t="s">
        <v>20</v>
      </c>
      <c r="F1336" t="s">
        <v>38</v>
      </c>
      <c r="G1336" t="s">
        <v>31</v>
      </c>
      <c r="H1336">
        <v>420000</v>
      </c>
      <c r="I1336">
        <v>9</v>
      </c>
      <c r="J1336" t="s">
        <v>39</v>
      </c>
      <c r="K1336">
        <v>336000</v>
      </c>
    </row>
    <row r="1337" spans="1:11" x14ac:dyDescent="0.25">
      <c r="A1337" s="10">
        <v>45730</v>
      </c>
      <c r="B1337" t="s">
        <v>25</v>
      </c>
      <c r="C1337" t="s">
        <v>32</v>
      </c>
      <c r="D1337" t="s">
        <v>23</v>
      </c>
      <c r="E1337" t="s">
        <v>14</v>
      </c>
      <c r="F1337" t="s">
        <v>33</v>
      </c>
      <c r="G1337" t="s">
        <v>22</v>
      </c>
      <c r="H1337">
        <v>180000</v>
      </c>
      <c r="I1337">
        <v>6</v>
      </c>
      <c r="J1337" t="s">
        <v>24</v>
      </c>
      <c r="K1337">
        <v>144000</v>
      </c>
    </row>
    <row r="1338" spans="1:11" x14ac:dyDescent="0.25">
      <c r="A1338" s="10">
        <v>45668</v>
      </c>
      <c r="B1338" t="s">
        <v>25</v>
      </c>
      <c r="C1338" t="s">
        <v>26</v>
      </c>
      <c r="D1338" t="s">
        <v>23</v>
      </c>
      <c r="E1338" t="s">
        <v>14</v>
      </c>
      <c r="F1338" t="s">
        <v>15</v>
      </c>
      <c r="G1338" t="s">
        <v>16</v>
      </c>
      <c r="H1338">
        <v>85000</v>
      </c>
      <c r="I1338">
        <v>5</v>
      </c>
      <c r="J1338" t="s">
        <v>39</v>
      </c>
      <c r="K1338">
        <v>68000</v>
      </c>
    </row>
    <row r="1339" spans="1:11" x14ac:dyDescent="0.25">
      <c r="A1339" s="10">
        <v>45777</v>
      </c>
      <c r="B1339" t="s">
        <v>11</v>
      </c>
      <c r="C1339" t="s">
        <v>26</v>
      </c>
      <c r="D1339" t="s">
        <v>23</v>
      </c>
      <c r="E1339" t="s">
        <v>14</v>
      </c>
      <c r="F1339" t="s">
        <v>41</v>
      </c>
      <c r="G1339" t="s">
        <v>22</v>
      </c>
      <c r="H1339">
        <v>220000</v>
      </c>
      <c r="I1339">
        <v>5</v>
      </c>
      <c r="J1339" t="s">
        <v>39</v>
      </c>
      <c r="K1339">
        <v>176000</v>
      </c>
    </row>
    <row r="1340" spans="1:11" x14ac:dyDescent="0.25">
      <c r="A1340" s="10">
        <v>45734</v>
      </c>
      <c r="B1340" t="s">
        <v>18</v>
      </c>
      <c r="C1340" t="s">
        <v>32</v>
      </c>
      <c r="D1340" t="s">
        <v>13</v>
      </c>
      <c r="E1340" t="s">
        <v>14</v>
      </c>
      <c r="F1340" t="s">
        <v>27</v>
      </c>
      <c r="G1340" t="s">
        <v>22</v>
      </c>
      <c r="H1340">
        <v>60000</v>
      </c>
      <c r="I1340">
        <v>8</v>
      </c>
      <c r="J1340" t="s">
        <v>37</v>
      </c>
      <c r="K1340">
        <v>48000</v>
      </c>
    </row>
    <row r="1341" spans="1:11" x14ac:dyDescent="0.25">
      <c r="A1341" s="10">
        <v>45663</v>
      </c>
      <c r="B1341" t="s">
        <v>18</v>
      </c>
      <c r="C1341" t="s">
        <v>32</v>
      </c>
      <c r="D1341" t="s">
        <v>23</v>
      </c>
      <c r="E1341" t="s">
        <v>20</v>
      </c>
      <c r="F1341" t="s">
        <v>15</v>
      </c>
      <c r="G1341" t="s">
        <v>16</v>
      </c>
      <c r="H1341">
        <v>85000</v>
      </c>
      <c r="I1341">
        <v>10</v>
      </c>
      <c r="J1341" t="s">
        <v>35</v>
      </c>
      <c r="K1341">
        <v>68000</v>
      </c>
    </row>
    <row r="1342" spans="1:11" x14ac:dyDescent="0.25">
      <c r="A1342" s="10">
        <v>45705</v>
      </c>
      <c r="B1342" t="s">
        <v>29</v>
      </c>
      <c r="C1342" t="s">
        <v>19</v>
      </c>
      <c r="D1342" t="s">
        <v>13</v>
      </c>
      <c r="E1342" t="s">
        <v>20</v>
      </c>
      <c r="F1342" t="s">
        <v>21</v>
      </c>
      <c r="G1342" t="s">
        <v>22</v>
      </c>
      <c r="H1342">
        <v>30000</v>
      </c>
      <c r="I1342">
        <v>6</v>
      </c>
      <c r="J1342" t="s">
        <v>39</v>
      </c>
      <c r="K1342">
        <v>24000</v>
      </c>
    </row>
    <row r="1343" spans="1:11" x14ac:dyDescent="0.25">
      <c r="A1343" s="10">
        <v>45754</v>
      </c>
      <c r="B1343" t="s">
        <v>11</v>
      </c>
      <c r="C1343" t="s">
        <v>19</v>
      </c>
      <c r="D1343" t="s">
        <v>23</v>
      </c>
      <c r="E1343" t="s">
        <v>20</v>
      </c>
      <c r="F1343" t="s">
        <v>34</v>
      </c>
      <c r="G1343" t="s">
        <v>16</v>
      </c>
      <c r="H1343">
        <v>320000</v>
      </c>
      <c r="I1343">
        <v>10</v>
      </c>
      <c r="J1343" t="s">
        <v>24</v>
      </c>
      <c r="K1343">
        <v>256000</v>
      </c>
    </row>
    <row r="1344" spans="1:11" x14ac:dyDescent="0.25">
      <c r="A1344" s="10">
        <v>45766</v>
      </c>
      <c r="B1344" t="s">
        <v>25</v>
      </c>
      <c r="C1344" t="s">
        <v>32</v>
      </c>
      <c r="D1344" t="s">
        <v>23</v>
      </c>
      <c r="E1344" t="s">
        <v>20</v>
      </c>
      <c r="F1344" t="s">
        <v>27</v>
      </c>
      <c r="G1344" t="s">
        <v>22</v>
      </c>
      <c r="H1344">
        <v>60000</v>
      </c>
      <c r="I1344">
        <v>2</v>
      </c>
      <c r="J1344" t="s">
        <v>24</v>
      </c>
      <c r="K1344">
        <v>48000</v>
      </c>
    </row>
    <row r="1345" spans="1:11" x14ac:dyDescent="0.25">
      <c r="A1345" s="10">
        <v>45758</v>
      </c>
      <c r="B1345" t="s">
        <v>18</v>
      </c>
      <c r="C1345" t="s">
        <v>19</v>
      </c>
      <c r="D1345" t="s">
        <v>23</v>
      </c>
      <c r="E1345" t="s">
        <v>20</v>
      </c>
      <c r="F1345" t="s">
        <v>38</v>
      </c>
      <c r="G1345" t="s">
        <v>31</v>
      </c>
      <c r="H1345">
        <v>420000</v>
      </c>
      <c r="I1345">
        <v>3</v>
      </c>
      <c r="J1345" t="s">
        <v>17</v>
      </c>
      <c r="K1345">
        <v>336000</v>
      </c>
    </row>
    <row r="1346" spans="1:11" x14ac:dyDescent="0.25">
      <c r="A1346" s="10">
        <v>45725</v>
      </c>
      <c r="B1346" t="s">
        <v>18</v>
      </c>
      <c r="C1346" t="s">
        <v>19</v>
      </c>
      <c r="D1346" t="s">
        <v>13</v>
      </c>
      <c r="E1346" t="s">
        <v>14</v>
      </c>
      <c r="F1346" t="s">
        <v>36</v>
      </c>
      <c r="G1346" t="s">
        <v>31</v>
      </c>
      <c r="H1346">
        <v>150000</v>
      </c>
      <c r="I1346">
        <v>5</v>
      </c>
      <c r="J1346" t="s">
        <v>28</v>
      </c>
      <c r="K1346">
        <v>120000</v>
      </c>
    </row>
    <row r="1347" spans="1:11" x14ac:dyDescent="0.25">
      <c r="A1347" s="10">
        <v>45706</v>
      </c>
      <c r="B1347" t="s">
        <v>25</v>
      </c>
      <c r="C1347" t="s">
        <v>19</v>
      </c>
      <c r="D1347" t="s">
        <v>13</v>
      </c>
      <c r="E1347" t="s">
        <v>20</v>
      </c>
      <c r="F1347" t="s">
        <v>36</v>
      </c>
      <c r="G1347" t="s">
        <v>31</v>
      </c>
      <c r="H1347">
        <v>150000</v>
      </c>
      <c r="I1347">
        <v>9</v>
      </c>
      <c r="J1347" t="s">
        <v>35</v>
      </c>
      <c r="K1347">
        <v>120000</v>
      </c>
    </row>
    <row r="1348" spans="1:11" x14ac:dyDescent="0.25">
      <c r="A1348" s="10">
        <v>45704</v>
      </c>
      <c r="B1348" t="s">
        <v>25</v>
      </c>
      <c r="C1348" t="s">
        <v>12</v>
      </c>
      <c r="D1348" t="s">
        <v>23</v>
      </c>
      <c r="E1348" t="s">
        <v>20</v>
      </c>
      <c r="F1348" t="s">
        <v>15</v>
      </c>
      <c r="G1348" t="s">
        <v>16</v>
      </c>
      <c r="H1348">
        <v>85000</v>
      </c>
      <c r="I1348">
        <v>5</v>
      </c>
      <c r="J1348" t="s">
        <v>37</v>
      </c>
      <c r="K1348">
        <v>68000</v>
      </c>
    </row>
    <row r="1349" spans="1:11" x14ac:dyDescent="0.25">
      <c r="A1349" s="10">
        <v>45694</v>
      </c>
      <c r="B1349" t="s">
        <v>29</v>
      </c>
      <c r="C1349" t="s">
        <v>19</v>
      </c>
      <c r="D1349" t="s">
        <v>23</v>
      </c>
      <c r="E1349" t="s">
        <v>14</v>
      </c>
      <c r="F1349" t="s">
        <v>34</v>
      </c>
      <c r="G1349" t="s">
        <v>16</v>
      </c>
      <c r="H1349">
        <v>320000</v>
      </c>
      <c r="I1349">
        <v>1</v>
      </c>
      <c r="J1349" t="s">
        <v>24</v>
      </c>
      <c r="K1349">
        <v>256000</v>
      </c>
    </row>
    <row r="1350" spans="1:11" x14ac:dyDescent="0.25">
      <c r="A1350" s="10">
        <v>45742</v>
      </c>
      <c r="B1350" t="s">
        <v>18</v>
      </c>
      <c r="C1350" t="s">
        <v>12</v>
      </c>
      <c r="D1350" t="s">
        <v>13</v>
      </c>
      <c r="E1350" t="s">
        <v>20</v>
      </c>
      <c r="F1350" t="s">
        <v>21</v>
      </c>
      <c r="G1350" t="s">
        <v>22</v>
      </c>
      <c r="H1350">
        <v>30000</v>
      </c>
      <c r="I1350">
        <v>4</v>
      </c>
      <c r="J1350" t="s">
        <v>28</v>
      </c>
      <c r="K1350">
        <v>24000</v>
      </c>
    </row>
    <row r="1351" spans="1:11" x14ac:dyDescent="0.25">
      <c r="A1351" s="10">
        <v>45774</v>
      </c>
      <c r="B1351" t="s">
        <v>25</v>
      </c>
      <c r="C1351" t="s">
        <v>26</v>
      </c>
      <c r="D1351" t="s">
        <v>23</v>
      </c>
      <c r="E1351" t="s">
        <v>20</v>
      </c>
      <c r="F1351" t="s">
        <v>41</v>
      </c>
      <c r="G1351" t="s">
        <v>22</v>
      </c>
      <c r="H1351">
        <v>220000</v>
      </c>
      <c r="I1351">
        <v>8</v>
      </c>
      <c r="J1351" t="s">
        <v>37</v>
      </c>
      <c r="K1351">
        <v>176000</v>
      </c>
    </row>
    <row r="1352" spans="1:11" x14ac:dyDescent="0.25">
      <c r="A1352" s="10">
        <v>45741</v>
      </c>
      <c r="B1352" t="s">
        <v>11</v>
      </c>
      <c r="C1352" t="s">
        <v>32</v>
      </c>
      <c r="D1352" t="s">
        <v>23</v>
      </c>
      <c r="E1352" t="s">
        <v>20</v>
      </c>
      <c r="F1352" t="s">
        <v>34</v>
      </c>
      <c r="G1352" t="s">
        <v>16</v>
      </c>
      <c r="H1352">
        <v>320000</v>
      </c>
      <c r="I1352">
        <v>5</v>
      </c>
      <c r="J1352" t="s">
        <v>39</v>
      </c>
      <c r="K1352">
        <v>256000</v>
      </c>
    </row>
    <row r="1353" spans="1:11" x14ac:dyDescent="0.25">
      <c r="A1353" s="10">
        <v>45703</v>
      </c>
      <c r="B1353" t="s">
        <v>11</v>
      </c>
      <c r="C1353" t="s">
        <v>32</v>
      </c>
      <c r="D1353" t="s">
        <v>23</v>
      </c>
      <c r="E1353" t="s">
        <v>20</v>
      </c>
      <c r="F1353" t="s">
        <v>15</v>
      </c>
      <c r="G1353" t="s">
        <v>16</v>
      </c>
      <c r="H1353">
        <v>85000</v>
      </c>
      <c r="I1353">
        <v>3</v>
      </c>
      <c r="J1353" t="s">
        <v>37</v>
      </c>
      <c r="K1353">
        <v>68000</v>
      </c>
    </row>
    <row r="1354" spans="1:11" x14ac:dyDescent="0.25">
      <c r="A1354" s="10">
        <v>45689</v>
      </c>
      <c r="B1354" t="s">
        <v>18</v>
      </c>
      <c r="C1354" t="s">
        <v>26</v>
      </c>
      <c r="D1354" t="s">
        <v>13</v>
      </c>
      <c r="E1354" t="s">
        <v>20</v>
      </c>
      <c r="F1354" t="s">
        <v>34</v>
      </c>
      <c r="G1354" t="s">
        <v>16</v>
      </c>
      <c r="H1354">
        <v>320000</v>
      </c>
      <c r="I1354">
        <v>10</v>
      </c>
      <c r="J1354" t="s">
        <v>17</v>
      </c>
      <c r="K1354">
        <v>256000</v>
      </c>
    </row>
    <row r="1355" spans="1:11" x14ac:dyDescent="0.25">
      <c r="A1355" s="10">
        <v>45716</v>
      </c>
      <c r="B1355" t="s">
        <v>11</v>
      </c>
      <c r="C1355" t="s">
        <v>26</v>
      </c>
      <c r="D1355" t="s">
        <v>13</v>
      </c>
      <c r="E1355" t="s">
        <v>14</v>
      </c>
      <c r="F1355" t="s">
        <v>38</v>
      </c>
      <c r="G1355" t="s">
        <v>31</v>
      </c>
      <c r="H1355">
        <v>420000</v>
      </c>
      <c r="I1355">
        <v>2</v>
      </c>
      <c r="J1355" t="s">
        <v>39</v>
      </c>
      <c r="K1355">
        <v>336000</v>
      </c>
    </row>
    <row r="1356" spans="1:11" x14ac:dyDescent="0.25">
      <c r="A1356" s="10">
        <v>45738</v>
      </c>
      <c r="B1356" t="s">
        <v>29</v>
      </c>
      <c r="C1356" t="s">
        <v>32</v>
      </c>
      <c r="D1356" t="s">
        <v>13</v>
      </c>
      <c r="E1356" t="s">
        <v>14</v>
      </c>
      <c r="F1356" t="s">
        <v>21</v>
      </c>
      <c r="G1356" t="s">
        <v>22</v>
      </c>
      <c r="H1356">
        <v>30000</v>
      </c>
      <c r="I1356">
        <v>3</v>
      </c>
      <c r="J1356" t="s">
        <v>17</v>
      </c>
      <c r="K1356">
        <v>24000</v>
      </c>
    </row>
    <row r="1357" spans="1:11" x14ac:dyDescent="0.25">
      <c r="A1357" s="10">
        <v>45757</v>
      </c>
      <c r="B1357" t="s">
        <v>11</v>
      </c>
      <c r="C1357" t="s">
        <v>32</v>
      </c>
      <c r="D1357" t="s">
        <v>23</v>
      </c>
      <c r="E1357" t="s">
        <v>14</v>
      </c>
      <c r="F1357" t="s">
        <v>21</v>
      </c>
      <c r="G1357" t="s">
        <v>22</v>
      </c>
      <c r="H1357">
        <v>30000</v>
      </c>
      <c r="I1357">
        <v>1</v>
      </c>
      <c r="J1357" t="s">
        <v>39</v>
      </c>
      <c r="K1357">
        <v>24000</v>
      </c>
    </row>
    <row r="1358" spans="1:11" x14ac:dyDescent="0.25">
      <c r="A1358" s="10">
        <v>45666</v>
      </c>
      <c r="B1358" t="s">
        <v>18</v>
      </c>
      <c r="C1358" t="s">
        <v>26</v>
      </c>
      <c r="D1358" t="s">
        <v>13</v>
      </c>
      <c r="E1358" t="s">
        <v>20</v>
      </c>
      <c r="F1358" t="s">
        <v>38</v>
      </c>
      <c r="G1358" t="s">
        <v>31</v>
      </c>
      <c r="H1358">
        <v>420000</v>
      </c>
      <c r="I1358">
        <v>10</v>
      </c>
      <c r="J1358" t="s">
        <v>39</v>
      </c>
      <c r="K1358">
        <v>336000</v>
      </c>
    </row>
    <row r="1359" spans="1:11" x14ac:dyDescent="0.25">
      <c r="A1359" s="10">
        <v>45762</v>
      </c>
      <c r="B1359" t="s">
        <v>25</v>
      </c>
      <c r="C1359" t="s">
        <v>26</v>
      </c>
      <c r="D1359" t="s">
        <v>13</v>
      </c>
      <c r="E1359" t="s">
        <v>20</v>
      </c>
      <c r="F1359" t="s">
        <v>36</v>
      </c>
      <c r="G1359" t="s">
        <v>31</v>
      </c>
      <c r="H1359">
        <v>150000</v>
      </c>
      <c r="I1359">
        <v>8</v>
      </c>
      <c r="J1359" t="s">
        <v>17</v>
      </c>
      <c r="K1359">
        <v>120000</v>
      </c>
    </row>
    <row r="1360" spans="1:11" x14ac:dyDescent="0.25">
      <c r="A1360" s="10">
        <v>45717</v>
      </c>
      <c r="B1360" t="s">
        <v>29</v>
      </c>
      <c r="C1360" t="s">
        <v>19</v>
      </c>
      <c r="D1360" t="s">
        <v>23</v>
      </c>
      <c r="E1360" t="s">
        <v>20</v>
      </c>
      <c r="F1360" t="s">
        <v>41</v>
      </c>
      <c r="G1360" t="s">
        <v>22</v>
      </c>
      <c r="H1360">
        <v>220000</v>
      </c>
      <c r="I1360">
        <v>8</v>
      </c>
      <c r="J1360" t="s">
        <v>17</v>
      </c>
      <c r="K1360">
        <v>176000</v>
      </c>
    </row>
    <row r="1361" spans="1:11" x14ac:dyDescent="0.25">
      <c r="A1361" s="10">
        <v>45685</v>
      </c>
      <c r="B1361" t="s">
        <v>18</v>
      </c>
      <c r="C1361" t="s">
        <v>32</v>
      </c>
      <c r="D1361" t="s">
        <v>13</v>
      </c>
      <c r="E1361" t="s">
        <v>20</v>
      </c>
      <c r="F1361" t="s">
        <v>34</v>
      </c>
      <c r="G1361" t="s">
        <v>16</v>
      </c>
      <c r="H1361">
        <v>320000</v>
      </c>
      <c r="I1361">
        <v>9</v>
      </c>
      <c r="J1361" t="s">
        <v>35</v>
      </c>
      <c r="K1361">
        <v>256000</v>
      </c>
    </row>
    <row r="1362" spans="1:11" x14ac:dyDescent="0.25">
      <c r="A1362" s="10">
        <v>45737</v>
      </c>
      <c r="B1362" t="s">
        <v>29</v>
      </c>
      <c r="C1362" t="s">
        <v>12</v>
      </c>
      <c r="D1362" t="s">
        <v>13</v>
      </c>
      <c r="E1362" t="s">
        <v>20</v>
      </c>
      <c r="F1362" t="s">
        <v>41</v>
      </c>
      <c r="G1362" t="s">
        <v>22</v>
      </c>
      <c r="H1362">
        <v>220000</v>
      </c>
      <c r="I1362">
        <v>3</v>
      </c>
      <c r="J1362" t="s">
        <v>39</v>
      </c>
      <c r="K1362">
        <v>176000</v>
      </c>
    </row>
    <row r="1363" spans="1:11" x14ac:dyDescent="0.25">
      <c r="A1363" s="10">
        <v>45713</v>
      </c>
      <c r="B1363" t="s">
        <v>11</v>
      </c>
      <c r="C1363" t="s">
        <v>26</v>
      </c>
      <c r="D1363" t="s">
        <v>23</v>
      </c>
      <c r="E1363" t="s">
        <v>14</v>
      </c>
      <c r="F1363" t="s">
        <v>33</v>
      </c>
      <c r="G1363" t="s">
        <v>22</v>
      </c>
      <c r="H1363">
        <v>180000</v>
      </c>
      <c r="I1363">
        <v>8</v>
      </c>
      <c r="J1363" t="s">
        <v>35</v>
      </c>
      <c r="K1363">
        <v>144000</v>
      </c>
    </row>
    <row r="1364" spans="1:11" x14ac:dyDescent="0.25">
      <c r="A1364" s="10">
        <v>45695</v>
      </c>
      <c r="B1364" t="s">
        <v>29</v>
      </c>
      <c r="C1364" t="s">
        <v>26</v>
      </c>
      <c r="D1364" t="s">
        <v>13</v>
      </c>
      <c r="E1364" t="s">
        <v>20</v>
      </c>
      <c r="F1364" t="s">
        <v>40</v>
      </c>
      <c r="G1364" t="s">
        <v>31</v>
      </c>
      <c r="H1364">
        <v>250000</v>
      </c>
      <c r="I1364">
        <v>4</v>
      </c>
      <c r="J1364" t="s">
        <v>28</v>
      </c>
      <c r="K1364">
        <v>200000</v>
      </c>
    </row>
    <row r="1365" spans="1:11" x14ac:dyDescent="0.25">
      <c r="A1365" s="10">
        <v>45711</v>
      </c>
      <c r="B1365" t="s">
        <v>29</v>
      </c>
      <c r="C1365" t="s">
        <v>19</v>
      </c>
      <c r="D1365" t="s">
        <v>23</v>
      </c>
      <c r="E1365" t="s">
        <v>20</v>
      </c>
      <c r="F1365" t="s">
        <v>27</v>
      </c>
      <c r="G1365" t="s">
        <v>22</v>
      </c>
      <c r="H1365">
        <v>60000</v>
      </c>
      <c r="I1365">
        <v>7</v>
      </c>
      <c r="J1365" t="s">
        <v>35</v>
      </c>
      <c r="K1365">
        <v>48000</v>
      </c>
    </row>
    <row r="1366" spans="1:11" x14ac:dyDescent="0.25">
      <c r="A1366" s="10">
        <v>45675</v>
      </c>
      <c r="B1366" t="s">
        <v>29</v>
      </c>
      <c r="C1366" t="s">
        <v>12</v>
      </c>
      <c r="D1366" t="s">
        <v>23</v>
      </c>
      <c r="E1366" t="s">
        <v>20</v>
      </c>
      <c r="F1366" t="s">
        <v>41</v>
      </c>
      <c r="G1366" t="s">
        <v>22</v>
      </c>
      <c r="H1366">
        <v>220000</v>
      </c>
      <c r="I1366">
        <v>10</v>
      </c>
      <c r="J1366" t="s">
        <v>39</v>
      </c>
      <c r="K1366">
        <v>176000</v>
      </c>
    </row>
    <row r="1367" spans="1:11" x14ac:dyDescent="0.25">
      <c r="A1367" s="10">
        <v>45761</v>
      </c>
      <c r="B1367" t="s">
        <v>25</v>
      </c>
      <c r="C1367" t="s">
        <v>26</v>
      </c>
      <c r="D1367" t="s">
        <v>13</v>
      </c>
      <c r="E1367" t="s">
        <v>14</v>
      </c>
      <c r="F1367" t="s">
        <v>27</v>
      </c>
      <c r="G1367" t="s">
        <v>22</v>
      </c>
      <c r="H1367">
        <v>60000</v>
      </c>
      <c r="I1367">
        <v>9</v>
      </c>
      <c r="J1367" t="s">
        <v>39</v>
      </c>
      <c r="K1367">
        <v>48000</v>
      </c>
    </row>
    <row r="1368" spans="1:11" x14ac:dyDescent="0.25">
      <c r="A1368" s="10">
        <v>45704</v>
      </c>
      <c r="B1368" t="s">
        <v>11</v>
      </c>
      <c r="C1368" t="s">
        <v>26</v>
      </c>
      <c r="D1368" t="s">
        <v>23</v>
      </c>
      <c r="E1368" t="s">
        <v>14</v>
      </c>
      <c r="F1368" t="s">
        <v>27</v>
      </c>
      <c r="G1368" t="s">
        <v>22</v>
      </c>
      <c r="H1368">
        <v>60000</v>
      </c>
      <c r="I1368">
        <v>2</v>
      </c>
      <c r="J1368" t="s">
        <v>28</v>
      </c>
      <c r="K1368">
        <v>48000</v>
      </c>
    </row>
    <row r="1369" spans="1:11" x14ac:dyDescent="0.25">
      <c r="A1369" s="10">
        <v>45703</v>
      </c>
      <c r="B1369" t="s">
        <v>18</v>
      </c>
      <c r="C1369" t="s">
        <v>19</v>
      </c>
      <c r="D1369" t="s">
        <v>23</v>
      </c>
      <c r="E1369" t="s">
        <v>14</v>
      </c>
      <c r="F1369" t="s">
        <v>36</v>
      </c>
      <c r="G1369" t="s">
        <v>31</v>
      </c>
      <c r="H1369">
        <v>150000</v>
      </c>
      <c r="I1369">
        <v>3</v>
      </c>
      <c r="J1369" t="s">
        <v>17</v>
      </c>
      <c r="K1369">
        <v>120000</v>
      </c>
    </row>
    <row r="1370" spans="1:11" x14ac:dyDescent="0.25">
      <c r="A1370" s="10">
        <v>45668</v>
      </c>
      <c r="B1370" t="s">
        <v>11</v>
      </c>
      <c r="C1370" t="s">
        <v>19</v>
      </c>
      <c r="D1370" t="s">
        <v>23</v>
      </c>
      <c r="E1370" t="s">
        <v>14</v>
      </c>
      <c r="F1370" t="s">
        <v>36</v>
      </c>
      <c r="G1370" t="s">
        <v>31</v>
      </c>
      <c r="H1370">
        <v>150000</v>
      </c>
      <c r="I1370">
        <v>10</v>
      </c>
      <c r="J1370" t="s">
        <v>17</v>
      </c>
      <c r="K1370">
        <v>120000</v>
      </c>
    </row>
    <row r="1371" spans="1:11" x14ac:dyDescent="0.25">
      <c r="A1371" s="10">
        <v>45676</v>
      </c>
      <c r="B1371" t="s">
        <v>29</v>
      </c>
      <c r="C1371" t="s">
        <v>26</v>
      </c>
      <c r="D1371" t="s">
        <v>23</v>
      </c>
      <c r="E1371" t="s">
        <v>14</v>
      </c>
      <c r="F1371" t="s">
        <v>36</v>
      </c>
      <c r="G1371" t="s">
        <v>31</v>
      </c>
      <c r="H1371">
        <v>150000</v>
      </c>
      <c r="I1371">
        <v>9</v>
      </c>
      <c r="J1371" t="s">
        <v>35</v>
      </c>
      <c r="K1371">
        <v>120000</v>
      </c>
    </row>
    <row r="1372" spans="1:11" x14ac:dyDescent="0.25">
      <c r="A1372" s="10">
        <v>45670</v>
      </c>
      <c r="B1372" t="s">
        <v>11</v>
      </c>
      <c r="C1372" t="s">
        <v>32</v>
      </c>
      <c r="D1372" t="s">
        <v>13</v>
      </c>
      <c r="E1372" t="s">
        <v>14</v>
      </c>
      <c r="F1372" t="s">
        <v>34</v>
      </c>
      <c r="G1372" t="s">
        <v>16</v>
      </c>
      <c r="H1372">
        <v>320000</v>
      </c>
      <c r="I1372">
        <v>5</v>
      </c>
      <c r="J1372" t="s">
        <v>39</v>
      </c>
      <c r="K1372">
        <v>256000</v>
      </c>
    </row>
    <row r="1373" spans="1:11" x14ac:dyDescent="0.25">
      <c r="A1373" s="10">
        <v>45672</v>
      </c>
      <c r="B1373" t="s">
        <v>18</v>
      </c>
      <c r="C1373" t="s">
        <v>32</v>
      </c>
      <c r="D1373" t="s">
        <v>13</v>
      </c>
      <c r="E1373" t="s">
        <v>14</v>
      </c>
      <c r="F1373" t="s">
        <v>33</v>
      </c>
      <c r="G1373" t="s">
        <v>22</v>
      </c>
      <c r="H1373">
        <v>180000</v>
      </c>
      <c r="I1373">
        <v>3</v>
      </c>
      <c r="J1373" t="s">
        <v>17</v>
      </c>
      <c r="K1373">
        <v>144000</v>
      </c>
    </row>
    <row r="1374" spans="1:11" x14ac:dyDescent="0.25">
      <c r="A1374" s="10">
        <v>45675</v>
      </c>
      <c r="B1374" t="s">
        <v>11</v>
      </c>
      <c r="C1374" t="s">
        <v>26</v>
      </c>
      <c r="D1374" t="s">
        <v>23</v>
      </c>
      <c r="E1374" t="s">
        <v>14</v>
      </c>
      <c r="F1374" t="s">
        <v>15</v>
      </c>
      <c r="G1374" t="s">
        <v>16</v>
      </c>
      <c r="H1374">
        <v>85000</v>
      </c>
      <c r="I1374">
        <v>4</v>
      </c>
      <c r="J1374" t="s">
        <v>35</v>
      </c>
      <c r="K1374">
        <v>68000</v>
      </c>
    </row>
    <row r="1375" spans="1:11" x14ac:dyDescent="0.25">
      <c r="A1375" s="10">
        <v>45730</v>
      </c>
      <c r="B1375" t="s">
        <v>11</v>
      </c>
      <c r="C1375" t="s">
        <v>32</v>
      </c>
      <c r="D1375" t="s">
        <v>23</v>
      </c>
      <c r="E1375" t="s">
        <v>20</v>
      </c>
      <c r="F1375" t="s">
        <v>34</v>
      </c>
      <c r="G1375" t="s">
        <v>16</v>
      </c>
      <c r="H1375">
        <v>320000</v>
      </c>
      <c r="I1375">
        <v>7</v>
      </c>
      <c r="J1375" t="s">
        <v>39</v>
      </c>
      <c r="K1375">
        <v>256000</v>
      </c>
    </row>
    <row r="1376" spans="1:11" x14ac:dyDescent="0.25">
      <c r="A1376" s="10">
        <v>45749</v>
      </c>
      <c r="B1376" t="s">
        <v>25</v>
      </c>
      <c r="C1376" t="s">
        <v>19</v>
      </c>
      <c r="D1376" t="s">
        <v>13</v>
      </c>
      <c r="E1376" t="s">
        <v>20</v>
      </c>
      <c r="F1376" t="s">
        <v>41</v>
      </c>
      <c r="G1376" t="s">
        <v>22</v>
      </c>
      <c r="H1376">
        <v>220000</v>
      </c>
      <c r="I1376">
        <v>5</v>
      </c>
      <c r="J1376" t="s">
        <v>35</v>
      </c>
      <c r="K1376">
        <v>176000</v>
      </c>
    </row>
    <row r="1377" spans="1:11" x14ac:dyDescent="0.25">
      <c r="A1377" s="10">
        <v>45736</v>
      </c>
      <c r="B1377" t="s">
        <v>25</v>
      </c>
      <c r="C1377" t="s">
        <v>19</v>
      </c>
      <c r="D1377" t="s">
        <v>23</v>
      </c>
      <c r="E1377" t="s">
        <v>20</v>
      </c>
      <c r="F1377" t="s">
        <v>36</v>
      </c>
      <c r="G1377" t="s">
        <v>31</v>
      </c>
      <c r="H1377">
        <v>150000</v>
      </c>
      <c r="I1377">
        <v>3</v>
      </c>
      <c r="J1377" t="s">
        <v>17</v>
      </c>
      <c r="K1377">
        <v>120000</v>
      </c>
    </row>
    <row r="1378" spans="1:11" x14ac:dyDescent="0.25">
      <c r="A1378" s="10">
        <v>45659</v>
      </c>
      <c r="B1378" t="s">
        <v>11</v>
      </c>
      <c r="C1378" t="s">
        <v>19</v>
      </c>
      <c r="D1378" t="s">
        <v>23</v>
      </c>
      <c r="E1378" t="s">
        <v>14</v>
      </c>
      <c r="F1378" t="s">
        <v>38</v>
      </c>
      <c r="G1378" t="s">
        <v>31</v>
      </c>
      <c r="H1378">
        <v>420000</v>
      </c>
      <c r="I1378">
        <v>8</v>
      </c>
      <c r="J1378" t="s">
        <v>24</v>
      </c>
      <c r="K1378">
        <v>336000</v>
      </c>
    </row>
    <row r="1379" spans="1:11" x14ac:dyDescent="0.25">
      <c r="A1379" s="10">
        <v>45664</v>
      </c>
      <c r="B1379" t="s">
        <v>18</v>
      </c>
      <c r="C1379" t="s">
        <v>32</v>
      </c>
      <c r="D1379" t="s">
        <v>13</v>
      </c>
      <c r="E1379" t="s">
        <v>14</v>
      </c>
      <c r="F1379" t="s">
        <v>41</v>
      </c>
      <c r="G1379" t="s">
        <v>22</v>
      </c>
      <c r="H1379">
        <v>220000</v>
      </c>
      <c r="I1379">
        <v>9</v>
      </c>
      <c r="J1379" t="s">
        <v>24</v>
      </c>
      <c r="K1379">
        <v>176000</v>
      </c>
    </row>
    <row r="1380" spans="1:11" x14ac:dyDescent="0.25">
      <c r="A1380" s="10">
        <v>45778</v>
      </c>
      <c r="B1380" t="s">
        <v>29</v>
      </c>
      <c r="C1380" t="s">
        <v>12</v>
      </c>
      <c r="D1380" t="s">
        <v>13</v>
      </c>
      <c r="E1380" t="s">
        <v>14</v>
      </c>
      <c r="F1380" t="s">
        <v>38</v>
      </c>
      <c r="G1380" t="s">
        <v>31</v>
      </c>
      <c r="H1380">
        <v>420000</v>
      </c>
      <c r="I1380">
        <v>3</v>
      </c>
      <c r="J1380" t="s">
        <v>39</v>
      </c>
      <c r="K1380">
        <v>336000</v>
      </c>
    </row>
    <row r="1381" spans="1:11" x14ac:dyDescent="0.25">
      <c r="A1381" s="10">
        <v>45671</v>
      </c>
      <c r="B1381" t="s">
        <v>29</v>
      </c>
      <c r="C1381" t="s">
        <v>12</v>
      </c>
      <c r="D1381" t="s">
        <v>13</v>
      </c>
      <c r="E1381" t="s">
        <v>20</v>
      </c>
      <c r="F1381" t="s">
        <v>40</v>
      </c>
      <c r="G1381" t="s">
        <v>31</v>
      </c>
      <c r="H1381">
        <v>250000</v>
      </c>
      <c r="I1381">
        <v>1</v>
      </c>
      <c r="J1381" t="s">
        <v>28</v>
      </c>
      <c r="K1381">
        <v>200000</v>
      </c>
    </row>
    <row r="1382" spans="1:11" x14ac:dyDescent="0.25">
      <c r="A1382" s="10">
        <v>45679</v>
      </c>
      <c r="B1382" t="s">
        <v>18</v>
      </c>
      <c r="C1382" t="s">
        <v>19</v>
      </c>
      <c r="D1382" t="s">
        <v>13</v>
      </c>
      <c r="E1382" t="s">
        <v>20</v>
      </c>
      <c r="F1382" t="s">
        <v>34</v>
      </c>
      <c r="G1382" t="s">
        <v>16</v>
      </c>
      <c r="H1382">
        <v>320000</v>
      </c>
      <c r="I1382">
        <v>7</v>
      </c>
      <c r="J1382" t="s">
        <v>37</v>
      </c>
      <c r="K1382">
        <v>256000</v>
      </c>
    </row>
    <row r="1383" spans="1:11" x14ac:dyDescent="0.25">
      <c r="A1383" s="10">
        <v>45687</v>
      </c>
      <c r="B1383" t="s">
        <v>29</v>
      </c>
      <c r="C1383" t="s">
        <v>19</v>
      </c>
      <c r="D1383" t="s">
        <v>13</v>
      </c>
      <c r="E1383" t="s">
        <v>14</v>
      </c>
      <c r="F1383" t="s">
        <v>38</v>
      </c>
      <c r="G1383" t="s">
        <v>31</v>
      </c>
      <c r="H1383">
        <v>420000</v>
      </c>
      <c r="I1383">
        <v>2</v>
      </c>
      <c r="J1383" t="s">
        <v>39</v>
      </c>
      <c r="K1383">
        <v>336000</v>
      </c>
    </row>
    <row r="1384" spans="1:11" x14ac:dyDescent="0.25">
      <c r="A1384" s="10">
        <v>45741</v>
      </c>
      <c r="B1384" t="s">
        <v>25</v>
      </c>
      <c r="C1384" t="s">
        <v>12</v>
      </c>
      <c r="D1384" t="s">
        <v>13</v>
      </c>
      <c r="E1384" t="s">
        <v>20</v>
      </c>
      <c r="F1384" t="s">
        <v>34</v>
      </c>
      <c r="G1384" t="s">
        <v>16</v>
      </c>
      <c r="H1384">
        <v>320000</v>
      </c>
      <c r="I1384">
        <v>3</v>
      </c>
      <c r="J1384" t="s">
        <v>28</v>
      </c>
      <c r="K1384">
        <v>256000</v>
      </c>
    </row>
    <row r="1385" spans="1:11" x14ac:dyDescent="0.25">
      <c r="A1385" s="10">
        <v>45706</v>
      </c>
      <c r="B1385" t="s">
        <v>25</v>
      </c>
      <c r="C1385" t="s">
        <v>12</v>
      </c>
      <c r="D1385" t="s">
        <v>23</v>
      </c>
      <c r="E1385" t="s">
        <v>14</v>
      </c>
      <c r="F1385" t="s">
        <v>36</v>
      </c>
      <c r="G1385" t="s">
        <v>31</v>
      </c>
      <c r="H1385">
        <v>150000</v>
      </c>
      <c r="I1385">
        <v>2</v>
      </c>
      <c r="J1385" t="s">
        <v>37</v>
      </c>
      <c r="K1385">
        <v>120000</v>
      </c>
    </row>
    <row r="1386" spans="1:11" x14ac:dyDescent="0.25">
      <c r="A1386" s="10">
        <v>45699</v>
      </c>
      <c r="B1386" t="s">
        <v>11</v>
      </c>
      <c r="C1386" t="s">
        <v>19</v>
      </c>
      <c r="D1386" t="s">
        <v>23</v>
      </c>
      <c r="E1386" t="s">
        <v>20</v>
      </c>
      <c r="F1386" t="s">
        <v>38</v>
      </c>
      <c r="G1386" t="s">
        <v>31</v>
      </c>
      <c r="H1386">
        <v>420000</v>
      </c>
      <c r="I1386">
        <v>8</v>
      </c>
      <c r="J1386" t="s">
        <v>28</v>
      </c>
      <c r="K1386">
        <v>336000</v>
      </c>
    </row>
    <row r="1387" spans="1:11" x14ac:dyDescent="0.25">
      <c r="A1387" s="10">
        <v>45776</v>
      </c>
      <c r="B1387" t="s">
        <v>18</v>
      </c>
      <c r="C1387" t="s">
        <v>12</v>
      </c>
      <c r="D1387" t="s">
        <v>23</v>
      </c>
      <c r="E1387" t="s">
        <v>20</v>
      </c>
      <c r="F1387" t="s">
        <v>38</v>
      </c>
      <c r="G1387" t="s">
        <v>31</v>
      </c>
      <c r="H1387">
        <v>420000</v>
      </c>
      <c r="I1387">
        <v>1</v>
      </c>
      <c r="J1387" t="s">
        <v>39</v>
      </c>
      <c r="K1387">
        <v>336000</v>
      </c>
    </row>
    <row r="1388" spans="1:11" x14ac:dyDescent="0.25">
      <c r="A1388" s="10">
        <v>45726</v>
      </c>
      <c r="B1388" t="s">
        <v>11</v>
      </c>
      <c r="C1388" t="s">
        <v>32</v>
      </c>
      <c r="D1388" t="s">
        <v>13</v>
      </c>
      <c r="E1388" t="s">
        <v>14</v>
      </c>
      <c r="F1388" t="s">
        <v>30</v>
      </c>
      <c r="G1388" t="s">
        <v>31</v>
      </c>
      <c r="H1388">
        <v>300000</v>
      </c>
      <c r="I1388">
        <v>5</v>
      </c>
      <c r="J1388" t="s">
        <v>35</v>
      </c>
      <c r="K1388">
        <v>240000</v>
      </c>
    </row>
    <row r="1389" spans="1:11" x14ac:dyDescent="0.25">
      <c r="A1389" s="10">
        <v>45712</v>
      </c>
      <c r="B1389" t="s">
        <v>18</v>
      </c>
      <c r="C1389" t="s">
        <v>12</v>
      </c>
      <c r="D1389" t="s">
        <v>13</v>
      </c>
      <c r="E1389" t="s">
        <v>20</v>
      </c>
      <c r="F1389" t="s">
        <v>33</v>
      </c>
      <c r="G1389" t="s">
        <v>22</v>
      </c>
      <c r="H1389">
        <v>180000</v>
      </c>
      <c r="I1389">
        <v>7</v>
      </c>
      <c r="J1389" t="s">
        <v>37</v>
      </c>
      <c r="K1389">
        <v>144000</v>
      </c>
    </row>
    <row r="1390" spans="1:11" x14ac:dyDescent="0.25">
      <c r="A1390" s="10">
        <v>45674</v>
      </c>
      <c r="B1390" t="s">
        <v>11</v>
      </c>
      <c r="C1390" t="s">
        <v>32</v>
      </c>
      <c r="D1390" t="s">
        <v>13</v>
      </c>
      <c r="E1390" t="s">
        <v>20</v>
      </c>
      <c r="F1390" t="s">
        <v>36</v>
      </c>
      <c r="G1390" t="s">
        <v>31</v>
      </c>
      <c r="H1390">
        <v>150000</v>
      </c>
      <c r="I1390">
        <v>10</v>
      </c>
      <c r="J1390" t="s">
        <v>24</v>
      </c>
      <c r="K1390">
        <v>120000</v>
      </c>
    </row>
    <row r="1391" spans="1:11" x14ac:dyDescent="0.25">
      <c r="A1391" s="10">
        <v>45694</v>
      </c>
      <c r="B1391" t="s">
        <v>11</v>
      </c>
      <c r="C1391" t="s">
        <v>32</v>
      </c>
      <c r="D1391" t="s">
        <v>23</v>
      </c>
      <c r="E1391" t="s">
        <v>14</v>
      </c>
      <c r="F1391" t="s">
        <v>30</v>
      </c>
      <c r="G1391" t="s">
        <v>31</v>
      </c>
      <c r="H1391">
        <v>300000</v>
      </c>
      <c r="I1391">
        <v>7</v>
      </c>
      <c r="J1391" t="s">
        <v>35</v>
      </c>
      <c r="K1391">
        <v>240000</v>
      </c>
    </row>
    <row r="1392" spans="1:11" x14ac:dyDescent="0.25">
      <c r="A1392" s="10">
        <v>45697</v>
      </c>
      <c r="B1392" t="s">
        <v>29</v>
      </c>
      <c r="C1392" t="s">
        <v>19</v>
      </c>
      <c r="D1392" t="s">
        <v>13</v>
      </c>
      <c r="E1392" t="s">
        <v>20</v>
      </c>
      <c r="F1392" t="s">
        <v>41</v>
      </c>
      <c r="G1392" t="s">
        <v>22</v>
      </c>
      <c r="H1392">
        <v>220000</v>
      </c>
      <c r="I1392">
        <v>2</v>
      </c>
      <c r="J1392" t="s">
        <v>17</v>
      </c>
      <c r="K1392">
        <v>176000</v>
      </c>
    </row>
    <row r="1393" spans="1:11" x14ac:dyDescent="0.25">
      <c r="A1393" s="10">
        <v>45772</v>
      </c>
      <c r="B1393" t="s">
        <v>18</v>
      </c>
      <c r="C1393" t="s">
        <v>12</v>
      </c>
      <c r="D1393" t="s">
        <v>13</v>
      </c>
      <c r="E1393" t="s">
        <v>20</v>
      </c>
      <c r="F1393" t="s">
        <v>15</v>
      </c>
      <c r="G1393" t="s">
        <v>16</v>
      </c>
      <c r="H1393">
        <v>85000</v>
      </c>
      <c r="I1393">
        <v>8</v>
      </c>
      <c r="J1393" t="s">
        <v>28</v>
      </c>
      <c r="K1393">
        <v>68000</v>
      </c>
    </row>
    <row r="1394" spans="1:11" x14ac:dyDescent="0.25">
      <c r="A1394" s="10">
        <v>45755</v>
      </c>
      <c r="B1394" t="s">
        <v>11</v>
      </c>
      <c r="C1394" t="s">
        <v>19</v>
      </c>
      <c r="D1394" t="s">
        <v>13</v>
      </c>
      <c r="E1394" t="s">
        <v>14</v>
      </c>
      <c r="F1394" t="s">
        <v>41</v>
      </c>
      <c r="G1394" t="s">
        <v>22</v>
      </c>
      <c r="H1394">
        <v>220000</v>
      </c>
      <c r="I1394">
        <v>7</v>
      </c>
      <c r="J1394" t="s">
        <v>39</v>
      </c>
      <c r="K1394">
        <v>176000</v>
      </c>
    </row>
    <row r="1395" spans="1:11" x14ac:dyDescent="0.25">
      <c r="A1395" s="10">
        <v>45769</v>
      </c>
      <c r="B1395" t="s">
        <v>29</v>
      </c>
      <c r="C1395" t="s">
        <v>32</v>
      </c>
      <c r="D1395" t="s">
        <v>13</v>
      </c>
      <c r="E1395" t="s">
        <v>20</v>
      </c>
      <c r="F1395" t="s">
        <v>41</v>
      </c>
      <c r="G1395" t="s">
        <v>22</v>
      </c>
      <c r="H1395">
        <v>220000</v>
      </c>
      <c r="I1395">
        <v>6</v>
      </c>
      <c r="J1395" t="s">
        <v>35</v>
      </c>
      <c r="K1395">
        <v>176000</v>
      </c>
    </row>
    <row r="1396" spans="1:11" x14ac:dyDescent="0.25">
      <c r="A1396" s="10">
        <v>45737</v>
      </c>
      <c r="B1396" t="s">
        <v>29</v>
      </c>
      <c r="C1396" t="s">
        <v>12</v>
      </c>
      <c r="D1396" t="s">
        <v>13</v>
      </c>
      <c r="E1396" t="s">
        <v>20</v>
      </c>
      <c r="F1396" t="s">
        <v>33</v>
      </c>
      <c r="G1396" t="s">
        <v>22</v>
      </c>
      <c r="H1396">
        <v>180000</v>
      </c>
      <c r="I1396">
        <v>3</v>
      </c>
      <c r="J1396" t="s">
        <v>28</v>
      </c>
      <c r="K1396">
        <v>144000</v>
      </c>
    </row>
    <row r="1397" spans="1:11" x14ac:dyDescent="0.25">
      <c r="A1397" s="10">
        <v>45683</v>
      </c>
      <c r="B1397" t="s">
        <v>25</v>
      </c>
      <c r="C1397" t="s">
        <v>19</v>
      </c>
      <c r="D1397" t="s">
        <v>13</v>
      </c>
      <c r="E1397" t="s">
        <v>14</v>
      </c>
      <c r="F1397" t="s">
        <v>40</v>
      </c>
      <c r="G1397" t="s">
        <v>31</v>
      </c>
      <c r="H1397">
        <v>250000</v>
      </c>
      <c r="I1397">
        <v>6</v>
      </c>
      <c r="J1397" t="s">
        <v>35</v>
      </c>
      <c r="K1397">
        <v>200000</v>
      </c>
    </row>
    <row r="1398" spans="1:11" x14ac:dyDescent="0.25">
      <c r="A1398" s="10">
        <v>45744</v>
      </c>
      <c r="B1398" t="s">
        <v>11</v>
      </c>
      <c r="C1398" t="s">
        <v>26</v>
      </c>
      <c r="D1398" t="s">
        <v>23</v>
      </c>
      <c r="E1398" t="s">
        <v>20</v>
      </c>
      <c r="F1398" t="s">
        <v>36</v>
      </c>
      <c r="G1398" t="s">
        <v>31</v>
      </c>
      <c r="H1398">
        <v>150000</v>
      </c>
      <c r="I1398">
        <v>7</v>
      </c>
      <c r="J1398" t="s">
        <v>37</v>
      </c>
      <c r="K1398">
        <v>120000</v>
      </c>
    </row>
    <row r="1399" spans="1:11" x14ac:dyDescent="0.25">
      <c r="A1399" s="10">
        <v>45775</v>
      </c>
      <c r="B1399" t="s">
        <v>25</v>
      </c>
      <c r="C1399" t="s">
        <v>12</v>
      </c>
      <c r="D1399" t="s">
        <v>13</v>
      </c>
      <c r="E1399" t="s">
        <v>14</v>
      </c>
      <c r="F1399" t="s">
        <v>30</v>
      </c>
      <c r="G1399" t="s">
        <v>31</v>
      </c>
      <c r="H1399">
        <v>300000</v>
      </c>
      <c r="I1399">
        <v>9</v>
      </c>
      <c r="J1399" t="s">
        <v>17</v>
      </c>
      <c r="K1399">
        <v>240000</v>
      </c>
    </row>
    <row r="1400" spans="1:11" x14ac:dyDescent="0.25">
      <c r="A1400" s="10">
        <v>45771</v>
      </c>
      <c r="B1400" t="s">
        <v>11</v>
      </c>
      <c r="C1400" t="s">
        <v>26</v>
      </c>
      <c r="D1400" t="s">
        <v>13</v>
      </c>
      <c r="E1400" t="s">
        <v>14</v>
      </c>
      <c r="F1400" t="s">
        <v>38</v>
      </c>
      <c r="G1400" t="s">
        <v>31</v>
      </c>
      <c r="H1400">
        <v>420000</v>
      </c>
      <c r="I1400">
        <v>5</v>
      </c>
      <c r="J1400" t="s">
        <v>28</v>
      </c>
      <c r="K1400">
        <v>336000</v>
      </c>
    </row>
    <row r="1401" spans="1:11" x14ac:dyDescent="0.25">
      <c r="A1401" s="10">
        <v>45743</v>
      </c>
      <c r="B1401" t="s">
        <v>25</v>
      </c>
      <c r="C1401" t="s">
        <v>12</v>
      </c>
      <c r="D1401" t="s">
        <v>13</v>
      </c>
      <c r="E1401" t="s">
        <v>20</v>
      </c>
      <c r="F1401" t="s">
        <v>30</v>
      </c>
      <c r="G1401" t="s">
        <v>31</v>
      </c>
      <c r="H1401">
        <v>300000</v>
      </c>
      <c r="I1401">
        <v>3</v>
      </c>
      <c r="J1401" t="s">
        <v>28</v>
      </c>
      <c r="K1401">
        <v>240000</v>
      </c>
    </row>
    <row r="1402" spans="1:11" x14ac:dyDescent="0.25">
      <c r="A1402" s="10">
        <v>45694</v>
      </c>
      <c r="B1402" t="s">
        <v>18</v>
      </c>
      <c r="C1402" t="s">
        <v>12</v>
      </c>
      <c r="D1402" t="s">
        <v>23</v>
      </c>
      <c r="E1402" t="s">
        <v>20</v>
      </c>
      <c r="F1402" t="s">
        <v>40</v>
      </c>
      <c r="G1402" t="s">
        <v>31</v>
      </c>
      <c r="H1402">
        <v>250000</v>
      </c>
      <c r="I1402">
        <v>5</v>
      </c>
      <c r="J1402" t="s">
        <v>17</v>
      </c>
      <c r="K1402">
        <v>200000</v>
      </c>
    </row>
    <row r="1403" spans="1:11" x14ac:dyDescent="0.25">
      <c r="A1403" s="10">
        <v>45774</v>
      </c>
      <c r="B1403" t="s">
        <v>11</v>
      </c>
      <c r="C1403" t="s">
        <v>32</v>
      </c>
      <c r="D1403" t="s">
        <v>23</v>
      </c>
      <c r="E1403" t="s">
        <v>20</v>
      </c>
      <c r="F1403" t="s">
        <v>36</v>
      </c>
      <c r="G1403" t="s">
        <v>31</v>
      </c>
      <c r="H1403">
        <v>150000</v>
      </c>
      <c r="I1403">
        <v>2</v>
      </c>
      <c r="J1403" t="s">
        <v>35</v>
      </c>
      <c r="K1403">
        <v>120000</v>
      </c>
    </row>
    <row r="1404" spans="1:11" x14ac:dyDescent="0.25">
      <c r="A1404" s="10">
        <v>45769</v>
      </c>
      <c r="B1404" t="s">
        <v>18</v>
      </c>
      <c r="C1404" t="s">
        <v>19</v>
      </c>
      <c r="D1404" t="s">
        <v>23</v>
      </c>
      <c r="E1404" t="s">
        <v>14</v>
      </c>
      <c r="F1404" t="s">
        <v>41</v>
      </c>
      <c r="G1404" t="s">
        <v>22</v>
      </c>
      <c r="H1404">
        <v>220000</v>
      </c>
      <c r="I1404">
        <v>3</v>
      </c>
      <c r="J1404" t="s">
        <v>39</v>
      </c>
      <c r="K1404">
        <v>176000</v>
      </c>
    </row>
    <row r="1405" spans="1:11" x14ac:dyDescent="0.25">
      <c r="A1405" s="10">
        <v>45721</v>
      </c>
      <c r="B1405" t="s">
        <v>18</v>
      </c>
      <c r="C1405" t="s">
        <v>19</v>
      </c>
      <c r="D1405" t="s">
        <v>23</v>
      </c>
      <c r="E1405" t="s">
        <v>20</v>
      </c>
      <c r="F1405" t="s">
        <v>30</v>
      </c>
      <c r="G1405" t="s">
        <v>31</v>
      </c>
      <c r="H1405">
        <v>300000</v>
      </c>
      <c r="I1405">
        <v>6</v>
      </c>
      <c r="J1405" t="s">
        <v>24</v>
      </c>
      <c r="K1405">
        <v>240000</v>
      </c>
    </row>
    <row r="1406" spans="1:11" x14ac:dyDescent="0.25">
      <c r="A1406" s="10">
        <v>45755</v>
      </c>
      <c r="B1406" t="s">
        <v>25</v>
      </c>
      <c r="C1406" t="s">
        <v>19</v>
      </c>
      <c r="D1406" t="s">
        <v>13</v>
      </c>
      <c r="E1406" t="s">
        <v>20</v>
      </c>
      <c r="F1406" t="s">
        <v>33</v>
      </c>
      <c r="G1406" t="s">
        <v>22</v>
      </c>
      <c r="H1406">
        <v>180000</v>
      </c>
      <c r="I1406">
        <v>2</v>
      </c>
      <c r="J1406" t="s">
        <v>39</v>
      </c>
      <c r="K1406">
        <v>144000</v>
      </c>
    </row>
    <row r="1407" spans="1:11" x14ac:dyDescent="0.25">
      <c r="A1407" s="10">
        <v>45716</v>
      </c>
      <c r="B1407" t="s">
        <v>18</v>
      </c>
      <c r="C1407" t="s">
        <v>32</v>
      </c>
      <c r="D1407" t="s">
        <v>13</v>
      </c>
      <c r="E1407" t="s">
        <v>14</v>
      </c>
      <c r="F1407" t="s">
        <v>36</v>
      </c>
      <c r="G1407" t="s">
        <v>31</v>
      </c>
      <c r="H1407">
        <v>150000</v>
      </c>
      <c r="I1407">
        <v>5</v>
      </c>
      <c r="J1407" t="s">
        <v>37</v>
      </c>
      <c r="K1407">
        <v>120000</v>
      </c>
    </row>
    <row r="1408" spans="1:11" x14ac:dyDescent="0.25">
      <c r="A1408" s="10">
        <v>45765</v>
      </c>
      <c r="B1408" t="s">
        <v>18</v>
      </c>
      <c r="C1408" t="s">
        <v>26</v>
      </c>
      <c r="D1408" t="s">
        <v>23</v>
      </c>
      <c r="E1408" t="s">
        <v>20</v>
      </c>
      <c r="F1408" t="s">
        <v>15</v>
      </c>
      <c r="G1408" t="s">
        <v>16</v>
      </c>
      <c r="H1408">
        <v>85000</v>
      </c>
      <c r="I1408">
        <v>1</v>
      </c>
      <c r="J1408" t="s">
        <v>37</v>
      </c>
      <c r="K1408">
        <v>68000</v>
      </c>
    </row>
    <row r="1409" spans="1:11" x14ac:dyDescent="0.25">
      <c r="A1409" s="10">
        <v>45668</v>
      </c>
      <c r="B1409" t="s">
        <v>11</v>
      </c>
      <c r="C1409" t="s">
        <v>12</v>
      </c>
      <c r="D1409" t="s">
        <v>13</v>
      </c>
      <c r="E1409" t="s">
        <v>14</v>
      </c>
      <c r="F1409" t="s">
        <v>21</v>
      </c>
      <c r="G1409" t="s">
        <v>22</v>
      </c>
      <c r="H1409">
        <v>30000</v>
      </c>
      <c r="I1409">
        <v>1</v>
      </c>
      <c r="J1409" t="s">
        <v>35</v>
      </c>
      <c r="K1409">
        <v>24000</v>
      </c>
    </row>
    <row r="1410" spans="1:11" x14ac:dyDescent="0.25">
      <c r="A1410" s="10">
        <v>45710</v>
      </c>
      <c r="B1410" t="s">
        <v>18</v>
      </c>
      <c r="C1410" t="s">
        <v>19</v>
      </c>
      <c r="D1410" t="s">
        <v>13</v>
      </c>
      <c r="E1410" t="s">
        <v>20</v>
      </c>
      <c r="F1410" t="s">
        <v>15</v>
      </c>
      <c r="G1410" t="s">
        <v>16</v>
      </c>
      <c r="H1410">
        <v>85000</v>
      </c>
      <c r="I1410">
        <v>1</v>
      </c>
      <c r="J1410" t="s">
        <v>37</v>
      </c>
      <c r="K1410">
        <v>68000</v>
      </c>
    </row>
    <row r="1411" spans="1:11" x14ac:dyDescent="0.25">
      <c r="A1411" s="10">
        <v>45735</v>
      </c>
      <c r="B1411" t="s">
        <v>25</v>
      </c>
      <c r="C1411" t="s">
        <v>19</v>
      </c>
      <c r="D1411" t="s">
        <v>13</v>
      </c>
      <c r="E1411" t="s">
        <v>20</v>
      </c>
      <c r="F1411" t="s">
        <v>21</v>
      </c>
      <c r="G1411" t="s">
        <v>22</v>
      </c>
      <c r="H1411">
        <v>30000</v>
      </c>
      <c r="I1411">
        <v>2</v>
      </c>
      <c r="J1411" t="s">
        <v>37</v>
      </c>
      <c r="K1411">
        <v>24000</v>
      </c>
    </row>
    <row r="1412" spans="1:11" x14ac:dyDescent="0.25">
      <c r="A1412" s="10">
        <v>45727</v>
      </c>
      <c r="B1412" t="s">
        <v>18</v>
      </c>
      <c r="C1412" t="s">
        <v>12</v>
      </c>
      <c r="D1412" t="s">
        <v>13</v>
      </c>
      <c r="E1412" t="s">
        <v>20</v>
      </c>
      <c r="F1412" t="s">
        <v>38</v>
      </c>
      <c r="G1412" t="s">
        <v>31</v>
      </c>
      <c r="H1412">
        <v>420000</v>
      </c>
      <c r="I1412">
        <v>3</v>
      </c>
      <c r="J1412" t="s">
        <v>17</v>
      </c>
      <c r="K1412">
        <v>336000</v>
      </c>
    </row>
    <row r="1413" spans="1:11" x14ac:dyDescent="0.25">
      <c r="A1413" s="10">
        <v>45676</v>
      </c>
      <c r="B1413" t="s">
        <v>11</v>
      </c>
      <c r="C1413" t="s">
        <v>19</v>
      </c>
      <c r="D1413" t="s">
        <v>13</v>
      </c>
      <c r="E1413" t="s">
        <v>20</v>
      </c>
      <c r="F1413" t="s">
        <v>21</v>
      </c>
      <c r="G1413" t="s">
        <v>22</v>
      </c>
      <c r="H1413">
        <v>30000</v>
      </c>
      <c r="I1413">
        <v>2</v>
      </c>
      <c r="J1413" t="s">
        <v>35</v>
      </c>
      <c r="K1413">
        <v>24000</v>
      </c>
    </row>
    <row r="1414" spans="1:11" x14ac:dyDescent="0.25">
      <c r="A1414" s="10">
        <v>45673</v>
      </c>
      <c r="B1414" t="s">
        <v>25</v>
      </c>
      <c r="C1414" t="s">
        <v>32</v>
      </c>
      <c r="D1414" t="s">
        <v>13</v>
      </c>
      <c r="E1414" t="s">
        <v>20</v>
      </c>
      <c r="F1414" t="s">
        <v>30</v>
      </c>
      <c r="G1414" t="s">
        <v>31</v>
      </c>
      <c r="H1414">
        <v>300000</v>
      </c>
      <c r="I1414">
        <v>9</v>
      </c>
      <c r="J1414" t="s">
        <v>28</v>
      </c>
      <c r="K1414">
        <v>240000</v>
      </c>
    </row>
    <row r="1415" spans="1:11" x14ac:dyDescent="0.25">
      <c r="A1415" s="10">
        <v>45685</v>
      </c>
      <c r="B1415" t="s">
        <v>18</v>
      </c>
      <c r="C1415" t="s">
        <v>26</v>
      </c>
      <c r="D1415" t="s">
        <v>23</v>
      </c>
      <c r="E1415" t="s">
        <v>20</v>
      </c>
      <c r="F1415" t="s">
        <v>36</v>
      </c>
      <c r="G1415" t="s">
        <v>31</v>
      </c>
      <c r="H1415">
        <v>150000</v>
      </c>
      <c r="I1415">
        <v>4</v>
      </c>
      <c r="J1415" t="s">
        <v>35</v>
      </c>
      <c r="K1415">
        <v>120000</v>
      </c>
    </row>
    <row r="1416" spans="1:11" x14ac:dyDescent="0.25">
      <c r="A1416" s="10">
        <v>45768</v>
      </c>
      <c r="B1416" t="s">
        <v>18</v>
      </c>
      <c r="C1416" t="s">
        <v>12</v>
      </c>
      <c r="D1416" t="s">
        <v>13</v>
      </c>
      <c r="E1416" t="s">
        <v>20</v>
      </c>
      <c r="F1416" t="s">
        <v>41</v>
      </c>
      <c r="G1416" t="s">
        <v>22</v>
      </c>
      <c r="H1416">
        <v>220000</v>
      </c>
      <c r="I1416">
        <v>2</v>
      </c>
      <c r="J1416" t="s">
        <v>39</v>
      </c>
      <c r="K1416">
        <v>176000</v>
      </c>
    </row>
    <row r="1417" spans="1:11" x14ac:dyDescent="0.25">
      <c r="A1417" s="10">
        <v>45759</v>
      </c>
      <c r="B1417" t="s">
        <v>25</v>
      </c>
      <c r="C1417" t="s">
        <v>19</v>
      </c>
      <c r="D1417" t="s">
        <v>13</v>
      </c>
      <c r="E1417" t="s">
        <v>20</v>
      </c>
      <c r="F1417" t="s">
        <v>15</v>
      </c>
      <c r="G1417" t="s">
        <v>16</v>
      </c>
      <c r="H1417">
        <v>85000</v>
      </c>
      <c r="I1417">
        <v>6</v>
      </c>
      <c r="J1417" t="s">
        <v>17</v>
      </c>
      <c r="K1417">
        <v>68000</v>
      </c>
    </row>
    <row r="1418" spans="1:11" x14ac:dyDescent="0.25">
      <c r="A1418" s="10">
        <v>45713</v>
      </c>
      <c r="B1418" t="s">
        <v>11</v>
      </c>
      <c r="C1418" t="s">
        <v>19</v>
      </c>
      <c r="D1418" t="s">
        <v>13</v>
      </c>
      <c r="E1418" t="s">
        <v>20</v>
      </c>
      <c r="F1418" t="s">
        <v>30</v>
      </c>
      <c r="G1418" t="s">
        <v>31</v>
      </c>
      <c r="H1418">
        <v>300000</v>
      </c>
      <c r="I1418">
        <v>8</v>
      </c>
      <c r="J1418" t="s">
        <v>17</v>
      </c>
      <c r="K1418">
        <v>240000</v>
      </c>
    </row>
    <row r="1419" spans="1:11" x14ac:dyDescent="0.25">
      <c r="A1419" s="10">
        <v>45773</v>
      </c>
      <c r="B1419" t="s">
        <v>25</v>
      </c>
      <c r="C1419" t="s">
        <v>26</v>
      </c>
      <c r="D1419" t="s">
        <v>23</v>
      </c>
      <c r="E1419" t="s">
        <v>20</v>
      </c>
      <c r="F1419" t="s">
        <v>38</v>
      </c>
      <c r="G1419" t="s">
        <v>31</v>
      </c>
      <c r="H1419">
        <v>420000</v>
      </c>
      <c r="I1419">
        <v>2</v>
      </c>
      <c r="J1419" t="s">
        <v>35</v>
      </c>
      <c r="K1419">
        <v>336000</v>
      </c>
    </row>
    <row r="1420" spans="1:11" x14ac:dyDescent="0.25">
      <c r="A1420" s="10">
        <v>45682</v>
      </c>
      <c r="B1420" t="s">
        <v>18</v>
      </c>
      <c r="C1420" t="s">
        <v>26</v>
      </c>
      <c r="D1420" t="s">
        <v>13</v>
      </c>
      <c r="E1420" t="s">
        <v>20</v>
      </c>
      <c r="F1420" t="s">
        <v>41</v>
      </c>
      <c r="G1420" t="s">
        <v>22</v>
      </c>
      <c r="H1420">
        <v>220000</v>
      </c>
      <c r="I1420">
        <v>3</v>
      </c>
      <c r="J1420" t="s">
        <v>24</v>
      </c>
      <c r="K1420">
        <v>176000</v>
      </c>
    </row>
    <row r="1421" spans="1:11" x14ac:dyDescent="0.25">
      <c r="A1421" s="10">
        <v>45769</v>
      </c>
      <c r="B1421" t="s">
        <v>18</v>
      </c>
      <c r="C1421" t="s">
        <v>19</v>
      </c>
      <c r="D1421" t="s">
        <v>13</v>
      </c>
      <c r="E1421" t="s">
        <v>20</v>
      </c>
      <c r="F1421" t="s">
        <v>38</v>
      </c>
      <c r="G1421" t="s">
        <v>31</v>
      </c>
      <c r="H1421">
        <v>420000</v>
      </c>
      <c r="I1421">
        <v>10</v>
      </c>
      <c r="J1421" t="s">
        <v>17</v>
      </c>
      <c r="K1421">
        <v>336000</v>
      </c>
    </row>
    <row r="1422" spans="1:11" x14ac:dyDescent="0.25">
      <c r="A1422" s="10">
        <v>45748</v>
      </c>
      <c r="B1422" t="s">
        <v>29</v>
      </c>
      <c r="C1422" t="s">
        <v>19</v>
      </c>
      <c r="D1422" t="s">
        <v>13</v>
      </c>
      <c r="E1422" t="s">
        <v>20</v>
      </c>
      <c r="F1422" t="s">
        <v>30</v>
      </c>
      <c r="G1422" t="s">
        <v>31</v>
      </c>
      <c r="H1422">
        <v>300000</v>
      </c>
      <c r="I1422">
        <v>7</v>
      </c>
      <c r="J1422" t="s">
        <v>24</v>
      </c>
      <c r="K1422">
        <v>240000</v>
      </c>
    </row>
    <row r="1423" spans="1:11" x14ac:dyDescent="0.25">
      <c r="A1423" s="10">
        <v>45748</v>
      </c>
      <c r="B1423" t="s">
        <v>18</v>
      </c>
      <c r="C1423" t="s">
        <v>26</v>
      </c>
      <c r="D1423" t="s">
        <v>13</v>
      </c>
      <c r="E1423" t="s">
        <v>20</v>
      </c>
      <c r="F1423" t="s">
        <v>21</v>
      </c>
      <c r="G1423" t="s">
        <v>22</v>
      </c>
      <c r="H1423">
        <v>30000</v>
      </c>
      <c r="I1423">
        <v>1</v>
      </c>
      <c r="J1423" t="s">
        <v>28</v>
      </c>
      <c r="K1423">
        <v>24000</v>
      </c>
    </row>
    <row r="1424" spans="1:11" x14ac:dyDescent="0.25">
      <c r="A1424" s="10">
        <v>45707</v>
      </c>
      <c r="B1424" t="s">
        <v>18</v>
      </c>
      <c r="C1424" t="s">
        <v>19</v>
      </c>
      <c r="D1424" t="s">
        <v>23</v>
      </c>
      <c r="E1424" t="s">
        <v>20</v>
      </c>
      <c r="F1424" t="s">
        <v>21</v>
      </c>
      <c r="G1424" t="s">
        <v>22</v>
      </c>
      <c r="H1424">
        <v>30000</v>
      </c>
      <c r="I1424">
        <v>7</v>
      </c>
      <c r="J1424" t="s">
        <v>17</v>
      </c>
      <c r="K1424">
        <v>24000</v>
      </c>
    </row>
    <row r="1425" spans="1:11" x14ac:dyDescent="0.25">
      <c r="A1425" s="10">
        <v>45670</v>
      </c>
      <c r="B1425" t="s">
        <v>29</v>
      </c>
      <c r="C1425" t="s">
        <v>32</v>
      </c>
      <c r="D1425" t="s">
        <v>23</v>
      </c>
      <c r="E1425" t="s">
        <v>20</v>
      </c>
      <c r="F1425" t="s">
        <v>15</v>
      </c>
      <c r="G1425" t="s">
        <v>16</v>
      </c>
      <c r="H1425">
        <v>85000</v>
      </c>
      <c r="I1425">
        <v>8</v>
      </c>
      <c r="J1425" t="s">
        <v>35</v>
      </c>
      <c r="K1425">
        <v>68000</v>
      </c>
    </row>
    <row r="1426" spans="1:11" x14ac:dyDescent="0.25">
      <c r="A1426" s="10">
        <v>45742</v>
      </c>
      <c r="B1426" t="s">
        <v>18</v>
      </c>
      <c r="C1426" t="s">
        <v>19</v>
      </c>
      <c r="D1426" t="s">
        <v>13</v>
      </c>
      <c r="E1426" t="s">
        <v>20</v>
      </c>
      <c r="F1426" t="s">
        <v>40</v>
      </c>
      <c r="G1426" t="s">
        <v>31</v>
      </c>
      <c r="H1426">
        <v>250000</v>
      </c>
      <c r="I1426">
        <v>10</v>
      </c>
      <c r="J1426" t="s">
        <v>24</v>
      </c>
      <c r="K1426">
        <v>200000</v>
      </c>
    </row>
    <row r="1427" spans="1:11" x14ac:dyDescent="0.25">
      <c r="A1427" s="10">
        <v>45778</v>
      </c>
      <c r="B1427" t="s">
        <v>11</v>
      </c>
      <c r="C1427" t="s">
        <v>19</v>
      </c>
      <c r="D1427" t="s">
        <v>13</v>
      </c>
      <c r="E1427" t="s">
        <v>20</v>
      </c>
      <c r="F1427" t="s">
        <v>15</v>
      </c>
      <c r="G1427" t="s">
        <v>16</v>
      </c>
      <c r="H1427">
        <v>85000</v>
      </c>
      <c r="I1427">
        <v>4</v>
      </c>
      <c r="J1427" t="s">
        <v>39</v>
      </c>
      <c r="K1427">
        <v>68000</v>
      </c>
    </row>
    <row r="1428" spans="1:11" x14ac:dyDescent="0.25">
      <c r="A1428" s="10">
        <v>45777</v>
      </c>
      <c r="B1428" t="s">
        <v>11</v>
      </c>
      <c r="C1428" t="s">
        <v>32</v>
      </c>
      <c r="D1428" t="s">
        <v>13</v>
      </c>
      <c r="E1428" t="s">
        <v>20</v>
      </c>
      <c r="F1428" t="s">
        <v>40</v>
      </c>
      <c r="G1428" t="s">
        <v>31</v>
      </c>
      <c r="H1428">
        <v>250000</v>
      </c>
      <c r="I1428">
        <v>6</v>
      </c>
      <c r="J1428" t="s">
        <v>39</v>
      </c>
      <c r="K1428">
        <v>200000</v>
      </c>
    </row>
    <row r="1429" spans="1:11" x14ac:dyDescent="0.25">
      <c r="A1429" s="10">
        <v>45768</v>
      </c>
      <c r="B1429" t="s">
        <v>18</v>
      </c>
      <c r="C1429" t="s">
        <v>32</v>
      </c>
      <c r="D1429" t="s">
        <v>23</v>
      </c>
      <c r="E1429" t="s">
        <v>20</v>
      </c>
      <c r="F1429" t="s">
        <v>34</v>
      </c>
      <c r="G1429" t="s">
        <v>16</v>
      </c>
      <c r="H1429">
        <v>320000</v>
      </c>
      <c r="I1429">
        <v>7</v>
      </c>
      <c r="J1429" t="s">
        <v>37</v>
      </c>
      <c r="K1429">
        <v>256000</v>
      </c>
    </row>
    <row r="1430" spans="1:11" x14ac:dyDescent="0.25">
      <c r="A1430" s="10">
        <v>45725</v>
      </c>
      <c r="B1430" t="s">
        <v>18</v>
      </c>
      <c r="C1430" t="s">
        <v>32</v>
      </c>
      <c r="D1430" t="s">
        <v>23</v>
      </c>
      <c r="E1430" t="s">
        <v>20</v>
      </c>
      <c r="F1430" t="s">
        <v>33</v>
      </c>
      <c r="G1430" t="s">
        <v>22</v>
      </c>
      <c r="H1430">
        <v>180000</v>
      </c>
      <c r="I1430">
        <v>2</v>
      </c>
      <c r="J1430" t="s">
        <v>17</v>
      </c>
      <c r="K1430">
        <v>144000</v>
      </c>
    </row>
    <row r="1431" spans="1:11" x14ac:dyDescent="0.25">
      <c r="A1431" s="10">
        <v>45774</v>
      </c>
      <c r="B1431" t="s">
        <v>29</v>
      </c>
      <c r="C1431" t="s">
        <v>32</v>
      </c>
      <c r="D1431" t="s">
        <v>23</v>
      </c>
      <c r="E1431" t="s">
        <v>20</v>
      </c>
      <c r="F1431" t="s">
        <v>41</v>
      </c>
      <c r="G1431" t="s">
        <v>22</v>
      </c>
      <c r="H1431">
        <v>220000</v>
      </c>
      <c r="I1431">
        <v>2</v>
      </c>
      <c r="J1431" t="s">
        <v>39</v>
      </c>
      <c r="K1431">
        <v>176000</v>
      </c>
    </row>
    <row r="1432" spans="1:11" x14ac:dyDescent="0.25">
      <c r="A1432" s="10">
        <v>45686</v>
      </c>
      <c r="B1432" t="s">
        <v>29</v>
      </c>
      <c r="C1432" t="s">
        <v>26</v>
      </c>
      <c r="D1432" t="s">
        <v>23</v>
      </c>
      <c r="E1432" t="s">
        <v>20</v>
      </c>
      <c r="F1432" t="s">
        <v>33</v>
      </c>
      <c r="G1432" t="s">
        <v>22</v>
      </c>
      <c r="H1432">
        <v>180000</v>
      </c>
      <c r="I1432">
        <v>6</v>
      </c>
      <c r="J1432" t="s">
        <v>24</v>
      </c>
      <c r="K1432">
        <v>144000</v>
      </c>
    </row>
    <row r="1433" spans="1:11" x14ac:dyDescent="0.25">
      <c r="A1433" s="10">
        <v>45680</v>
      </c>
      <c r="B1433" t="s">
        <v>11</v>
      </c>
      <c r="C1433" t="s">
        <v>32</v>
      </c>
      <c r="D1433" t="s">
        <v>13</v>
      </c>
      <c r="E1433" t="s">
        <v>20</v>
      </c>
      <c r="F1433" t="s">
        <v>33</v>
      </c>
      <c r="G1433" t="s">
        <v>22</v>
      </c>
      <c r="H1433">
        <v>180000</v>
      </c>
      <c r="I1433">
        <v>3</v>
      </c>
      <c r="J1433" t="s">
        <v>24</v>
      </c>
      <c r="K1433">
        <v>144000</v>
      </c>
    </row>
    <row r="1434" spans="1:11" x14ac:dyDescent="0.25">
      <c r="A1434" s="10">
        <v>45760</v>
      </c>
      <c r="B1434" t="s">
        <v>11</v>
      </c>
      <c r="C1434" t="s">
        <v>26</v>
      </c>
      <c r="D1434" t="s">
        <v>13</v>
      </c>
      <c r="E1434" t="s">
        <v>20</v>
      </c>
      <c r="F1434" t="s">
        <v>27</v>
      </c>
      <c r="G1434" t="s">
        <v>22</v>
      </c>
      <c r="H1434">
        <v>60000</v>
      </c>
      <c r="I1434">
        <v>2</v>
      </c>
      <c r="J1434" t="s">
        <v>24</v>
      </c>
      <c r="K1434">
        <v>48000</v>
      </c>
    </row>
    <row r="1435" spans="1:11" x14ac:dyDescent="0.25">
      <c r="A1435" s="10">
        <v>45748</v>
      </c>
      <c r="B1435" t="s">
        <v>29</v>
      </c>
      <c r="C1435" t="s">
        <v>32</v>
      </c>
      <c r="D1435" t="s">
        <v>23</v>
      </c>
      <c r="E1435" t="s">
        <v>20</v>
      </c>
      <c r="F1435" t="s">
        <v>30</v>
      </c>
      <c r="G1435" t="s">
        <v>31</v>
      </c>
      <c r="H1435">
        <v>300000</v>
      </c>
      <c r="I1435">
        <v>1</v>
      </c>
      <c r="J1435" t="s">
        <v>37</v>
      </c>
      <c r="K1435">
        <v>240000</v>
      </c>
    </row>
    <row r="1436" spans="1:11" x14ac:dyDescent="0.25">
      <c r="A1436" s="10">
        <v>45709</v>
      </c>
      <c r="B1436" t="s">
        <v>25</v>
      </c>
      <c r="C1436" t="s">
        <v>26</v>
      </c>
      <c r="D1436" t="s">
        <v>23</v>
      </c>
      <c r="E1436" t="s">
        <v>20</v>
      </c>
      <c r="F1436" t="s">
        <v>38</v>
      </c>
      <c r="G1436" t="s">
        <v>31</v>
      </c>
      <c r="H1436">
        <v>420000</v>
      </c>
      <c r="I1436">
        <v>2</v>
      </c>
      <c r="J1436" t="s">
        <v>24</v>
      </c>
      <c r="K1436">
        <v>336000</v>
      </c>
    </row>
    <row r="1437" spans="1:11" x14ac:dyDescent="0.25">
      <c r="A1437" s="10">
        <v>45758</v>
      </c>
      <c r="B1437" t="s">
        <v>11</v>
      </c>
      <c r="C1437" t="s">
        <v>19</v>
      </c>
      <c r="D1437" t="s">
        <v>13</v>
      </c>
      <c r="E1437" t="s">
        <v>20</v>
      </c>
      <c r="F1437" t="s">
        <v>40</v>
      </c>
      <c r="G1437" t="s">
        <v>31</v>
      </c>
      <c r="H1437">
        <v>250000</v>
      </c>
      <c r="I1437">
        <v>9</v>
      </c>
      <c r="J1437" t="s">
        <v>24</v>
      </c>
      <c r="K1437">
        <v>200000</v>
      </c>
    </row>
    <row r="1438" spans="1:11" x14ac:dyDescent="0.25">
      <c r="A1438" s="10">
        <v>45751</v>
      </c>
      <c r="B1438" t="s">
        <v>25</v>
      </c>
      <c r="C1438" t="s">
        <v>12</v>
      </c>
      <c r="D1438" t="s">
        <v>23</v>
      </c>
      <c r="E1438" t="s">
        <v>20</v>
      </c>
      <c r="F1438" t="s">
        <v>33</v>
      </c>
      <c r="G1438" t="s">
        <v>22</v>
      </c>
      <c r="H1438">
        <v>180000</v>
      </c>
      <c r="I1438">
        <v>5</v>
      </c>
      <c r="J1438" t="s">
        <v>37</v>
      </c>
      <c r="K1438">
        <v>144000</v>
      </c>
    </row>
    <row r="1439" spans="1:11" x14ac:dyDescent="0.25">
      <c r="A1439" s="10">
        <v>45695</v>
      </c>
      <c r="B1439" t="s">
        <v>25</v>
      </c>
      <c r="C1439" t="s">
        <v>19</v>
      </c>
      <c r="D1439" t="s">
        <v>23</v>
      </c>
      <c r="E1439" t="s">
        <v>20</v>
      </c>
      <c r="F1439" t="s">
        <v>36</v>
      </c>
      <c r="G1439" t="s">
        <v>31</v>
      </c>
      <c r="H1439">
        <v>150000</v>
      </c>
      <c r="I1439">
        <v>5</v>
      </c>
      <c r="J1439" t="s">
        <v>35</v>
      </c>
      <c r="K1439">
        <v>120000</v>
      </c>
    </row>
    <row r="1440" spans="1:11" x14ac:dyDescent="0.25">
      <c r="A1440" s="10">
        <v>45686</v>
      </c>
      <c r="B1440" t="s">
        <v>11</v>
      </c>
      <c r="C1440" t="s">
        <v>32</v>
      </c>
      <c r="D1440" t="s">
        <v>13</v>
      </c>
      <c r="E1440" t="s">
        <v>20</v>
      </c>
      <c r="F1440" t="s">
        <v>34</v>
      </c>
      <c r="G1440" t="s">
        <v>16</v>
      </c>
      <c r="H1440">
        <v>320000</v>
      </c>
      <c r="I1440">
        <v>4</v>
      </c>
      <c r="J1440" t="s">
        <v>39</v>
      </c>
      <c r="K1440">
        <v>256000</v>
      </c>
    </row>
    <row r="1441" spans="1:11" x14ac:dyDescent="0.25">
      <c r="A1441" s="10">
        <v>45666</v>
      </c>
      <c r="B1441" t="s">
        <v>25</v>
      </c>
      <c r="C1441" t="s">
        <v>26</v>
      </c>
      <c r="D1441" t="s">
        <v>13</v>
      </c>
      <c r="E1441" t="s">
        <v>20</v>
      </c>
      <c r="F1441" t="s">
        <v>33</v>
      </c>
      <c r="G1441" t="s">
        <v>22</v>
      </c>
      <c r="H1441">
        <v>180000</v>
      </c>
      <c r="I1441">
        <v>10</v>
      </c>
      <c r="J1441" t="s">
        <v>35</v>
      </c>
      <c r="K1441">
        <v>144000</v>
      </c>
    </row>
    <row r="1442" spans="1:11" x14ac:dyDescent="0.25">
      <c r="A1442" s="10">
        <v>45678</v>
      </c>
      <c r="B1442" t="s">
        <v>29</v>
      </c>
      <c r="C1442" t="s">
        <v>12</v>
      </c>
      <c r="D1442" t="s">
        <v>23</v>
      </c>
      <c r="E1442" t="s">
        <v>20</v>
      </c>
      <c r="F1442" t="s">
        <v>38</v>
      </c>
      <c r="G1442" t="s">
        <v>31</v>
      </c>
      <c r="H1442">
        <v>420000</v>
      </c>
      <c r="I1442">
        <v>2</v>
      </c>
      <c r="J1442" t="s">
        <v>37</v>
      </c>
      <c r="K1442">
        <v>336000</v>
      </c>
    </row>
    <row r="1443" spans="1:11" x14ac:dyDescent="0.25">
      <c r="A1443" s="10">
        <v>45706</v>
      </c>
      <c r="B1443" t="s">
        <v>25</v>
      </c>
      <c r="C1443" t="s">
        <v>12</v>
      </c>
      <c r="D1443" t="s">
        <v>23</v>
      </c>
      <c r="E1443" t="s">
        <v>20</v>
      </c>
      <c r="F1443" t="s">
        <v>36</v>
      </c>
      <c r="G1443" t="s">
        <v>31</v>
      </c>
      <c r="H1443">
        <v>150000</v>
      </c>
      <c r="I1443">
        <v>6</v>
      </c>
      <c r="J1443" t="s">
        <v>37</v>
      </c>
      <c r="K1443">
        <v>120000</v>
      </c>
    </row>
    <row r="1444" spans="1:11" x14ac:dyDescent="0.25">
      <c r="A1444" s="10">
        <v>45768</v>
      </c>
      <c r="B1444" t="s">
        <v>11</v>
      </c>
      <c r="C1444" t="s">
        <v>19</v>
      </c>
      <c r="D1444" t="s">
        <v>23</v>
      </c>
      <c r="E1444" t="s">
        <v>20</v>
      </c>
      <c r="F1444" t="s">
        <v>36</v>
      </c>
      <c r="G1444" t="s">
        <v>31</v>
      </c>
      <c r="H1444">
        <v>150000</v>
      </c>
      <c r="I1444">
        <v>4</v>
      </c>
      <c r="J1444" t="s">
        <v>24</v>
      </c>
      <c r="K1444">
        <v>120000</v>
      </c>
    </row>
    <row r="1445" spans="1:11" x14ac:dyDescent="0.25">
      <c r="A1445" s="10">
        <v>45718</v>
      </c>
      <c r="B1445" t="s">
        <v>18</v>
      </c>
      <c r="C1445" t="s">
        <v>12</v>
      </c>
      <c r="D1445" t="s">
        <v>23</v>
      </c>
      <c r="E1445" t="s">
        <v>20</v>
      </c>
      <c r="F1445" t="s">
        <v>40</v>
      </c>
      <c r="G1445" t="s">
        <v>31</v>
      </c>
      <c r="H1445">
        <v>250000</v>
      </c>
      <c r="I1445">
        <v>9</v>
      </c>
      <c r="J1445" t="s">
        <v>37</v>
      </c>
      <c r="K1445">
        <v>200000</v>
      </c>
    </row>
    <row r="1446" spans="1:11" x14ac:dyDescent="0.25">
      <c r="A1446" s="10">
        <v>45667</v>
      </c>
      <c r="B1446" t="s">
        <v>25</v>
      </c>
      <c r="C1446" t="s">
        <v>19</v>
      </c>
      <c r="D1446" t="s">
        <v>23</v>
      </c>
      <c r="E1446" t="s">
        <v>20</v>
      </c>
      <c r="F1446" t="s">
        <v>41</v>
      </c>
      <c r="G1446" t="s">
        <v>22</v>
      </c>
      <c r="H1446">
        <v>220000</v>
      </c>
      <c r="I1446">
        <v>8</v>
      </c>
      <c r="J1446" t="s">
        <v>39</v>
      </c>
      <c r="K1446">
        <v>176000</v>
      </c>
    </row>
    <row r="1447" spans="1:11" x14ac:dyDescent="0.25">
      <c r="A1447" s="10">
        <v>45756</v>
      </c>
      <c r="B1447" t="s">
        <v>29</v>
      </c>
      <c r="C1447" t="s">
        <v>26</v>
      </c>
      <c r="D1447" t="s">
        <v>13</v>
      </c>
      <c r="E1447" t="s">
        <v>20</v>
      </c>
      <c r="F1447" t="s">
        <v>36</v>
      </c>
      <c r="G1447" t="s">
        <v>31</v>
      </c>
      <c r="H1447">
        <v>150000</v>
      </c>
      <c r="I1447">
        <v>2</v>
      </c>
      <c r="J1447" t="s">
        <v>28</v>
      </c>
      <c r="K1447">
        <v>120000</v>
      </c>
    </row>
    <row r="1448" spans="1:11" x14ac:dyDescent="0.25">
      <c r="A1448" s="10">
        <v>45724</v>
      </c>
      <c r="B1448" t="s">
        <v>11</v>
      </c>
      <c r="C1448" t="s">
        <v>19</v>
      </c>
      <c r="D1448" t="s">
        <v>23</v>
      </c>
      <c r="E1448" t="s">
        <v>20</v>
      </c>
      <c r="F1448" t="s">
        <v>41</v>
      </c>
      <c r="G1448" t="s">
        <v>22</v>
      </c>
      <c r="H1448">
        <v>220000</v>
      </c>
      <c r="I1448">
        <v>4</v>
      </c>
      <c r="J1448" t="s">
        <v>28</v>
      </c>
      <c r="K1448">
        <v>176000</v>
      </c>
    </row>
    <row r="1449" spans="1:11" x14ac:dyDescent="0.25">
      <c r="A1449" s="10">
        <v>45766</v>
      </c>
      <c r="B1449" t="s">
        <v>25</v>
      </c>
      <c r="C1449" t="s">
        <v>12</v>
      </c>
      <c r="D1449" t="s">
        <v>23</v>
      </c>
      <c r="E1449" t="s">
        <v>20</v>
      </c>
      <c r="F1449" t="s">
        <v>21</v>
      </c>
      <c r="G1449" t="s">
        <v>22</v>
      </c>
      <c r="H1449">
        <v>30000</v>
      </c>
      <c r="I1449">
        <v>6</v>
      </c>
      <c r="J1449" t="s">
        <v>37</v>
      </c>
      <c r="K1449">
        <v>24000</v>
      </c>
    </row>
    <row r="1450" spans="1:11" x14ac:dyDescent="0.25">
      <c r="A1450" s="10">
        <v>45695</v>
      </c>
      <c r="B1450" t="s">
        <v>18</v>
      </c>
      <c r="C1450" t="s">
        <v>32</v>
      </c>
      <c r="D1450" t="s">
        <v>13</v>
      </c>
      <c r="E1450" t="s">
        <v>20</v>
      </c>
      <c r="F1450" t="s">
        <v>15</v>
      </c>
      <c r="G1450" t="s">
        <v>16</v>
      </c>
      <c r="H1450">
        <v>85000</v>
      </c>
      <c r="I1450">
        <v>3</v>
      </c>
      <c r="J1450" t="s">
        <v>28</v>
      </c>
      <c r="K1450">
        <v>68000</v>
      </c>
    </row>
    <row r="1451" spans="1:11" x14ac:dyDescent="0.25">
      <c r="A1451" s="10">
        <v>45745</v>
      </c>
      <c r="B1451" t="s">
        <v>18</v>
      </c>
      <c r="C1451" t="s">
        <v>19</v>
      </c>
      <c r="D1451" t="s">
        <v>13</v>
      </c>
      <c r="E1451" t="s">
        <v>20</v>
      </c>
      <c r="F1451" t="s">
        <v>15</v>
      </c>
      <c r="G1451" t="s">
        <v>16</v>
      </c>
      <c r="H1451">
        <v>85000</v>
      </c>
      <c r="I1451">
        <v>2</v>
      </c>
      <c r="J1451" t="s">
        <v>17</v>
      </c>
      <c r="K1451">
        <v>68000</v>
      </c>
    </row>
    <row r="1452" spans="1:11" x14ac:dyDescent="0.25">
      <c r="A1452" s="10">
        <v>45691</v>
      </c>
      <c r="B1452" t="s">
        <v>29</v>
      </c>
      <c r="C1452" t="s">
        <v>19</v>
      </c>
      <c r="D1452" t="s">
        <v>13</v>
      </c>
      <c r="E1452" t="s">
        <v>20</v>
      </c>
      <c r="F1452" t="s">
        <v>40</v>
      </c>
      <c r="G1452" t="s">
        <v>31</v>
      </c>
      <c r="H1452">
        <v>250000</v>
      </c>
      <c r="I1452">
        <v>10</v>
      </c>
      <c r="J1452" t="s">
        <v>28</v>
      </c>
      <c r="K1452">
        <v>200000</v>
      </c>
    </row>
    <row r="1453" spans="1:11" x14ac:dyDescent="0.25">
      <c r="A1453" s="10">
        <v>45765</v>
      </c>
      <c r="B1453" t="s">
        <v>11</v>
      </c>
      <c r="C1453" t="s">
        <v>19</v>
      </c>
      <c r="D1453" t="s">
        <v>23</v>
      </c>
      <c r="E1453" t="s">
        <v>20</v>
      </c>
      <c r="F1453" t="s">
        <v>41</v>
      </c>
      <c r="G1453" t="s">
        <v>22</v>
      </c>
      <c r="H1453">
        <v>220000</v>
      </c>
      <c r="I1453">
        <v>2</v>
      </c>
      <c r="J1453" t="s">
        <v>37</v>
      </c>
      <c r="K1453">
        <v>176000</v>
      </c>
    </row>
    <row r="1454" spans="1:11" x14ac:dyDescent="0.25">
      <c r="A1454" s="10">
        <v>45727</v>
      </c>
      <c r="B1454" t="s">
        <v>11</v>
      </c>
      <c r="C1454" t="s">
        <v>12</v>
      </c>
      <c r="D1454" t="s">
        <v>23</v>
      </c>
      <c r="E1454" t="s">
        <v>20</v>
      </c>
      <c r="F1454" t="s">
        <v>30</v>
      </c>
      <c r="G1454" t="s">
        <v>31</v>
      </c>
      <c r="H1454">
        <v>300000</v>
      </c>
      <c r="I1454">
        <v>9</v>
      </c>
      <c r="J1454" t="s">
        <v>37</v>
      </c>
      <c r="K1454">
        <v>240000</v>
      </c>
    </row>
    <row r="1455" spans="1:11" x14ac:dyDescent="0.25">
      <c r="A1455" s="10">
        <v>45722</v>
      </c>
      <c r="B1455" t="s">
        <v>18</v>
      </c>
      <c r="C1455" t="s">
        <v>32</v>
      </c>
      <c r="D1455" t="s">
        <v>13</v>
      </c>
      <c r="E1455" t="s">
        <v>20</v>
      </c>
      <c r="F1455" t="s">
        <v>41</v>
      </c>
      <c r="G1455" t="s">
        <v>22</v>
      </c>
      <c r="H1455">
        <v>220000</v>
      </c>
      <c r="I1455">
        <v>3</v>
      </c>
      <c r="J1455" t="s">
        <v>24</v>
      </c>
      <c r="K1455">
        <v>176000</v>
      </c>
    </row>
    <row r="1456" spans="1:11" x14ac:dyDescent="0.25">
      <c r="A1456" s="10">
        <v>45677</v>
      </c>
      <c r="B1456" t="s">
        <v>18</v>
      </c>
      <c r="C1456" t="s">
        <v>32</v>
      </c>
      <c r="D1456" t="s">
        <v>23</v>
      </c>
      <c r="E1456" t="s">
        <v>20</v>
      </c>
      <c r="F1456" t="s">
        <v>40</v>
      </c>
      <c r="G1456" t="s">
        <v>31</v>
      </c>
      <c r="H1456">
        <v>250000</v>
      </c>
      <c r="I1456">
        <v>8</v>
      </c>
      <c r="J1456" t="s">
        <v>28</v>
      </c>
      <c r="K1456">
        <v>200000</v>
      </c>
    </row>
    <row r="1457" spans="1:11" x14ac:dyDescent="0.25">
      <c r="A1457" s="10">
        <v>45666</v>
      </c>
      <c r="B1457" t="s">
        <v>25</v>
      </c>
      <c r="C1457" t="s">
        <v>19</v>
      </c>
      <c r="D1457" t="s">
        <v>23</v>
      </c>
      <c r="E1457" t="s">
        <v>20</v>
      </c>
      <c r="F1457" t="s">
        <v>40</v>
      </c>
      <c r="G1457" t="s">
        <v>31</v>
      </c>
      <c r="H1457">
        <v>250000</v>
      </c>
      <c r="I1457">
        <v>5</v>
      </c>
      <c r="J1457" t="s">
        <v>39</v>
      </c>
      <c r="K1457">
        <v>200000</v>
      </c>
    </row>
    <row r="1458" spans="1:11" x14ac:dyDescent="0.25">
      <c r="A1458" s="10">
        <v>45713</v>
      </c>
      <c r="B1458" t="s">
        <v>29</v>
      </c>
      <c r="C1458" t="s">
        <v>32</v>
      </c>
      <c r="D1458" t="s">
        <v>13</v>
      </c>
      <c r="E1458" t="s">
        <v>20</v>
      </c>
      <c r="F1458" t="s">
        <v>38</v>
      </c>
      <c r="G1458" t="s">
        <v>31</v>
      </c>
      <c r="H1458">
        <v>420000</v>
      </c>
      <c r="I1458">
        <v>5</v>
      </c>
      <c r="J1458" t="s">
        <v>24</v>
      </c>
      <c r="K1458">
        <v>336000</v>
      </c>
    </row>
    <row r="1459" spans="1:11" x14ac:dyDescent="0.25">
      <c r="A1459" s="10">
        <v>45701</v>
      </c>
      <c r="B1459" t="s">
        <v>25</v>
      </c>
      <c r="C1459" t="s">
        <v>19</v>
      </c>
      <c r="D1459" t="s">
        <v>13</v>
      </c>
      <c r="E1459" t="s">
        <v>20</v>
      </c>
      <c r="F1459" t="s">
        <v>27</v>
      </c>
      <c r="G1459" t="s">
        <v>22</v>
      </c>
      <c r="H1459">
        <v>60000</v>
      </c>
      <c r="I1459">
        <v>7</v>
      </c>
      <c r="J1459" t="s">
        <v>39</v>
      </c>
      <c r="K1459">
        <v>48000</v>
      </c>
    </row>
    <row r="1460" spans="1:11" x14ac:dyDescent="0.25">
      <c r="A1460" s="10">
        <v>45766</v>
      </c>
      <c r="B1460" t="s">
        <v>18</v>
      </c>
      <c r="C1460" t="s">
        <v>26</v>
      </c>
      <c r="D1460" t="s">
        <v>13</v>
      </c>
      <c r="E1460" t="s">
        <v>20</v>
      </c>
      <c r="F1460" t="s">
        <v>21</v>
      </c>
      <c r="G1460" t="s">
        <v>22</v>
      </c>
      <c r="H1460">
        <v>30000</v>
      </c>
      <c r="I1460">
        <v>8</v>
      </c>
      <c r="J1460" t="s">
        <v>17</v>
      </c>
      <c r="K1460">
        <v>24000</v>
      </c>
    </row>
    <row r="1461" spans="1:11" x14ac:dyDescent="0.25">
      <c r="A1461" s="10">
        <v>45719</v>
      </c>
      <c r="B1461" t="s">
        <v>29</v>
      </c>
      <c r="C1461" t="s">
        <v>12</v>
      </c>
      <c r="D1461" t="s">
        <v>23</v>
      </c>
      <c r="E1461" t="s">
        <v>20</v>
      </c>
      <c r="F1461" t="s">
        <v>40</v>
      </c>
      <c r="G1461" t="s">
        <v>31</v>
      </c>
      <c r="H1461">
        <v>250000</v>
      </c>
      <c r="I1461">
        <v>2</v>
      </c>
      <c r="J1461" t="s">
        <v>28</v>
      </c>
      <c r="K1461">
        <v>200000</v>
      </c>
    </row>
    <row r="1462" spans="1:11" x14ac:dyDescent="0.25">
      <c r="A1462" s="10">
        <v>45714</v>
      </c>
      <c r="B1462" t="s">
        <v>18</v>
      </c>
      <c r="C1462" t="s">
        <v>12</v>
      </c>
      <c r="D1462" t="s">
        <v>13</v>
      </c>
      <c r="E1462" t="s">
        <v>20</v>
      </c>
      <c r="F1462" t="s">
        <v>27</v>
      </c>
      <c r="G1462" t="s">
        <v>22</v>
      </c>
      <c r="H1462">
        <v>60000</v>
      </c>
      <c r="I1462">
        <v>8</v>
      </c>
      <c r="J1462" t="s">
        <v>39</v>
      </c>
      <c r="K1462">
        <v>48000</v>
      </c>
    </row>
    <row r="1463" spans="1:11" x14ac:dyDescent="0.25">
      <c r="A1463" s="10">
        <v>45755</v>
      </c>
      <c r="B1463" t="s">
        <v>11</v>
      </c>
      <c r="C1463" t="s">
        <v>12</v>
      </c>
      <c r="D1463" t="s">
        <v>13</v>
      </c>
      <c r="E1463" t="s">
        <v>20</v>
      </c>
      <c r="F1463" t="s">
        <v>21</v>
      </c>
      <c r="G1463" t="s">
        <v>22</v>
      </c>
      <c r="H1463">
        <v>30000</v>
      </c>
      <c r="I1463">
        <v>7</v>
      </c>
      <c r="J1463" t="s">
        <v>37</v>
      </c>
      <c r="K1463">
        <v>24000</v>
      </c>
    </row>
    <row r="1464" spans="1:11" x14ac:dyDescent="0.25">
      <c r="A1464" s="10">
        <v>45699</v>
      </c>
      <c r="B1464" t="s">
        <v>25</v>
      </c>
      <c r="C1464" t="s">
        <v>19</v>
      </c>
      <c r="D1464" t="s">
        <v>23</v>
      </c>
      <c r="E1464" t="s">
        <v>20</v>
      </c>
      <c r="F1464" t="s">
        <v>21</v>
      </c>
      <c r="G1464" t="s">
        <v>22</v>
      </c>
      <c r="H1464">
        <v>30000</v>
      </c>
      <c r="I1464">
        <v>3</v>
      </c>
      <c r="J1464" t="s">
        <v>17</v>
      </c>
      <c r="K1464">
        <v>24000</v>
      </c>
    </row>
    <row r="1465" spans="1:11" x14ac:dyDescent="0.25">
      <c r="A1465" s="10">
        <v>45750</v>
      </c>
      <c r="B1465" t="s">
        <v>25</v>
      </c>
      <c r="C1465" t="s">
        <v>26</v>
      </c>
      <c r="D1465" t="s">
        <v>23</v>
      </c>
      <c r="E1465" t="s">
        <v>20</v>
      </c>
      <c r="F1465" t="s">
        <v>33</v>
      </c>
      <c r="G1465" t="s">
        <v>22</v>
      </c>
      <c r="H1465">
        <v>180000</v>
      </c>
      <c r="I1465">
        <v>5</v>
      </c>
      <c r="J1465" t="s">
        <v>37</v>
      </c>
      <c r="K1465">
        <v>144000</v>
      </c>
    </row>
    <row r="1466" spans="1:11" x14ac:dyDescent="0.25">
      <c r="A1466" s="10">
        <v>45717</v>
      </c>
      <c r="B1466" t="s">
        <v>18</v>
      </c>
      <c r="C1466" t="s">
        <v>32</v>
      </c>
      <c r="D1466" t="s">
        <v>13</v>
      </c>
      <c r="E1466" t="s">
        <v>20</v>
      </c>
      <c r="F1466" t="s">
        <v>40</v>
      </c>
      <c r="G1466" t="s">
        <v>31</v>
      </c>
      <c r="H1466">
        <v>250000</v>
      </c>
      <c r="I1466">
        <v>5</v>
      </c>
      <c r="J1466" t="s">
        <v>35</v>
      </c>
      <c r="K1466">
        <v>200000</v>
      </c>
    </row>
    <row r="1467" spans="1:11" x14ac:dyDescent="0.25">
      <c r="A1467" s="10">
        <v>45733</v>
      </c>
      <c r="B1467" t="s">
        <v>18</v>
      </c>
      <c r="C1467" t="s">
        <v>12</v>
      </c>
      <c r="D1467" t="s">
        <v>13</v>
      </c>
      <c r="E1467" t="s">
        <v>20</v>
      </c>
      <c r="F1467" t="s">
        <v>15</v>
      </c>
      <c r="G1467" t="s">
        <v>16</v>
      </c>
      <c r="H1467">
        <v>85000</v>
      </c>
      <c r="I1467">
        <v>3</v>
      </c>
      <c r="J1467" t="s">
        <v>37</v>
      </c>
      <c r="K1467">
        <v>68000</v>
      </c>
    </row>
    <row r="1468" spans="1:11" x14ac:dyDescent="0.25">
      <c r="A1468" s="10">
        <v>45754</v>
      </c>
      <c r="B1468" t="s">
        <v>29</v>
      </c>
      <c r="C1468" t="s">
        <v>12</v>
      </c>
      <c r="D1468" t="s">
        <v>23</v>
      </c>
      <c r="E1468" t="s">
        <v>20</v>
      </c>
      <c r="F1468" t="s">
        <v>21</v>
      </c>
      <c r="G1468" t="s">
        <v>22</v>
      </c>
      <c r="H1468">
        <v>30000</v>
      </c>
      <c r="I1468">
        <v>1</v>
      </c>
      <c r="J1468" t="s">
        <v>24</v>
      </c>
      <c r="K1468">
        <v>24000</v>
      </c>
    </row>
    <row r="1469" spans="1:11" x14ac:dyDescent="0.25">
      <c r="A1469" s="10">
        <v>45743</v>
      </c>
      <c r="B1469" t="s">
        <v>25</v>
      </c>
      <c r="C1469" t="s">
        <v>26</v>
      </c>
      <c r="D1469" t="s">
        <v>23</v>
      </c>
      <c r="E1469" t="s">
        <v>20</v>
      </c>
      <c r="F1469" t="s">
        <v>30</v>
      </c>
      <c r="G1469" t="s">
        <v>31</v>
      </c>
      <c r="H1469">
        <v>300000</v>
      </c>
      <c r="I1469">
        <v>10</v>
      </c>
      <c r="J1469" t="s">
        <v>35</v>
      </c>
      <c r="K1469">
        <v>240000</v>
      </c>
    </row>
    <row r="1470" spans="1:11" x14ac:dyDescent="0.25">
      <c r="A1470" s="10">
        <v>45696</v>
      </c>
      <c r="B1470" t="s">
        <v>25</v>
      </c>
      <c r="C1470" t="s">
        <v>19</v>
      </c>
      <c r="D1470" t="s">
        <v>23</v>
      </c>
      <c r="E1470" t="s">
        <v>20</v>
      </c>
      <c r="F1470" t="s">
        <v>38</v>
      </c>
      <c r="G1470" t="s">
        <v>31</v>
      </c>
      <c r="H1470">
        <v>420000</v>
      </c>
      <c r="I1470">
        <v>5</v>
      </c>
      <c r="J1470" t="s">
        <v>37</v>
      </c>
      <c r="K1470">
        <v>336000</v>
      </c>
    </row>
    <row r="1471" spans="1:11" x14ac:dyDescent="0.25">
      <c r="A1471" s="10">
        <v>45758</v>
      </c>
      <c r="B1471" t="s">
        <v>18</v>
      </c>
      <c r="C1471" t="s">
        <v>12</v>
      </c>
      <c r="D1471" t="s">
        <v>23</v>
      </c>
      <c r="E1471" t="s">
        <v>20</v>
      </c>
      <c r="F1471" t="s">
        <v>40</v>
      </c>
      <c r="G1471" t="s">
        <v>31</v>
      </c>
      <c r="H1471">
        <v>250000</v>
      </c>
      <c r="I1471">
        <v>4</v>
      </c>
      <c r="J1471" t="s">
        <v>37</v>
      </c>
      <c r="K1471">
        <v>200000</v>
      </c>
    </row>
    <row r="1472" spans="1:11" x14ac:dyDescent="0.25">
      <c r="A1472" s="10">
        <v>45732</v>
      </c>
      <c r="B1472" t="s">
        <v>25</v>
      </c>
      <c r="C1472" t="s">
        <v>26</v>
      </c>
      <c r="D1472" t="s">
        <v>13</v>
      </c>
      <c r="E1472" t="s">
        <v>20</v>
      </c>
      <c r="F1472" t="s">
        <v>41</v>
      </c>
      <c r="G1472" t="s">
        <v>22</v>
      </c>
      <c r="H1472">
        <v>220000</v>
      </c>
      <c r="I1472">
        <v>3</v>
      </c>
      <c r="J1472" t="s">
        <v>17</v>
      </c>
      <c r="K1472">
        <v>176000</v>
      </c>
    </row>
    <row r="1473" spans="1:11" x14ac:dyDescent="0.25">
      <c r="A1473" s="10">
        <v>45723</v>
      </c>
      <c r="B1473" t="s">
        <v>29</v>
      </c>
      <c r="C1473" t="s">
        <v>32</v>
      </c>
      <c r="D1473" t="s">
        <v>13</v>
      </c>
      <c r="E1473" t="s">
        <v>20</v>
      </c>
      <c r="F1473" t="s">
        <v>34</v>
      </c>
      <c r="G1473" t="s">
        <v>16</v>
      </c>
      <c r="H1473">
        <v>320000</v>
      </c>
      <c r="I1473">
        <v>2</v>
      </c>
      <c r="J1473" t="s">
        <v>28</v>
      </c>
      <c r="K1473">
        <v>256000</v>
      </c>
    </row>
    <row r="1474" spans="1:11" x14ac:dyDescent="0.25">
      <c r="A1474" s="10">
        <v>45751</v>
      </c>
      <c r="B1474" t="s">
        <v>11</v>
      </c>
      <c r="C1474" t="s">
        <v>32</v>
      </c>
      <c r="D1474" t="s">
        <v>23</v>
      </c>
      <c r="E1474" t="s">
        <v>20</v>
      </c>
      <c r="F1474" t="s">
        <v>34</v>
      </c>
      <c r="G1474" t="s">
        <v>16</v>
      </c>
      <c r="H1474">
        <v>320000</v>
      </c>
      <c r="I1474">
        <v>9</v>
      </c>
      <c r="J1474" t="s">
        <v>39</v>
      </c>
      <c r="K1474">
        <v>256000</v>
      </c>
    </row>
    <row r="1475" spans="1:11" x14ac:dyDescent="0.25">
      <c r="A1475" s="10">
        <v>45715</v>
      </c>
      <c r="B1475" t="s">
        <v>29</v>
      </c>
      <c r="C1475" t="s">
        <v>19</v>
      </c>
      <c r="D1475" t="s">
        <v>13</v>
      </c>
      <c r="E1475" t="s">
        <v>20</v>
      </c>
      <c r="F1475" t="s">
        <v>41</v>
      </c>
      <c r="G1475" t="s">
        <v>22</v>
      </c>
      <c r="H1475">
        <v>220000</v>
      </c>
      <c r="I1475">
        <v>10</v>
      </c>
      <c r="J1475" t="s">
        <v>24</v>
      </c>
      <c r="K1475">
        <v>176000</v>
      </c>
    </row>
    <row r="1476" spans="1:11" x14ac:dyDescent="0.25">
      <c r="A1476" s="10">
        <v>45718</v>
      </c>
      <c r="B1476" t="s">
        <v>25</v>
      </c>
      <c r="C1476" t="s">
        <v>12</v>
      </c>
      <c r="D1476" t="s">
        <v>13</v>
      </c>
      <c r="E1476" t="s">
        <v>20</v>
      </c>
      <c r="F1476" t="s">
        <v>15</v>
      </c>
      <c r="G1476" t="s">
        <v>16</v>
      </c>
      <c r="H1476">
        <v>85000</v>
      </c>
      <c r="I1476">
        <v>1</v>
      </c>
      <c r="J1476" t="s">
        <v>28</v>
      </c>
      <c r="K1476">
        <v>68000</v>
      </c>
    </row>
    <row r="1477" spans="1:11" x14ac:dyDescent="0.25">
      <c r="A1477" s="10">
        <v>45674</v>
      </c>
      <c r="B1477" t="s">
        <v>25</v>
      </c>
      <c r="C1477" t="s">
        <v>32</v>
      </c>
      <c r="D1477" t="s">
        <v>13</v>
      </c>
      <c r="E1477" t="s">
        <v>14</v>
      </c>
      <c r="F1477" t="s">
        <v>30</v>
      </c>
      <c r="G1477" t="s">
        <v>31</v>
      </c>
      <c r="H1477">
        <v>300000</v>
      </c>
      <c r="I1477">
        <v>4</v>
      </c>
      <c r="J1477" t="s">
        <v>28</v>
      </c>
      <c r="K1477">
        <v>240000</v>
      </c>
    </row>
    <row r="1478" spans="1:11" x14ac:dyDescent="0.25">
      <c r="A1478" s="10">
        <v>45715</v>
      </c>
      <c r="B1478" t="s">
        <v>25</v>
      </c>
      <c r="C1478" t="s">
        <v>32</v>
      </c>
      <c r="D1478" t="s">
        <v>23</v>
      </c>
      <c r="E1478" t="s">
        <v>20</v>
      </c>
      <c r="F1478" t="s">
        <v>15</v>
      </c>
      <c r="G1478" t="s">
        <v>16</v>
      </c>
      <c r="H1478">
        <v>85000</v>
      </c>
      <c r="I1478">
        <v>5</v>
      </c>
      <c r="J1478" t="s">
        <v>24</v>
      </c>
      <c r="K1478">
        <v>68000</v>
      </c>
    </row>
    <row r="1479" spans="1:11" x14ac:dyDescent="0.25">
      <c r="A1479" s="10">
        <v>45767</v>
      </c>
      <c r="B1479" t="s">
        <v>25</v>
      </c>
      <c r="C1479" t="s">
        <v>32</v>
      </c>
      <c r="D1479" t="s">
        <v>23</v>
      </c>
      <c r="E1479" t="s">
        <v>14</v>
      </c>
      <c r="F1479" t="s">
        <v>30</v>
      </c>
      <c r="G1479" t="s">
        <v>31</v>
      </c>
      <c r="H1479">
        <v>300000</v>
      </c>
      <c r="I1479">
        <v>5</v>
      </c>
      <c r="J1479" t="s">
        <v>39</v>
      </c>
      <c r="K1479">
        <v>240000</v>
      </c>
    </row>
    <row r="1480" spans="1:11" x14ac:dyDescent="0.25">
      <c r="A1480" s="10">
        <v>45666</v>
      </c>
      <c r="B1480" t="s">
        <v>25</v>
      </c>
      <c r="C1480" t="s">
        <v>32</v>
      </c>
      <c r="D1480" t="s">
        <v>13</v>
      </c>
      <c r="E1480" t="s">
        <v>20</v>
      </c>
      <c r="F1480" t="s">
        <v>30</v>
      </c>
      <c r="G1480" t="s">
        <v>31</v>
      </c>
      <c r="H1480">
        <v>300000</v>
      </c>
      <c r="I1480">
        <v>5</v>
      </c>
      <c r="J1480" t="s">
        <v>17</v>
      </c>
      <c r="K1480">
        <v>240000</v>
      </c>
    </row>
    <row r="1481" spans="1:11" x14ac:dyDescent="0.25">
      <c r="A1481" s="10">
        <v>45749</v>
      </c>
      <c r="B1481" t="s">
        <v>11</v>
      </c>
      <c r="C1481" t="s">
        <v>19</v>
      </c>
      <c r="D1481" t="s">
        <v>23</v>
      </c>
      <c r="E1481" t="s">
        <v>20</v>
      </c>
      <c r="F1481" t="s">
        <v>21</v>
      </c>
      <c r="G1481" t="s">
        <v>22</v>
      </c>
      <c r="H1481">
        <v>30000</v>
      </c>
      <c r="I1481">
        <v>10</v>
      </c>
      <c r="J1481" t="s">
        <v>17</v>
      </c>
      <c r="K1481">
        <v>24000</v>
      </c>
    </row>
    <row r="1482" spans="1:11" x14ac:dyDescent="0.25">
      <c r="A1482" s="10">
        <v>45702</v>
      </c>
      <c r="B1482" t="s">
        <v>25</v>
      </c>
      <c r="C1482" t="s">
        <v>26</v>
      </c>
      <c r="D1482" t="s">
        <v>13</v>
      </c>
      <c r="E1482" t="s">
        <v>14</v>
      </c>
      <c r="F1482" t="s">
        <v>41</v>
      </c>
      <c r="G1482" t="s">
        <v>22</v>
      </c>
      <c r="H1482">
        <v>220000</v>
      </c>
      <c r="I1482">
        <v>6</v>
      </c>
      <c r="J1482" t="s">
        <v>35</v>
      </c>
      <c r="K1482">
        <v>176000</v>
      </c>
    </row>
    <row r="1483" spans="1:11" x14ac:dyDescent="0.25">
      <c r="A1483" s="10">
        <v>45754</v>
      </c>
      <c r="B1483" t="s">
        <v>11</v>
      </c>
      <c r="C1483" t="s">
        <v>32</v>
      </c>
      <c r="D1483" t="s">
        <v>23</v>
      </c>
      <c r="E1483" t="s">
        <v>14</v>
      </c>
      <c r="F1483" t="s">
        <v>15</v>
      </c>
      <c r="G1483" t="s">
        <v>16</v>
      </c>
      <c r="H1483">
        <v>85000</v>
      </c>
      <c r="I1483">
        <v>9</v>
      </c>
      <c r="J1483" t="s">
        <v>24</v>
      </c>
      <c r="K1483">
        <v>68000</v>
      </c>
    </row>
    <row r="1484" spans="1:11" x14ac:dyDescent="0.25">
      <c r="A1484" s="10">
        <v>45678</v>
      </c>
      <c r="B1484" t="s">
        <v>18</v>
      </c>
      <c r="C1484" t="s">
        <v>32</v>
      </c>
      <c r="D1484" t="s">
        <v>13</v>
      </c>
      <c r="E1484" t="s">
        <v>14</v>
      </c>
      <c r="F1484" t="s">
        <v>38</v>
      </c>
      <c r="G1484" t="s">
        <v>31</v>
      </c>
      <c r="H1484">
        <v>420000</v>
      </c>
      <c r="I1484">
        <v>10</v>
      </c>
      <c r="J1484" t="s">
        <v>28</v>
      </c>
      <c r="K1484">
        <v>336000</v>
      </c>
    </row>
    <row r="1485" spans="1:11" x14ac:dyDescent="0.25">
      <c r="A1485" s="10">
        <v>45699</v>
      </c>
      <c r="B1485" t="s">
        <v>29</v>
      </c>
      <c r="C1485" t="s">
        <v>12</v>
      </c>
      <c r="D1485" t="s">
        <v>23</v>
      </c>
      <c r="E1485" t="s">
        <v>20</v>
      </c>
      <c r="F1485" t="s">
        <v>38</v>
      </c>
      <c r="G1485" t="s">
        <v>31</v>
      </c>
      <c r="H1485">
        <v>420000</v>
      </c>
      <c r="I1485">
        <v>1</v>
      </c>
      <c r="J1485" t="s">
        <v>35</v>
      </c>
      <c r="K1485">
        <v>336000</v>
      </c>
    </row>
    <row r="1486" spans="1:11" x14ac:dyDescent="0.25">
      <c r="A1486" s="10">
        <v>45774</v>
      </c>
      <c r="B1486" t="s">
        <v>11</v>
      </c>
      <c r="C1486" t="s">
        <v>19</v>
      </c>
      <c r="D1486" t="s">
        <v>13</v>
      </c>
      <c r="E1486" t="s">
        <v>20</v>
      </c>
      <c r="F1486" t="s">
        <v>27</v>
      </c>
      <c r="G1486" t="s">
        <v>22</v>
      </c>
      <c r="H1486">
        <v>60000</v>
      </c>
      <c r="I1486">
        <v>6</v>
      </c>
      <c r="J1486" t="s">
        <v>28</v>
      </c>
      <c r="K1486">
        <v>48000</v>
      </c>
    </row>
    <row r="1487" spans="1:11" x14ac:dyDescent="0.25">
      <c r="A1487" s="10">
        <v>45730</v>
      </c>
      <c r="B1487" t="s">
        <v>25</v>
      </c>
      <c r="C1487" t="s">
        <v>32</v>
      </c>
      <c r="D1487" t="s">
        <v>13</v>
      </c>
      <c r="E1487" t="s">
        <v>20</v>
      </c>
      <c r="F1487" t="s">
        <v>36</v>
      </c>
      <c r="G1487" t="s">
        <v>31</v>
      </c>
      <c r="H1487">
        <v>150000</v>
      </c>
      <c r="I1487">
        <v>1</v>
      </c>
      <c r="J1487" t="s">
        <v>28</v>
      </c>
      <c r="K1487">
        <v>120000</v>
      </c>
    </row>
    <row r="1488" spans="1:11" x14ac:dyDescent="0.25">
      <c r="A1488" s="10">
        <v>45709</v>
      </c>
      <c r="B1488" t="s">
        <v>29</v>
      </c>
      <c r="C1488" t="s">
        <v>26</v>
      </c>
      <c r="D1488" t="s">
        <v>13</v>
      </c>
      <c r="E1488" t="s">
        <v>14</v>
      </c>
      <c r="F1488" t="s">
        <v>40</v>
      </c>
      <c r="G1488" t="s">
        <v>31</v>
      </c>
      <c r="H1488">
        <v>250000</v>
      </c>
      <c r="I1488">
        <v>5</v>
      </c>
      <c r="J1488" t="s">
        <v>28</v>
      </c>
      <c r="K1488">
        <v>200000</v>
      </c>
    </row>
    <row r="1489" spans="1:11" x14ac:dyDescent="0.25">
      <c r="A1489" s="10">
        <v>45777</v>
      </c>
      <c r="B1489" t="s">
        <v>18</v>
      </c>
      <c r="C1489" t="s">
        <v>32</v>
      </c>
      <c r="D1489" t="s">
        <v>13</v>
      </c>
      <c r="E1489" t="s">
        <v>20</v>
      </c>
      <c r="F1489" t="s">
        <v>41</v>
      </c>
      <c r="G1489" t="s">
        <v>22</v>
      </c>
      <c r="H1489">
        <v>220000</v>
      </c>
      <c r="I1489">
        <v>5</v>
      </c>
      <c r="J1489" t="s">
        <v>28</v>
      </c>
      <c r="K1489">
        <v>176000</v>
      </c>
    </row>
    <row r="1490" spans="1:11" x14ac:dyDescent="0.25">
      <c r="A1490" s="10">
        <v>45772</v>
      </c>
      <c r="B1490" t="s">
        <v>11</v>
      </c>
      <c r="C1490" t="s">
        <v>19</v>
      </c>
      <c r="D1490" t="s">
        <v>23</v>
      </c>
      <c r="E1490" t="s">
        <v>20</v>
      </c>
      <c r="F1490" t="s">
        <v>27</v>
      </c>
      <c r="G1490" t="s">
        <v>22</v>
      </c>
      <c r="H1490">
        <v>60000</v>
      </c>
      <c r="I1490">
        <v>2</v>
      </c>
      <c r="J1490" t="s">
        <v>28</v>
      </c>
      <c r="K1490">
        <v>48000</v>
      </c>
    </row>
    <row r="1491" spans="1:11" x14ac:dyDescent="0.25">
      <c r="A1491" s="10">
        <v>45724</v>
      </c>
      <c r="B1491" t="s">
        <v>18</v>
      </c>
      <c r="C1491" t="s">
        <v>32</v>
      </c>
      <c r="D1491" t="s">
        <v>23</v>
      </c>
      <c r="E1491" t="s">
        <v>20</v>
      </c>
      <c r="F1491" t="s">
        <v>36</v>
      </c>
      <c r="G1491" t="s">
        <v>31</v>
      </c>
      <c r="H1491">
        <v>150000</v>
      </c>
      <c r="I1491">
        <v>3</v>
      </c>
      <c r="J1491" t="s">
        <v>39</v>
      </c>
      <c r="K1491">
        <v>120000</v>
      </c>
    </row>
    <row r="1492" spans="1:11" x14ac:dyDescent="0.25">
      <c r="A1492" s="10">
        <v>45715</v>
      </c>
      <c r="B1492" t="s">
        <v>25</v>
      </c>
      <c r="C1492" t="s">
        <v>19</v>
      </c>
      <c r="D1492" t="s">
        <v>23</v>
      </c>
      <c r="E1492" t="s">
        <v>20</v>
      </c>
      <c r="F1492" t="s">
        <v>15</v>
      </c>
      <c r="G1492" t="s">
        <v>16</v>
      </c>
      <c r="H1492">
        <v>85000</v>
      </c>
      <c r="I1492">
        <v>3</v>
      </c>
      <c r="J1492" t="s">
        <v>37</v>
      </c>
      <c r="K1492">
        <v>68000</v>
      </c>
    </row>
    <row r="1493" spans="1:11" x14ac:dyDescent="0.25">
      <c r="A1493" s="10">
        <v>45662</v>
      </c>
      <c r="B1493" t="s">
        <v>29</v>
      </c>
      <c r="C1493" t="s">
        <v>32</v>
      </c>
      <c r="D1493" t="s">
        <v>13</v>
      </c>
      <c r="E1493" t="s">
        <v>20</v>
      </c>
      <c r="F1493" t="s">
        <v>33</v>
      </c>
      <c r="G1493" t="s">
        <v>22</v>
      </c>
      <c r="H1493">
        <v>180000</v>
      </c>
      <c r="I1493">
        <v>7</v>
      </c>
      <c r="J1493" t="s">
        <v>39</v>
      </c>
      <c r="K1493">
        <v>144000</v>
      </c>
    </row>
    <row r="1494" spans="1:11" x14ac:dyDescent="0.25">
      <c r="A1494" s="10">
        <v>45740</v>
      </c>
      <c r="B1494" t="s">
        <v>29</v>
      </c>
      <c r="C1494" t="s">
        <v>19</v>
      </c>
      <c r="D1494" t="s">
        <v>23</v>
      </c>
      <c r="E1494" t="s">
        <v>14</v>
      </c>
      <c r="F1494" t="s">
        <v>33</v>
      </c>
      <c r="G1494" t="s">
        <v>22</v>
      </c>
      <c r="H1494">
        <v>180000</v>
      </c>
      <c r="I1494">
        <v>10</v>
      </c>
      <c r="J1494" t="s">
        <v>37</v>
      </c>
      <c r="K1494">
        <v>144000</v>
      </c>
    </row>
    <row r="1495" spans="1:11" x14ac:dyDescent="0.25">
      <c r="A1495" s="10">
        <v>45776</v>
      </c>
      <c r="B1495" t="s">
        <v>29</v>
      </c>
      <c r="C1495" t="s">
        <v>12</v>
      </c>
      <c r="D1495" t="s">
        <v>23</v>
      </c>
      <c r="E1495" t="s">
        <v>20</v>
      </c>
      <c r="F1495" t="s">
        <v>33</v>
      </c>
      <c r="G1495" t="s">
        <v>22</v>
      </c>
      <c r="H1495">
        <v>180000</v>
      </c>
      <c r="I1495">
        <v>1</v>
      </c>
      <c r="J1495" t="s">
        <v>28</v>
      </c>
      <c r="K1495">
        <v>144000</v>
      </c>
    </row>
    <row r="1496" spans="1:11" x14ac:dyDescent="0.25">
      <c r="A1496" s="10">
        <v>45671</v>
      </c>
      <c r="B1496" t="s">
        <v>11</v>
      </c>
      <c r="C1496" t="s">
        <v>32</v>
      </c>
      <c r="D1496" t="s">
        <v>13</v>
      </c>
      <c r="E1496" t="s">
        <v>14</v>
      </c>
      <c r="F1496" t="s">
        <v>34</v>
      </c>
      <c r="G1496" t="s">
        <v>16</v>
      </c>
      <c r="H1496">
        <v>320000</v>
      </c>
      <c r="I1496">
        <v>5</v>
      </c>
      <c r="J1496" t="s">
        <v>28</v>
      </c>
      <c r="K1496">
        <v>256000</v>
      </c>
    </row>
    <row r="1497" spans="1:11" x14ac:dyDescent="0.25">
      <c r="A1497" s="10">
        <v>45730</v>
      </c>
      <c r="B1497" t="s">
        <v>18</v>
      </c>
      <c r="C1497" t="s">
        <v>19</v>
      </c>
      <c r="D1497" t="s">
        <v>13</v>
      </c>
      <c r="E1497" t="s">
        <v>20</v>
      </c>
      <c r="F1497" t="s">
        <v>38</v>
      </c>
      <c r="G1497" t="s">
        <v>31</v>
      </c>
      <c r="H1497">
        <v>420000</v>
      </c>
      <c r="I1497">
        <v>5</v>
      </c>
      <c r="J1497" t="s">
        <v>35</v>
      </c>
      <c r="K1497">
        <v>336000</v>
      </c>
    </row>
    <row r="1498" spans="1:11" x14ac:dyDescent="0.25">
      <c r="A1498" s="10">
        <v>45719</v>
      </c>
      <c r="B1498" t="s">
        <v>11</v>
      </c>
      <c r="C1498" t="s">
        <v>26</v>
      </c>
      <c r="D1498" t="s">
        <v>23</v>
      </c>
      <c r="E1498" t="s">
        <v>14</v>
      </c>
      <c r="F1498" t="s">
        <v>33</v>
      </c>
      <c r="G1498" t="s">
        <v>22</v>
      </c>
      <c r="H1498">
        <v>180000</v>
      </c>
      <c r="I1498">
        <v>2</v>
      </c>
      <c r="J1498" t="s">
        <v>17</v>
      </c>
      <c r="K1498">
        <v>144000</v>
      </c>
    </row>
    <row r="1499" spans="1:11" x14ac:dyDescent="0.25">
      <c r="A1499" s="10">
        <v>45766</v>
      </c>
      <c r="B1499" t="s">
        <v>25</v>
      </c>
      <c r="C1499" t="s">
        <v>26</v>
      </c>
      <c r="D1499" t="s">
        <v>13</v>
      </c>
      <c r="E1499" t="s">
        <v>20</v>
      </c>
      <c r="F1499" t="s">
        <v>41</v>
      </c>
      <c r="G1499" t="s">
        <v>22</v>
      </c>
      <c r="H1499">
        <v>220000</v>
      </c>
      <c r="I1499">
        <v>1</v>
      </c>
      <c r="J1499" t="s">
        <v>24</v>
      </c>
      <c r="K1499">
        <v>176000</v>
      </c>
    </row>
    <row r="1500" spans="1:11" x14ac:dyDescent="0.25">
      <c r="A1500" s="10">
        <v>45760</v>
      </c>
      <c r="B1500" t="s">
        <v>11</v>
      </c>
      <c r="C1500" t="s">
        <v>26</v>
      </c>
      <c r="D1500" t="s">
        <v>23</v>
      </c>
      <c r="E1500" t="s">
        <v>14</v>
      </c>
      <c r="F1500" t="s">
        <v>34</v>
      </c>
      <c r="G1500" t="s">
        <v>16</v>
      </c>
      <c r="H1500">
        <v>320000</v>
      </c>
      <c r="I1500">
        <v>4</v>
      </c>
      <c r="J1500" t="s">
        <v>37</v>
      </c>
      <c r="K1500">
        <v>256000</v>
      </c>
    </row>
    <row r="1501" spans="1:11" x14ac:dyDescent="0.25">
      <c r="A1501" s="10">
        <v>45740</v>
      </c>
      <c r="B1501" t="s">
        <v>25</v>
      </c>
      <c r="C1501" t="s">
        <v>26</v>
      </c>
      <c r="D1501" t="s">
        <v>13</v>
      </c>
      <c r="E1501" t="s">
        <v>14</v>
      </c>
      <c r="F1501" t="s">
        <v>40</v>
      </c>
      <c r="G1501" t="s">
        <v>31</v>
      </c>
      <c r="H1501">
        <v>250000</v>
      </c>
      <c r="I1501">
        <v>4</v>
      </c>
      <c r="J1501" t="s">
        <v>24</v>
      </c>
      <c r="K1501">
        <v>200000</v>
      </c>
    </row>
    <row r="1502" spans="1:11" x14ac:dyDescent="0.25">
      <c r="A1502" s="10">
        <v>45715</v>
      </c>
      <c r="B1502" t="s">
        <v>25</v>
      </c>
      <c r="C1502" t="s">
        <v>12</v>
      </c>
      <c r="D1502" t="s">
        <v>13</v>
      </c>
      <c r="E1502" t="s">
        <v>20</v>
      </c>
      <c r="F1502" t="s">
        <v>27</v>
      </c>
      <c r="G1502" t="s">
        <v>22</v>
      </c>
      <c r="H1502">
        <v>60000</v>
      </c>
      <c r="I1502">
        <v>10</v>
      </c>
      <c r="J1502" t="s">
        <v>39</v>
      </c>
      <c r="K1502">
        <v>48000</v>
      </c>
    </row>
    <row r="1503" spans="1:11" x14ac:dyDescent="0.25">
      <c r="A1503" s="10">
        <v>45679</v>
      </c>
      <c r="B1503" t="s">
        <v>18</v>
      </c>
      <c r="C1503" t="s">
        <v>32</v>
      </c>
      <c r="D1503" t="s">
        <v>23</v>
      </c>
      <c r="E1503" t="s">
        <v>14</v>
      </c>
      <c r="F1503" t="s">
        <v>33</v>
      </c>
      <c r="G1503" t="s">
        <v>22</v>
      </c>
      <c r="H1503">
        <v>180000</v>
      </c>
      <c r="I1503">
        <v>10</v>
      </c>
      <c r="J1503" t="s">
        <v>37</v>
      </c>
      <c r="K1503">
        <v>144000</v>
      </c>
    </row>
    <row r="1504" spans="1:11" x14ac:dyDescent="0.25">
      <c r="A1504" s="10">
        <v>45692</v>
      </c>
      <c r="B1504" t="s">
        <v>18</v>
      </c>
      <c r="C1504" t="s">
        <v>26</v>
      </c>
      <c r="D1504" t="s">
        <v>23</v>
      </c>
      <c r="E1504" t="s">
        <v>20</v>
      </c>
      <c r="F1504" t="s">
        <v>30</v>
      </c>
      <c r="G1504" t="s">
        <v>31</v>
      </c>
      <c r="H1504">
        <v>300000</v>
      </c>
      <c r="I1504">
        <v>5</v>
      </c>
      <c r="J1504" t="s">
        <v>35</v>
      </c>
      <c r="K1504">
        <v>240000</v>
      </c>
    </row>
    <row r="1505" spans="1:11" x14ac:dyDescent="0.25">
      <c r="A1505" s="10">
        <v>45770</v>
      </c>
      <c r="B1505" t="s">
        <v>18</v>
      </c>
      <c r="C1505" t="s">
        <v>32</v>
      </c>
      <c r="D1505" t="s">
        <v>13</v>
      </c>
      <c r="E1505" t="s">
        <v>20</v>
      </c>
      <c r="F1505" t="s">
        <v>15</v>
      </c>
      <c r="G1505" t="s">
        <v>16</v>
      </c>
      <c r="H1505">
        <v>85000</v>
      </c>
      <c r="I1505">
        <v>7</v>
      </c>
      <c r="J1505" t="s">
        <v>37</v>
      </c>
      <c r="K1505">
        <v>68000</v>
      </c>
    </row>
    <row r="1506" spans="1:11" x14ac:dyDescent="0.25">
      <c r="A1506" s="10">
        <v>45751</v>
      </c>
      <c r="B1506" t="s">
        <v>18</v>
      </c>
      <c r="C1506" t="s">
        <v>12</v>
      </c>
      <c r="D1506" t="s">
        <v>13</v>
      </c>
      <c r="E1506" t="s">
        <v>14</v>
      </c>
      <c r="F1506" t="s">
        <v>33</v>
      </c>
      <c r="G1506" t="s">
        <v>22</v>
      </c>
      <c r="H1506">
        <v>180000</v>
      </c>
      <c r="I1506">
        <v>5</v>
      </c>
      <c r="J1506" t="s">
        <v>28</v>
      </c>
      <c r="K1506">
        <v>144000</v>
      </c>
    </row>
    <row r="1507" spans="1:11" x14ac:dyDescent="0.25">
      <c r="A1507" s="10">
        <v>45680</v>
      </c>
      <c r="B1507" t="s">
        <v>18</v>
      </c>
      <c r="C1507" t="s">
        <v>26</v>
      </c>
      <c r="D1507" t="s">
        <v>23</v>
      </c>
      <c r="E1507" t="s">
        <v>20</v>
      </c>
      <c r="F1507" t="s">
        <v>34</v>
      </c>
      <c r="G1507" t="s">
        <v>16</v>
      </c>
      <c r="H1507">
        <v>320000</v>
      </c>
      <c r="I1507">
        <v>4</v>
      </c>
      <c r="J1507" t="s">
        <v>24</v>
      </c>
      <c r="K1507">
        <v>256000</v>
      </c>
    </row>
    <row r="1508" spans="1:11" x14ac:dyDescent="0.25">
      <c r="A1508" s="10">
        <v>45730</v>
      </c>
      <c r="B1508" t="s">
        <v>11</v>
      </c>
      <c r="C1508" t="s">
        <v>12</v>
      </c>
      <c r="D1508" t="s">
        <v>23</v>
      </c>
      <c r="E1508" t="s">
        <v>14</v>
      </c>
      <c r="F1508" t="s">
        <v>33</v>
      </c>
      <c r="G1508" t="s">
        <v>22</v>
      </c>
      <c r="H1508">
        <v>180000</v>
      </c>
      <c r="I1508">
        <v>8</v>
      </c>
      <c r="J1508" t="s">
        <v>28</v>
      </c>
      <c r="K1508">
        <v>144000</v>
      </c>
    </row>
    <row r="1509" spans="1:11" x14ac:dyDescent="0.25">
      <c r="A1509" s="10">
        <v>45675</v>
      </c>
      <c r="B1509" t="s">
        <v>29</v>
      </c>
      <c r="C1509" t="s">
        <v>26</v>
      </c>
      <c r="D1509" t="s">
        <v>13</v>
      </c>
      <c r="E1509" t="s">
        <v>14</v>
      </c>
      <c r="F1509" t="s">
        <v>21</v>
      </c>
      <c r="G1509" t="s">
        <v>22</v>
      </c>
      <c r="H1509">
        <v>30000</v>
      </c>
      <c r="I1509">
        <v>3</v>
      </c>
      <c r="J1509" t="s">
        <v>37</v>
      </c>
      <c r="K1509">
        <v>24000</v>
      </c>
    </row>
    <row r="1510" spans="1:11" x14ac:dyDescent="0.25">
      <c r="A1510" s="10">
        <v>45772</v>
      </c>
      <c r="B1510" t="s">
        <v>29</v>
      </c>
      <c r="C1510" t="s">
        <v>32</v>
      </c>
      <c r="D1510" t="s">
        <v>23</v>
      </c>
      <c r="E1510" t="s">
        <v>20</v>
      </c>
      <c r="F1510" t="s">
        <v>41</v>
      </c>
      <c r="G1510" t="s">
        <v>22</v>
      </c>
      <c r="H1510">
        <v>220000</v>
      </c>
      <c r="I1510">
        <v>3</v>
      </c>
      <c r="J1510" t="s">
        <v>24</v>
      </c>
      <c r="K1510">
        <v>176000</v>
      </c>
    </row>
    <row r="1511" spans="1:11" x14ac:dyDescent="0.25">
      <c r="A1511" s="10">
        <v>45769</v>
      </c>
      <c r="B1511" t="s">
        <v>18</v>
      </c>
      <c r="C1511" t="s">
        <v>26</v>
      </c>
      <c r="D1511" t="s">
        <v>13</v>
      </c>
      <c r="E1511" t="s">
        <v>14</v>
      </c>
      <c r="F1511" t="s">
        <v>15</v>
      </c>
      <c r="G1511" t="s">
        <v>16</v>
      </c>
      <c r="H1511">
        <v>85000</v>
      </c>
      <c r="I1511">
        <v>4</v>
      </c>
      <c r="J1511" t="s">
        <v>24</v>
      </c>
      <c r="K1511">
        <v>68000</v>
      </c>
    </row>
    <row r="1512" spans="1:11" x14ac:dyDescent="0.25">
      <c r="A1512" s="10">
        <v>45703</v>
      </c>
      <c r="B1512" t="s">
        <v>29</v>
      </c>
      <c r="C1512" t="s">
        <v>19</v>
      </c>
      <c r="D1512" t="s">
        <v>13</v>
      </c>
      <c r="E1512" t="s">
        <v>14</v>
      </c>
      <c r="F1512" t="s">
        <v>33</v>
      </c>
      <c r="G1512" t="s">
        <v>22</v>
      </c>
      <c r="H1512">
        <v>180000</v>
      </c>
      <c r="I1512">
        <v>6</v>
      </c>
      <c r="J1512" t="s">
        <v>24</v>
      </c>
      <c r="K1512">
        <v>144000</v>
      </c>
    </row>
    <row r="1513" spans="1:11" x14ac:dyDescent="0.25">
      <c r="A1513" s="10">
        <v>45674</v>
      </c>
      <c r="B1513" t="s">
        <v>29</v>
      </c>
      <c r="C1513" t="s">
        <v>26</v>
      </c>
      <c r="D1513" t="s">
        <v>23</v>
      </c>
      <c r="E1513" t="s">
        <v>20</v>
      </c>
      <c r="F1513" t="s">
        <v>41</v>
      </c>
      <c r="G1513" t="s">
        <v>22</v>
      </c>
      <c r="H1513">
        <v>220000</v>
      </c>
      <c r="I1513">
        <v>8</v>
      </c>
      <c r="J1513" t="s">
        <v>17</v>
      </c>
      <c r="K1513">
        <v>176000</v>
      </c>
    </row>
    <row r="1514" spans="1:11" x14ac:dyDescent="0.25">
      <c r="A1514" s="10">
        <v>45689</v>
      </c>
      <c r="B1514" t="s">
        <v>25</v>
      </c>
      <c r="C1514" t="s">
        <v>19</v>
      </c>
      <c r="D1514" t="s">
        <v>13</v>
      </c>
      <c r="E1514" t="s">
        <v>20</v>
      </c>
      <c r="F1514" t="s">
        <v>36</v>
      </c>
      <c r="G1514" t="s">
        <v>31</v>
      </c>
      <c r="H1514">
        <v>150000</v>
      </c>
      <c r="I1514">
        <v>1</v>
      </c>
      <c r="J1514" t="s">
        <v>39</v>
      </c>
      <c r="K1514">
        <v>120000</v>
      </c>
    </row>
    <row r="1515" spans="1:11" x14ac:dyDescent="0.25">
      <c r="A1515" s="10">
        <v>45718</v>
      </c>
      <c r="B1515" t="s">
        <v>29</v>
      </c>
      <c r="C1515" t="s">
        <v>26</v>
      </c>
      <c r="D1515" t="s">
        <v>23</v>
      </c>
      <c r="E1515" t="s">
        <v>14</v>
      </c>
      <c r="F1515" t="s">
        <v>33</v>
      </c>
      <c r="G1515" t="s">
        <v>22</v>
      </c>
      <c r="H1515">
        <v>180000</v>
      </c>
      <c r="I1515">
        <v>9</v>
      </c>
      <c r="J1515" t="s">
        <v>35</v>
      </c>
      <c r="K1515">
        <v>144000</v>
      </c>
    </row>
    <row r="1516" spans="1:11" x14ac:dyDescent="0.25">
      <c r="A1516" s="10">
        <v>45777</v>
      </c>
      <c r="B1516" t="s">
        <v>29</v>
      </c>
      <c r="C1516" t="s">
        <v>26</v>
      </c>
      <c r="D1516" t="s">
        <v>23</v>
      </c>
      <c r="E1516" t="s">
        <v>20</v>
      </c>
      <c r="F1516" t="s">
        <v>38</v>
      </c>
      <c r="G1516" t="s">
        <v>31</v>
      </c>
      <c r="H1516">
        <v>420000</v>
      </c>
      <c r="I1516">
        <v>10</v>
      </c>
      <c r="J1516" t="s">
        <v>17</v>
      </c>
      <c r="K1516">
        <v>336000</v>
      </c>
    </row>
    <row r="1517" spans="1:11" x14ac:dyDescent="0.25">
      <c r="A1517" s="10">
        <v>45740</v>
      </c>
      <c r="B1517" t="s">
        <v>11</v>
      </c>
      <c r="C1517" t="s">
        <v>32</v>
      </c>
      <c r="D1517" t="s">
        <v>13</v>
      </c>
      <c r="E1517" t="s">
        <v>14</v>
      </c>
      <c r="F1517" t="s">
        <v>40</v>
      </c>
      <c r="G1517" t="s">
        <v>31</v>
      </c>
      <c r="H1517">
        <v>250000</v>
      </c>
      <c r="I1517">
        <v>10</v>
      </c>
      <c r="J1517" t="s">
        <v>17</v>
      </c>
      <c r="K1517">
        <v>200000</v>
      </c>
    </row>
    <row r="1518" spans="1:11" x14ac:dyDescent="0.25">
      <c r="A1518" s="10">
        <v>45762</v>
      </c>
      <c r="B1518" t="s">
        <v>18</v>
      </c>
      <c r="C1518" t="s">
        <v>26</v>
      </c>
      <c r="D1518" t="s">
        <v>13</v>
      </c>
      <c r="E1518" t="s">
        <v>20</v>
      </c>
      <c r="F1518" t="s">
        <v>41</v>
      </c>
      <c r="G1518" t="s">
        <v>22</v>
      </c>
      <c r="H1518">
        <v>220000</v>
      </c>
      <c r="I1518">
        <v>3</v>
      </c>
      <c r="J1518" t="s">
        <v>24</v>
      </c>
      <c r="K1518">
        <v>176000</v>
      </c>
    </row>
    <row r="1519" spans="1:11" x14ac:dyDescent="0.25">
      <c r="A1519" s="10">
        <v>45684</v>
      </c>
      <c r="B1519" t="s">
        <v>29</v>
      </c>
      <c r="C1519" t="s">
        <v>32</v>
      </c>
      <c r="D1519" t="s">
        <v>13</v>
      </c>
      <c r="E1519" t="s">
        <v>14</v>
      </c>
      <c r="F1519" t="s">
        <v>21</v>
      </c>
      <c r="G1519" t="s">
        <v>22</v>
      </c>
      <c r="H1519">
        <v>30000</v>
      </c>
      <c r="I1519">
        <v>4</v>
      </c>
      <c r="J1519" t="s">
        <v>35</v>
      </c>
      <c r="K1519">
        <v>24000</v>
      </c>
    </row>
    <row r="1520" spans="1:11" x14ac:dyDescent="0.25">
      <c r="A1520" s="10">
        <v>45755</v>
      </c>
      <c r="B1520" t="s">
        <v>18</v>
      </c>
      <c r="C1520" t="s">
        <v>32</v>
      </c>
      <c r="D1520" t="s">
        <v>13</v>
      </c>
      <c r="E1520" t="s">
        <v>20</v>
      </c>
      <c r="F1520" t="s">
        <v>33</v>
      </c>
      <c r="G1520" t="s">
        <v>22</v>
      </c>
      <c r="H1520">
        <v>180000</v>
      </c>
      <c r="I1520">
        <v>9</v>
      </c>
      <c r="J1520" t="s">
        <v>35</v>
      </c>
      <c r="K1520">
        <v>144000</v>
      </c>
    </row>
    <row r="1521" spans="1:11" x14ac:dyDescent="0.25">
      <c r="A1521" s="10">
        <v>45716</v>
      </c>
      <c r="B1521" t="s">
        <v>11</v>
      </c>
      <c r="C1521" t="s">
        <v>26</v>
      </c>
      <c r="D1521" t="s">
        <v>13</v>
      </c>
      <c r="E1521" t="s">
        <v>20</v>
      </c>
      <c r="F1521" t="s">
        <v>33</v>
      </c>
      <c r="G1521" t="s">
        <v>22</v>
      </c>
      <c r="H1521">
        <v>180000</v>
      </c>
      <c r="I1521">
        <v>7</v>
      </c>
      <c r="J1521" t="s">
        <v>35</v>
      </c>
      <c r="K1521">
        <v>144000</v>
      </c>
    </row>
    <row r="1522" spans="1:11" x14ac:dyDescent="0.25">
      <c r="A1522" s="10">
        <v>45706</v>
      </c>
      <c r="B1522" t="s">
        <v>18</v>
      </c>
      <c r="C1522" t="s">
        <v>12</v>
      </c>
      <c r="D1522" t="s">
        <v>23</v>
      </c>
      <c r="E1522" t="s">
        <v>20</v>
      </c>
      <c r="F1522" t="s">
        <v>36</v>
      </c>
      <c r="G1522" t="s">
        <v>31</v>
      </c>
      <c r="H1522">
        <v>150000</v>
      </c>
      <c r="I1522">
        <v>7</v>
      </c>
      <c r="J1522" t="s">
        <v>17</v>
      </c>
      <c r="K1522">
        <v>120000</v>
      </c>
    </row>
    <row r="1523" spans="1:11" x14ac:dyDescent="0.25">
      <c r="A1523" s="10">
        <v>45674</v>
      </c>
      <c r="B1523" t="s">
        <v>18</v>
      </c>
      <c r="C1523" t="s">
        <v>32</v>
      </c>
      <c r="D1523" t="s">
        <v>13</v>
      </c>
      <c r="E1523" t="s">
        <v>14</v>
      </c>
      <c r="F1523" t="s">
        <v>21</v>
      </c>
      <c r="G1523" t="s">
        <v>22</v>
      </c>
      <c r="H1523">
        <v>30000</v>
      </c>
      <c r="I1523">
        <v>4</v>
      </c>
      <c r="J1523" t="s">
        <v>28</v>
      </c>
      <c r="K1523">
        <v>24000</v>
      </c>
    </row>
    <row r="1524" spans="1:11" x14ac:dyDescent="0.25">
      <c r="A1524" s="10">
        <v>45687</v>
      </c>
      <c r="B1524" t="s">
        <v>18</v>
      </c>
      <c r="C1524" t="s">
        <v>19</v>
      </c>
      <c r="D1524" t="s">
        <v>13</v>
      </c>
      <c r="E1524" t="s">
        <v>14</v>
      </c>
      <c r="F1524" t="s">
        <v>34</v>
      </c>
      <c r="G1524" t="s">
        <v>16</v>
      </c>
      <c r="H1524">
        <v>320000</v>
      </c>
      <c r="I1524">
        <v>2</v>
      </c>
      <c r="J1524" t="s">
        <v>35</v>
      </c>
      <c r="K1524">
        <v>256000</v>
      </c>
    </row>
    <row r="1525" spans="1:11" x14ac:dyDescent="0.25">
      <c r="A1525" s="10">
        <v>45749</v>
      </c>
      <c r="B1525" t="s">
        <v>18</v>
      </c>
      <c r="C1525" t="s">
        <v>19</v>
      </c>
      <c r="D1525" t="s">
        <v>23</v>
      </c>
      <c r="E1525" t="s">
        <v>20</v>
      </c>
      <c r="F1525" t="s">
        <v>34</v>
      </c>
      <c r="G1525" t="s">
        <v>16</v>
      </c>
      <c r="H1525">
        <v>320000</v>
      </c>
      <c r="I1525">
        <v>6</v>
      </c>
      <c r="J1525" t="s">
        <v>37</v>
      </c>
      <c r="K1525">
        <v>256000</v>
      </c>
    </row>
    <row r="1526" spans="1:11" x14ac:dyDescent="0.25">
      <c r="A1526" s="10">
        <v>45762</v>
      </c>
      <c r="B1526" t="s">
        <v>18</v>
      </c>
      <c r="C1526" t="s">
        <v>26</v>
      </c>
      <c r="D1526" t="s">
        <v>23</v>
      </c>
      <c r="E1526" t="s">
        <v>20</v>
      </c>
      <c r="F1526" t="s">
        <v>38</v>
      </c>
      <c r="G1526" t="s">
        <v>31</v>
      </c>
      <c r="H1526">
        <v>420000</v>
      </c>
      <c r="I1526">
        <v>10</v>
      </c>
      <c r="J1526" t="s">
        <v>24</v>
      </c>
      <c r="K1526">
        <v>336000</v>
      </c>
    </row>
    <row r="1527" spans="1:11" x14ac:dyDescent="0.25">
      <c r="A1527" s="10">
        <v>45761</v>
      </c>
      <c r="B1527" t="s">
        <v>25</v>
      </c>
      <c r="C1527" t="s">
        <v>32</v>
      </c>
      <c r="D1527" t="s">
        <v>13</v>
      </c>
      <c r="E1527" t="s">
        <v>14</v>
      </c>
      <c r="F1527" t="s">
        <v>41</v>
      </c>
      <c r="G1527" t="s">
        <v>22</v>
      </c>
      <c r="H1527">
        <v>220000</v>
      </c>
      <c r="I1527">
        <v>8</v>
      </c>
      <c r="J1527" t="s">
        <v>17</v>
      </c>
      <c r="K1527">
        <v>176000</v>
      </c>
    </row>
    <row r="1528" spans="1:11" x14ac:dyDescent="0.25">
      <c r="A1528" s="10">
        <v>45737</v>
      </c>
      <c r="B1528" t="s">
        <v>18</v>
      </c>
      <c r="C1528" t="s">
        <v>12</v>
      </c>
      <c r="D1528" t="s">
        <v>13</v>
      </c>
      <c r="E1528" t="s">
        <v>14</v>
      </c>
      <c r="F1528" t="s">
        <v>30</v>
      </c>
      <c r="G1528" t="s">
        <v>31</v>
      </c>
      <c r="H1528">
        <v>300000</v>
      </c>
      <c r="I1528">
        <v>10</v>
      </c>
      <c r="J1528" t="s">
        <v>17</v>
      </c>
      <c r="K1528">
        <v>240000</v>
      </c>
    </row>
    <row r="1529" spans="1:11" x14ac:dyDescent="0.25">
      <c r="A1529" s="10">
        <v>45677</v>
      </c>
      <c r="B1529" t="s">
        <v>25</v>
      </c>
      <c r="C1529" t="s">
        <v>32</v>
      </c>
      <c r="D1529" t="s">
        <v>23</v>
      </c>
      <c r="E1529" t="s">
        <v>20</v>
      </c>
      <c r="F1529" t="s">
        <v>30</v>
      </c>
      <c r="G1529" t="s">
        <v>31</v>
      </c>
      <c r="H1529">
        <v>300000</v>
      </c>
      <c r="I1529">
        <v>3</v>
      </c>
      <c r="J1529" t="s">
        <v>28</v>
      </c>
      <c r="K1529">
        <v>240000</v>
      </c>
    </row>
    <row r="1530" spans="1:11" x14ac:dyDescent="0.25">
      <c r="A1530" s="10">
        <v>45699</v>
      </c>
      <c r="B1530" t="s">
        <v>29</v>
      </c>
      <c r="C1530" t="s">
        <v>12</v>
      </c>
      <c r="D1530" t="s">
        <v>13</v>
      </c>
      <c r="E1530" t="s">
        <v>14</v>
      </c>
      <c r="F1530" t="s">
        <v>34</v>
      </c>
      <c r="G1530" t="s">
        <v>16</v>
      </c>
      <c r="H1530">
        <v>320000</v>
      </c>
      <c r="I1530">
        <v>5</v>
      </c>
      <c r="J1530" t="s">
        <v>37</v>
      </c>
      <c r="K1530">
        <v>256000</v>
      </c>
    </row>
    <row r="1531" spans="1:11" x14ac:dyDescent="0.25">
      <c r="A1531" s="10">
        <v>45701</v>
      </c>
      <c r="B1531" t="s">
        <v>18</v>
      </c>
      <c r="C1531" t="s">
        <v>32</v>
      </c>
      <c r="D1531" t="s">
        <v>13</v>
      </c>
      <c r="E1531" t="s">
        <v>14</v>
      </c>
      <c r="F1531" t="s">
        <v>15</v>
      </c>
      <c r="G1531" t="s">
        <v>16</v>
      </c>
      <c r="H1531">
        <v>85000</v>
      </c>
      <c r="I1531">
        <v>7</v>
      </c>
      <c r="J1531" t="s">
        <v>17</v>
      </c>
      <c r="K1531">
        <v>68000</v>
      </c>
    </row>
    <row r="1532" spans="1:11" x14ac:dyDescent="0.25">
      <c r="A1532" s="10">
        <v>45702</v>
      </c>
      <c r="B1532" t="s">
        <v>11</v>
      </c>
      <c r="C1532" t="s">
        <v>26</v>
      </c>
      <c r="D1532" t="s">
        <v>13</v>
      </c>
      <c r="E1532" t="s">
        <v>20</v>
      </c>
      <c r="F1532" t="s">
        <v>41</v>
      </c>
      <c r="G1532" t="s">
        <v>22</v>
      </c>
      <c r="H1532">
        <v>220000</v>
      </c>
      <c r="I1532">
        <v>2</v>
      </c>
      <c r="J1532" t="s">
        <v>37</v>
      </c>
      <c r="K1532">
        <v>176000</v>
      </c>
    </row>
    <row r="1533" spans="1:11" x14ac:dyDescent="0.25">
      <c r="A1533" s="10">
        <v>45739</v>
      </c>
      <c r="B1533" t="s">
        <v>29</v>
      </c>
      <c r="C1533" t="s">
        <v>32</v>
      </c>
      <c r="D1533" t="s">
        <v>13</v>
      </c>
      <c r="E1533" t="s">
        <v>20</v>
      </c>
      <c r="F1533" t="s">
        <v>30</v>
      </c>
      <c r="G1533" t="s">
        <v>31</v>
      </c>
      <c r="H1533">
        <v>300000</v>
      </c>
      <c r="I1533">
        <v>2</v>
      </c>
      <c r="J1533" t="s">
        <v>28</v>
      </c>
      <c r="K1533">
        <v>240000</v>
      </c>
    </row>
    <row r="1534" spans="1:11" x14ac:dyDescent="0.25">
      <c r="A1534" s="10">
        <v>45702</v>
      </c>
      <c r="B1534" t="s">
        <v>25</v>
      </c>
      <c r="C1534" t="s">
        <v>19</v>
      </c>
      <c r="D1534" t="s">
        <v>23</v>
      </c>
      <c r="E1534" t="s">
        <v>14</v>
      </c>
      <c r="F1534" t="s">
        <v>15</v>
      </c>
      <c r="G1534" t="s">
        <v>16</v>
      </c>
      <c r="H1534">
        <v>85000</v>
      </c>
      <c r="I1534">
        <v>3</v>
      </c>
      <c r="J1534" t="s">
        <v>24</v>
      </c>
      <c r="K1534">
        <v>68000</v>
      </c>
    </row>
    <row r="1535" spans="1:11" x14ac:dyDescent="0.25">
      <c r="A1535" s="10">
        <v>45676</v>
      </c>
      <c r="B1535" t="s">
        <v>29</v>
      </c>
      <c r="C1535" t="s">
        <v>32</v>
      </c>
      <c r="D1535" t="s">
        <v>13</v>
      </c>
      <c r="E1535" t="s">
        <v>20</v>
      </c>
      <c r="F1535" t="s">
        <v>41</v>
      </c>
      <c r="G1535" t="s">
        <v>22</v>
      </c>
      <c r="H1535">
        <v>220000</v>
      </c>
      <c r="I1535">
        <v>7</v>
      </c>
      <c r="J1535" t="s">
        <v>37</v>
      </c>
      <c r="K1535">
        <v>176000</v>
      </c>
    </row>
    <row r="1536" spans="1:11" x14ac:dyDescent="0.25">
      <c r="A1536" s="10">
        <v>45743</v>
      </c>
      <c r="B1536" t="s">
        <v>18</v>
      </c>
      <c r="C1536" t="s">
        <v>26</v>
      </c>
      <c r="D1536" t="s">
        <v>23</v>
      </c>
      <c r="E1536" t="s">
        <v>14</v>
      </c>
      <c r="F1536" t="s">
        <v>36</v>
      </c>
      <c r="G1536" t="s">
        <v>31</v>
      </c>
      <c r="H1536">
        <v>150000</v>
      </c>
      <c r="I1536">
        <v>3</v>
      </c>
      <c r="J1536" t="s">
        <v>28</v>
      </c>
      <c r="K1536">
        <v>120000</v>
      </c>
    </row>
    <row r="1537" spans="1:11" x14ac:dyDescent="0.25">
      <c r="A1537" s="10">
        <v>45682</v>
      </c>
      <c r="B1537" t="s">
        <v>18</v>
      </c>
      <c r="C1537" t="s">
        <v>19</v>
      </c>
      <c r="D1537" t="s">
        <v>13</v>
      </c>
      <c r="E1537" t="s">
        <v>20</v>
      </c>
      <c r="F1537" t="s">
        <v>38</v>
      </c>
      <c r="G1537" t="s">
        <v>31</v>
      </c>
      <c r="H1537">
        <v>420000</v>
      </c>
      <c r="I1537">
        <v>10</v>
      </c>
      <c r="J1537" t="s">
        <v>37</v>
      </c>
      <c r="K1537">
        <v>336000</v>
      </c>
    </row>
    <row r="1538" spans="1:11" x14ac:dyDescent="0.25">
      <c r="A1538" s="10">
        <v>45695</v>
      </c>
      <c r="B1538" t="s">
        <v>29</v>
      </c>
      <c r="C1538" t="s">
        <v>19</v>
      </c>
      <c r="D1538" t="s">
        <v>13</v>
      </c>
      <c r="E1538" t="s">
        <v>20</v>
      </c>
      <c r="F1538" t="s">
        <v>27</v>
      </c>
      <c r="G1538" t="s">
        <v>22</v>
      </c>
      <c r="H1538">
        <v>60000</v>
      </c>
      <c r="I1538">
        <v>3</v>
      </c>
      <c r="J1538" t="s">
        <v>35</v>
      </c>
      <c r="K1538">
        <v>48000</v>
      </c>
    </row>
    <row r="1539" spans="1:11" x14ac:dyDescent="0.25">
      <c r="A1539" s="10">
        <v>45678</v>
      </c>
      <c r="B1539" t="s">
        <v>18</v>
      </c>
      <c r="C1539" t="s">
        <v>19</v>
      </c>
      <c r="D1539" t="s">
        <v>23</v>
      </c>
      <c r="E1539" t="s">
        <v>14</v>
      </c>
      <c r="F1539" t="s">
        <v>30</v>
      </c>
      <c r="G1539" t="s">
        <v>31</v>
      </c>
      <c r="H1539">
        <v>300000</v>
      </c>
      <c r="I1539">
        <v>9</v>
      </c>
      <c r="J1539" t="s">
        <v>24</v>
      </c>
      <c r="K1539">
        <v>240000</v>
      </c>
    </row>
    <row r="1540" spans="1:11" x14ac:dyDescent="0.25">
      <c r="A1540" s="10">
        <v>45698</v>
      </c>
      <c r="B1540" t="s">
        <v>25</v>
      </c>
      <c r="C1540" t="s">
        <v>19</v>
      </c>
      <c r="D1540" t="s">
        <v>23</v>
      </c>
      <c r="E1540" t="s">
        <v>14</v>
      </c>
      <c r="F1540" t="s">
        <v>27</v>
      </c>
      <c r="G1540" t="s">
        <v>22</v>
      </c>
      <c r="H1540">
        <v>60000</v>
      </c>
      <c r="I1540">
        <v>7</v>
      </c>
      <c r="J1540" t="s">
        <v>17</v>
      </c>
      <c r="K1540">
        <v>48000</v>
      </c>
    </row>
    <row r="1541" spans="1:11" x14ac:dyDescent="0.25">
      <c r="A1541" s="10">
        <v>45735</v>
      </c>
      <c r="B1541" t="s">
        <v>11</v>
      </c>
      <c r="C1541" t="s">
        <v>12</v>
      </c>
      <c r="D1541" t="s">
        <v>13</v>
      </c>
      <c r="E1541" t="s">
        <v>14</v>
      </c>
      <c r="F1541" t="s">
        <v>34</v>
      </c>
      <c r="G1541" t="s">
        <v>16</v>
      </c>
      <c r="H1541">
        <v>320000</v>
      </c>
      <c r="I1541">
        <v>3</v>
      </c>
      <c r="J1541" t="s">
        <v>28</v>
      </c>
      <c r="K1541">
        <v>256000</v>
      </c>
    </row>
    <row r="1542" spans="1:11" x14ac:dyDescent="0.25">
      <c r="A1542" s="10">
        <v>45699</v>
      </c>
      <c r="B1542" t="s">
        <v>29</v>
      </c>
      <c r="C1542" t="s">
        <v>19</v>
      </c>
      <c r="D1542" t="s">
        <v>23</v>
      </c>
      <c r="E1542" t="s">
        <v>14</v>
      </c>
      <c r="F1542" t="s">
        <v>41</v>
      </c>
      <c r="G1542" t="s">
        <v>22</v>
      </c>
      <c r="H1542">
        <v>220000</v>
      </c>
      <c r="I1542">
        <v>5</v>
      </c>
      <c r="J1542" t="s">
        <v>17</v>
      </c>
      <c r="K1542">
        <v>176000</v>
      </c>
    </row>
    <row r="1543" spans="1:11" x14ac:dyDescent="0.25">
      <c r="A1543" s="10">
        <v>45703</v>
      </c>
      <c r="B1543" t="s">
        <v>18</v>
      </c>
      <c r="C1543" t="s">
        <v>19</v>
      </c>
      <c r="D1543" t="s">
        <v>23</v>
      </c>
      <c r="E1543" t="s">
        <v>14</v>
      </c>
      <c r="F1543" t="s">
        <v>41</v>
      </c>
      <c r="G1543" t="s">
        <v>22</v>
      </c>
      <c r="H1543">
        <v>220000</v>
      </c>
      <c r="I1543">
        <v>2</v>
      </c>
      <c r="J1543" t="s">
        <v>17</v>
      </c>
      <c r="K1543">
        <v>176000</v>
      </c>
    </row>
    <row r="1544" spans="1:11" x14ac:dyDescent="0.25">
      <c r="A1544" s="10">
        <v>45673</v>
      </c>
      <c r="B1544" t="s">
        <v>11</v>
      </c>
      <c r="C1544" t="s">
        <v>12</v>
      </c>
      <c r="D1544" t="s">
        <v>13</v>
      </c>
      <c r="E1544" t="s">
        <v>20</v>
      </c>
      <c r="F1544" t="s">
        <v>36</v>
      </c>
      <c r="G1544" t="s">
        <v>31</v>
      </c>
      <c r="H1544">
        <v>150000</v>
      </c>
      <c r="I1544">
        <v>10</v>
      </c>
      <c r="J1544" t="s">
        <v>24</v>
      </c>
      <c r="K1544">
        <v>120000</v>
      </c>
    </row>
    <row r="1545" spans="1:11" x14ac:dyDescent="0.25">
      <c r="A1545" s="10">
        <v>45761</v>
      </c>
      <c r="B1545" t="s">
        <v>29</v>
      </c>
      <c r="C1545" t="s">
        <v>26</v>
      </c>
      <c r="D1545" t="s">
        <v>13</v>
      </c>
      <c r="E1545" t="s">
        <v>20</v>
      </c>
      <c r="F1545" t="s">
        <v>21</v>
      </c>
      <c r="G1545" t="s">
        <v>22</v>
      </c>
      <c r="H1545">
        <v>30000</v>
      </c>
      <c r="I1545">
        <v>8</v>
      </c>
      <c r="J1545" t="s">
        <v>39</v>
      </c>
      <c r="K1545">
        <v>24000</v>
      </c>
    </row>
    <row r="1546" spans="1:11" x14ac:dyDescent="0.25">
      <c r="A1546" s="10">
        <v>45761</v>
      </c>
      <c r="B1546" t="s">
        <v>18</v>
      </c>
      <c r="C1546" t="s">
        <v>19</v>
      </c>
      <c r="D1546" t="s">
        <v>13</v>
      </c>
      <c r="E1546" t="s">
        <v>20</v>
      </c>
      <c r="F1546" t="s">
        <v>21</v>
      </c>
      <c r="G1546" t="s">
        <v>22</v>
      </c>
      <c r="H1546">
        <v>30000</v>
      </c>
      <c r="I1546">
        <v>9</v>
      </c>
      <c r="J1546" t="s">
        <v>35</v>
      </c>
      <c r="K1546">
        <v>24000</v>
      </c>
    </row>
    <row r="1547" spans="1:11" x14ac:dyDescent="0.25">
      <c r="A1547" s="10">
        <v>45753</v>
      </c>
      <c r="B1547" t="s">
        <v>18</v>
      </c>
      <c r="C1547" t="s">
        <v>12</v>
      </c>
      <c r="D1547" t="s">
        <v>13</v>
      </c>
      <c r="E1547" t="s">
        <v>20</v>
      </c>
      <c r="F1547" t="s">
        <v>36</v>
      </c>
      <c r="G1547" t="s">
        <v>31</v>
      </c>
      <c r="H1547">
        <v>150000</v>
      </c>
      <c r="I1547">
        <v>3</v>
      </c>
      <c r="J1547" t="s">
        <v>24</v>
      </c>
      <c r="K1547">
        <v>120000</v>
      </c>
    </row>
    <row r="1548" spans="1:11" x14ac:dyDescent="0.25">
      <c r="A1548" s="10">
        <v>45699</v>
      </c>
      <c r="B1548" t="s">
        <v>18</v>
      </c>
      <c r="C1548" t="s">
        <v>12</v>
      </c>
      <c r="D1548" t="s">
        <v>23</v>
      </c>
      <c r="E1548" t="s">
        <v>14</v>
      </c>
      <c r="F1548" t="s">
        <v>27</v>
      </c>
      <c r="G1548" t="s">
        <v>22</v>
      </c>
      <c r="H1548">
        <v>60000</v>
      </c>
      <c r="I1548">
        <v>6</v>
      </c>
      <c r="J1548" t="s">
        <v>28</v>
      </c>
      <c r="K1548">
        <v>48000</v>
      </c>
    </row>
    <row r="1549" spans="1:11" x14ac:dyDescent="0.25">
      <c r="A1549" s="10">
        <v>45702</v>
      </c>
      <c r="B1549" t="s">
        <v>18</v>
      </c>
      <c r="C1549" t="s">
        <v>12</v>
      </c>
      <c r="D1549" t="s">
        <v>23</v>
      </c>
      <c r="E1549" t="s">
        <v>20</v>
      </c>
      <c r="F1549" t="s">
        <v>40</v>
      </c>
      <c r="G1549" t="s">
        <v>31</v>
      </c>
      <c r="H1549">
        <v>250000</v>
      </c>
      <c r="I1549">
        <v>1</v>
      </c>
      <c r="J1549" t="s">
        <v>28</v>
      </c>
      <c r="K1549">
        <v>200000</v>
      </c>
    </row>
    <row r="1550" spans="1:11" x14ac:dyDescent="0.25">
      <c r="A1550" s="10">
        <v>45772</v>
      </c>
      <c r="B1550" t="s">
        <v>11</v>
      </c>
      <c r="C1550" t="s">
        <v>26</v>
      </c>
      <c r="D1550" t="s">
        <v>13</v>
      </c>
      <c r="E1550" t="s">
        <v>20</v>
      </c>
      <c r="F1550" t="s">
        <v>15</v>
      </c>
      <c r="G1550" t="s">
        <v>16</v>
      </c>
      <c r="H1550">
        <v>85000</v>
      </c>
      <c r="I1550">
        <v>8</v>
      </c>
      <c r="J1550" t="s">
        <v>28</v>
      </c>
      <c r="K1550">
        <v>68000</v>
      </c>
    </row>
    <row r="1551" spans="1:11" x14ac:dyDescent="0.25">
      <c r="A1551" s="10">
        <v>45697</v>
      </c>
      <c r="B1551" t="s">
        <v>29</v>
      </c>
      <c r="C1551" t="s">
        <v>12</v>
      </c>
      <c r="D1551" t="s">
        <v>13</v>
      </c>
      <c r="E1551" t="s">
        <v>20</v>
      </c>
      <c r="F1551" t="s">
        <v>33</v>
      </c>
      <c r="G1551" t="s">
        <v>22</v>
      </c>
      <c r="H1551">
        <v>180000</v>
      </c>
      <c r="I1551">
        <v>8</v>
      </c>
      <c r="J1551" t="s">
        <v>28</v>
      </c>
      <c r="K1551">
        <v>144000</v>
      </c>
    </row>
    <row r="1552" spans="1:11" x14ac:dyDescent="0.25">
      <c r="A1552" s="10">
        <v>45729</v>
      </c>
      <c r="B1552" t="s">
        <v>18</v>
      </c>
      <c r="C1552" t="s">
        <v>32</v>
      </c>
      <c r="D1552" t="s">
        <v>23</v>
      </c>
      <c r="E1552" t="s">
        <v>20</v>
      </c>
      <c r="F1552" t="s">
        <v>41</v>
      </c>
      <c r="G1552" t="s">
        <v>22</v>
      </c>
      <c r="H1552">
        <v>220000</v>
      </c>
      <c r="I1552">
        <v>9</v>
      </c>
      <c r="J1552" t="s">
        <v>37</v>
      </c>
      <c r="K1552">
        <v>176000</v>
      </c>
    </row>
    <row r="1553" spans="1:11" x14ac:dyDescent="0.25">
      <c r="A1553" s="10">
        <v>45661</v>
      </c>
      <c r="B1553" t="s">
        <v>11</v>
      </c>
      <c r="C1553" t="s">
        <v>12</v>
      </c>
      <c r="D1553" t="s">
        <v>13</v>
      </c>
      <c r="E1553" t="s">
        <v>20</v>
      </c>
      <c r="F1553" t="s">
        <v>40</v>
      </c>
      <c r="G1553" t="s">
        <v>31</v>
      </c>
      <c r="H1553">
        <v>250000</v>
      </c>
      <c r="I1553">
        <v>3</v>
      </c>
      <c r="J1553" t="s">
        <v>28</v>
      </c>
      <c r="K1553">
        <v>200000</v>
      </c>
    </row>
    <row r="1554" spans="1:11" x14ac:dyDescent="0.25">
      <c r="A1554" s="10">
        <v>45715</v>
      </c>
      <c r="B1554" t="s">
        <v>29</v>
      </c>
      <c r="C1554" t="s">
        <v>32</v>
      </c>
      <c r="D1554" t="s">
        <v>13</v>
      </c>
      <c r="E1554" t="s">
        <v>14</v>
      </c>
      <c r="F1554" t="s">
        <v>38</v>
      </c>
      <c r="G1554" t="s">
        <v>31</v>
      </c>
      <c r="H1554">
        <v>420000</v>
      </c>
      <c r="I1554">
        <v>6</v>
      </c>
      <c r="J1554" t="s">
        <v>39</v>
      </c>
      <c r="K1554">
        <v>336000</v>
      </c>
    </row>
    <row r="1555" spans="1:11" x14ac:dyDescent="0.25">
      <c r="A1555" s="10">
        <v>45693</v>
      </c>
      <c r="B1555" t="s">
        <v>18</v>
      </c>
      <c r="C1555" t="s">
        <v>19</v>
      </c>
      <c r="D1555" t="s">
        <v>23</v>
      </c>
      <c r="E1555" t="s">
        <v>20</v>
      </c>
      <c r="F1555" t="s">
        <v>33</v>
      </c>
      <c r="G1555" t="s">
        <v>22</v>
      </c>
      <c r="H1555">
        <v>180000</v>
      </c>
      <c r="I1555">
        <v>3</v>
      </c>
      <c r="J1555" t="s">
        <v>17</v>
      </c>
      <c r="K1555">
        <v>144000</v>
      </c>
    </row>
    <row r="1556" spans="1:11" x14ac:dyDescent="0.25">
      <c r="A1556" s="10">
        <v>45716</v>
      </c>
      <c r="B1556" t="s">
        <v>25</v>
      </c>
      <c r="C1556" t="s">
        <v>26</v>
      </c>
      <c r="D1556" t="s">
        <v>23</v>
      </c>
      <c r="E1556" t="s">
        <v>20</v>
      </c>
      <c r="F1556" t="s">
        <v>33</v>
      </c>
      <c r="G1556" t="s">
        <v>22</v>
      </c>
      <c r="H1556">
        <v>180000</v>
      </c>
      <c r="I1556">
        <v>9</v>
      </c>
      <c r="J1556" t="s">
        <v>17</v>
      </c>
      <c r="K1556">
        <v>144000</v>
      </c>
    </row>
    <row r="1557" spans="1:11" x14ac:dyDescent="0.25">
      <c r="A1557" s="10">
        <v>45676</v>
      </c>
      <c r="B1557" t="s">
        <v>18</v>
      </c>
      <c r="C1557" t="s">
        <v>26</v>
      </c>
      <c r="D1557" t="s">
        <v>13</v>
      </c>
      <c r="E1557" t="s">
        <v>14</v>
      </c>
      <c r="F1557" t="s">
        <v>38</v>
      </c>
      <c r="G1557" t="s">
        <v>31</v>
      </c>
      <c r="H1557">
        <v>420000</v>
      </c>
      <c r="I1557">
        <v>5</v>
      </c>
      <c r="J1557" t="s">
        <v>17</v>
      </c>
      <c r="K1557">
        <v>336000</v>
      </c>
    </row>
    <row r="1558" spans="1:11" x14ac:dyDescent="0.25">
      <c r="A1558" s="10">
        <v>45699</v>
      </c>
      <c r="B1558" t="s">
        <v>29</v>
      </c>
      <c r="C1558" t="s">
        <v>26</v>
      </c>
      <c r="D1558" t="s">
        <v>13</v>
      </c>
      <c r="E1558" t="s">
        <v>20</v>
      </c>
      <c r="F1558" t="s">
        <v>33</v>
      </c>
      <c r="G1558" t="s">
        <v>22</v>
      </c>
      <c r="H1558">
        <v>180000</v>
      </c>
      <c r="I1558">
        <v>6</v>
      </c>
      <c r="J1558" t="s">
        <v>39</v>
      </c>
      <c r="K1558">
        <v>144000</v>
      </c>
    </row>
    <row r="1559" spans="1:11" x14ac:dyDescent="0.25">
      <c r="A1559" s="10">
        <v>45707</v>
      </c>
      <c r="B1559" t="s">
        <v>18</v>
      </c>
      <c r="C1559" t="s">
        <v>26</v>
      </c>
      <c r="D1559" t="s">
        <v>23</v>
      </c>
      <c r="E1559" t="s">
        <v>14</v>
      </c>
      <c r="F1559" t="s">
        <v>30</v>
      </c>
      <c r="G1559" t="s">
        <v>31</v>
      </c>
      <c r="H1559">
        <v>300000</v>
      </c>
      <c r="I1559">
        <v>3</v>
      </c>
      <c r="J1559" t="s">
        <v>28</v>
      </c>
      <c r="K1559">
        <v>240000</v>
      </c>
    </row>
    <row r="1560" spans="1:11" x14ac:dyDescent="0.25">
      <c r="A1560" s="10">
        <v>45727</v>
      </c>
      <c r="B1560" t="s">
        <v>11</v>
      </c>
      <c r="C1560" t="s">
        <v>26</v>
      </c>
      <c r="D1560" t="s">
        <v>13</v>
      </c>
      <c r="E1560" t="s">
        <v>14</v>
      </c>
      <c r="F1560" t="s">
        <v>41</v>
      </c>
      <c r="G1560" t="s">
        <v>22</v>
      </c>
      <c r="H1560">
        <v>220000</v>
      </c>
      <c r="I1560">
        <v>7</v>
      </c>
      <c r="J1560" t="s">
        <v>17</v>
      </c>
      <c r="K1560">
        <v>176000</v>
      </c>
    </row>
    <row r="1561" spans="1:11" x14ac:dyDescent="0.25">
      <c r="A1561" s="10">
        <v>45777</v>
      </c>
      <c r="B1561" t="s">
        <v>25</v>
      </c>
      <c r="C1561" t="s">
        <v>19</v>
      </c>
      <c r="D1561" t="s">
        <v>13</v>
      </c>
      <c r="E1561" t="s">
        <v>14</v>
      </c>
      <c r="F1561" t="s">
        <v>27</v>
      </c>
      <c r="G1561" t="s">
        <v>22</v>
      </c>
      <c r="H1561">
        <v>60000</v>
      </c>
      <c r="I1561">
        <v>2</v>
      </c>
      <c r="J1561" t="s">
        <v>17</v>
      </c>
      <c r="K1561">
        <v>48000</v>
      </c>
    </row>
    <row r="1562" spans="1:11" x14ac:dyDescent="0.25">
      <c r="A1562" s="10">
        <v>45699</v>
      </c>
      <c r="B1562" t="s">
        <v>25</v>
      </c>
      <c r="C1562" t="s">
        <v>19</v>
      </c>
      <c r="D1562" t="s">
        <v>23</v>
      </c>
      <c r="E1562" t="s">
        <v>14</v>
      </c>
      <c r="F1562" t="s">
        <v>21</v>
      </c>
      <c r="G1562" t="s">
        <v>22</v>
      </c>
      <c r="H1562">
        <v>30000</v>
      </c>
      <c r="I1562">
        <v>4</v>
      </c>
      <c r="J1562" t="s">
        <v>35</v>
      </c>
      <c r="K1562">
        <v>24000</v>
      </c>
    </row>
    <row r="1563" spans="1:11" x14ac:dyDescent="0.25">
      <c r="A1563" s="10">
        <v>45684</v>
      </c>
      <c r="B1563" t="s">
        <v>11</v>
      </c>
      <c r="C1563" t="s">
        <v>19</v>
      </c>
      <c r="D1563" t="s">
        <v>23</v>
      </c>
      <c r="E1563" t="s">
        <v>20</v>
      </c>
      <c r="F1563" t="s">
        <v>34</v>
      </c>
      <c r="G1563" t="s">
        <v>16</v>
      </c>
      <c r="H1563">
        <v>320000</v>
      </c>
      <c r="I1563">
        <v>8</v>
      </c>
      <c r="J1563" t="s">
        <v>35</v>
      </c>
      <c r="K1563">
        <v>256000</v>
      </c>
    </row>
    <row r="1564" spans="1:11" x14ac:dyDescent="0.25">
      <c r="A1564" s="10">
        <v>45773</v>
      </c>
      <c r="B1564" t="s">
        <v>11</v>
      </c>
      <c r="C1564" t="s">
        <v>32</v>
      </c>
      <c r="D1564" t="s">
        <v>23</v>
      </c>
      <c r="E1564" t="s">
        <v>20</v>
      </c>
      <c r="F1564" t="s">
        <v>33</v>
      </c>
      <c r="G1564" t="s">
        <v>22</v>
      </c>
      <c r="H1564">
        <v>180000</v>
      </c>
      <c r="I1564">
        <v>5</v>
      </c>
      <c r="J1564" t="s">
        <v>28</v>
      </c>
      <c r="K1564">
        <v>144000</v>
      </c>
    </row>
    <row r="1565" spans="1:11" x14ac:dyDescent="0.25">
      <c r="A1565" s="10">
        <v>45717</v>
      </c>
      <c r="B1565" t="s">
        <v>18</v>
      </c>
      <c r="C1565" t="s">
        <v>12</v>
      </c>
      <c r="D1565" t="s">
        <v>13</v>
      </c>
      <c r="E1565" t="s">
        <v>20</v>
      </c>
      <c r="F1565" t="s">
        <v>34</v>
      </c>
      <c r="G1565" t="s">
        <v>16</v>
      </c>
      <c r="H1565">
        <v>320000</v>
      </c>
      <c r="I1565">
        <v>6</v>
      </c>
      <c r="J1565" t="s">
        <v>28</v>
      </c>
      <c r="K1565">
        <v>256000</v>
      </c>
    </row>
    <row r="1566" spans="1:11" x14ac:dyDescent="0.25">
      <c r="A1566" s="10">
        <v>45677</v>
      </c>
      <c r="B1566" t="s">
        <v>25</v>
      </c>
      <c r="C1566" t="s">
        <v>19</v>
      </c>
      <c r="D1566" t="s">
        <v>13</v>
      </c>
      <c r="E1566" t="s">
        <v>14</v>
      </c>
      <c r="F1566" t="s">
        <v>38</v>
      </c>
      <c r="G1566" t="s">
        <v>31</v>
      </c>
      <c r="H1566">
        <v>420000</v>
      </c>
      <c r="I1566">
        <v>3</v>
      </c>
      <c r="J1566" t="s">
        <v>28</v>
      </c>
      <c r="K1566">
        <v>336000</v>
      </c>
    </row>
    <row r="1567" spans="1:11" x14ac:dyDescent="0.25">
      <c r="A1567" s="10">
        <v>45666</v>
      </c>
      <c r="B1567" t="s">
        <v>29</v>
      </c>
      <c r="C1567" t="s">
        <v>32</v>
      </c>
      <c r="D1567" t="s">
        <v>23</v>
      </c>
      <c r="E1567" t="s">
        <v>14</v>
      </c>
      <c r="F1567" t="s">
        <v>36</v>
      </c>
      <c r="G1567" t="s">
        <v>31</v>
      </c>
      <c r="H1567">
        <v>150000</v>
      </c>
      <c r="I1567">
        <v>2</v>
      </c>
      <c r="J1567" t="s">
        <v>39</v>
      </c>
      <c r="K1567">
        <v>120000</v>
      </c>
    </row>
    <row r="1568" spans="1:11" x14ac:dyDescent="0.25">
      <c r="A1568" s="10">
        <v>45766</v>
      </c>
      <c r="B1568" t="s">
        <v>11</v>
      </c>
      <c r="C1568" t="s">
        <v>32</v>
      </c>
      <c r="D1568" t="s">
        <v>13</v>
      </c>
      <c r="E1568" t="s">
        <v>14</v>
      </c>
      <c r="F1568" t="s">
        <v>33</v>
      </c>
      <c r="G1568" t="s">
        <v>22</v>
      </c>
      <c r="H1568">
        <v>180000</v>
      </c>
      <c r="I1568">
        <v>8</v>
      </c>
      <c r="J1568" t="s">
        <v>35</v>
      </c>
      <c r="K1568">
        <v>144000</v>
      </c>
    </row>
    <row r="1569" spans="1:11" x14ac:dyDescent="0.25">
      <c r="A1569" s="10">
        <v>45730</v>
      </c>
      <c r="B1569" t="s">
        <v>29</v>
      </c>
      <c r="C1569" t="s">
        <v>19</v>
      </c>
      <c r="D1569" t="s">
        <v>13</v>
      </c>
      <c r="E1569" t="s">
        <v>14</v>
      </c>
      <c r="F1569" t="s">
        <v>36</v>
      </c>
      <c r="G1569" t="s">
        <v>31</v>
      </c>
      <c r="H1569">
        <v>150000</v>
      </c>
      <c r="I1569">
        <v>4</v>
      </c>
      <c r="J1569" t="s">
        <v>35</v>
      </c>
      <c r="K1569">
        <v>120000</v>
      </c>
    </row>
    <row r="1570" spans="1:11" x14ac:dyDescent="0.25">
      <c r="A1570" s="10">
        <v>45714</v>
      </c>
      <c r="B1570" t="s">
        <v>29</v>
      </c>
      <c r="C1570" t="s">
        <v>26</v>
      </c>
      <c r="D1570" t="s">
        <v>23</v>
      </c>
      <c r="E1570" t="s">
        <v>20</v>
      </c>
      <c r="F1570" t="s">
        <v>27</v>
      </c>
      <c r="G1570" t="s">
        <v>22</v>
      </c>
      <c r="H1570">
        <v>60000</v>
      </c>
      <c r="I1570">
        <v>8</v>
      </c>
      <c r="J1570" t="s">
        <v>28</v>
      </c>
      <c r="K1570">
        <v>48000</v>
      </c>
    </row>
    <row r="1571" spans="1:11" x14ac:dyDescent="0.25">
      <c r="A1571" s="10">
        <v>45771</v>
      </c>
      <c r="B1571" t="s">
        <v>29</v>
      </c>
      <c r="C1571" t="s">
        <v>12</v>
      </c>
      <c r="D1571" t="s">
        <v>23</v>
      </c>
      <c r="E1571" t="s">
        <v>20</v>
      </c>
      <c r="F1571" t="s">
        <v>38</v>
      </c>
      <c r="G1571" t="s">
        <v>31</v>
      </c>
      <c r="H1571">
        <v>420000</v>
      </c>
      <c r="I1571">
        <v>5</v>
      </c>
      <c r="J1571" t="s">
        <v>37</v>
      </c>
      <c r="K1571">
        <v>336000</v>
      </c>
    </row>
    <row r="1572" spans="1:11" x14ac:dyDescent="0.25">
      <c r="A1572" s="10">
        <v>45744</v>
      </c>
      <c r="B1572" t="s">
        <v>29</v>
      </c>
      <c r="C1572" t="s">
        <v>12</v>
      </c>
      <c r="D1572" t="s">
        <v>13</v>
      </c>
      <c r="E1572" t="s">
        <v>20</v>
      </c>
      <c r="F1572" t="s">
        <v>38</v>
      </c>
      <c r="G1572" t="s">
        <v>31</v>
      </c>
      <c r="H1572">
        <v>420000</v>
      </c>
      <c r="I1572">
        <v>6</v>
      </c>
      <c r="J1572" t="s">
        <v>39</v>
      </c>
      <c r="K1572">
        <v>336000</v>
      </c>
    </row>
    <row r="1573" spans="1:11" x14ac:dyDescent="0.25">
      <c r="A1573" s="10">
        <v>45679</v>
      </c>
      <c r="B1573" t="s">
        <v>25</v>
      </c>
      <c r="C1573" t="s">
        <v>12</v>
      </c>
      <c r="D1573" t="s">
        <v>13</v>
      </c>
      <c r="E1573" t="s">
        <v>20</v>
      </c>
      <c r="F1573" t="s">
        <v>30</v>
      </c>
      <c r="G1573" t="s">
        <v>31</v>
      </c>
      <c r="H1573">
        <v>300000</v>
      </c>
      <c r="I1573">
        <v>4</v>
      </c>
      <c r="J1573" t="s">
        <v>24</v>
      </c>
      <c r="K1573">
        <v>240000</v>
      </c>
    </row>
    <row r="1574" spans="1:11" x14ac:dyDescent="0.25">
      <c r="A1574" s="10">
        <v>45691</v>
      </c>
      <c r="B1574" t="s">
        <v>18</v>
      </c>
      <c r="C1574" t="s">
        <v>32</v>
      </c>
      <c r="D1574" t="s">
        <v>13</v>
      </c>
      <c r="E1574" t="s">
        <v>14</v>
      </c>
      <c r="F1574" t="s">
        <v>33</v>
      </c>
      <c r="G1574" t="s">
        <v>22</v>
      </c>
      <c r="H1574">
        <v>180000</v>
      </c>
      <c r="I1574">
        <v>1</v>
      </c>
      <c r="J1574" t="s">
        <v>39</v>
      </c>
      <c r="K1574">
        <v>144000</v>
      </c>
    </row>
    <row r="1575" spans="1:11" x14ac:dyDescent="0.25">
      <c r="A1575" s="10">
        <v>45742</v>
      </c>
      <c r="B1575" t="s">
        <v>29</v>
      </c>
      <c r="C1575" t="s">
        <v>32</v>
      </c>
      <c r="D1575" t="s">
        <v>23</v>
      </c>
      <c r="E1575" t="s">
        <v>14</v>
      </c>
      <c r="F1575" t="s">
        <v>38</v>
      </c>
      <c r="G1575" t="s">
        <v>31</v>
      </c>
      <c r="H1575">
        <v>420000</v>
      </c>
      <c r="I1575">
        <v>5</v>
      </c>
      <c r="J1575" t="s">
        <v>37</v>
      </c>
      <c r="K1575">
        <v>336000</v>
      </c>
    </row>
    <row r="1576" spans="1:11" x14ac:dyDescent="0.25">
      <c r="A1576" s="10">
        <v>45742</v>
      </c>
      <c r="B1576" t="s">
        <v>11</v>
      </c>
      <c r="C1576" t="s">
        <v>19</v>
      </c>
      <c r="D1576" t="s">
        <v>23</v>
      </c>
      <c r="E1576" t="s">
        <v>20</v>
      </c>
      <c r="F1576" t="s">
        <v>40</v>
      </c>
      <c r="G1576" t="s">
        <v>31</v>
      </c>
      <c r="H1576">
        <v>250000</v>
      </c>
      <c r="I1576">
        <v>7</v>
      </c>
      <c r="J1576" t="s">
        <v>39</v>
      </c>
      <c r="K1576">
        <v>200000</v>
      </c>
    </row>
    <row r="1577" spans="1:11" x14ac:dyDescent="0.25">
      <c r="A1577" s="10">
        <v>45763</v>
      </c>
      <c r="B1577" t="s">
        <v>25</v>
      </c>
      <c r="C1577" t="s">
        <v>32</v>
      </c>
      <c r="D1577" t="s">
        <v>23</v>
      </c>
      <c r="E1577" t="s">
        <v>14</v>
      </c>
      <c r="F1577" t="s">
        <v>21</v>
      </c>
      <c r="G1577" t="s">
        <v>22</v>
      </c>
      <c r="H1577">
        <v>30000</v>
      </c>
      <c r="I1577">
        <v>1</v>
      </c>
      <c r="J1577" t="s">
        <v>39</v>
      </c>
      <c r="K1577">
        <v>24000</v>
      </c>
    </row>
    <row r="1578" spans="1:11" x14ac:dyDescent="0.25">
      <c r="A1578" s="10">
        <v>45730</v>
      </c>
      <c r="B1578" t="s">
        <v>25</v>
      </c>
      <c r="C1578" t="s">
        <v>19</v>
      </c>
      <c r="D1578" t="s">
        <v>23</v>
      </c>
      <c r="E1578" t="s">
        <v>14</v>
      </c>
      <c r="F1578" t="s">
        <v>33</v>
      </c>
      <c r="G1578" t="s">
        <v>22</v>
      </c>
      <c r="H1578">
        <v>180000</v>
      </c>
      <c r="I1578">
        <v>9</v>
      </c>
      <c r="J1578" t="s">
        <v>35</v>
      </c>
      <c r="K1578">
        <v>144000</v>
      </c>
    </row>
    <row r="1579" spans="1:11" x14ac:dyDescent="0.25">
      <c r="A1579" s="10">
        <v>45759</v>
      </c>
      <c r="B1579" t="s">
        <v>29</v>
      </c>
      <c r="C1579" t="s">
        <v>19</v>
      </c>
      <c r="D1579" t="s">
        <v>23</v>
      </c>
      <c r="E1579" t="s">
        <v>14</v>
      </c>
      <c r="F1579" t="s">
        <v>30</v>
      </c>
      <c r="G1579" t="s">
        <v>31</v>
      </c>
      <c r="H1579">
        <v>300000</v>
      </c>
      <c r="I1579">
        <v>7</v>
      </c>
      <c r="J1579" t="s">
        <v>39</v>
      </c>
      <c r="K1579">
        <v>240000</v>
      </c>
    </row>
    <row r="1580" spans="1:11" x14ac:dyDescent="0.25">
      <c r="A1580" s="10">
        <v>45773</v>
      </c>
      <c r="B1580" t="s">
        <v>18</v>
      </c>
      <c r="C1580" t="s">
        <v>19</v>
      </c>
      <c r="D1580" t="s">
        <v>13</v>
      </c>
      <c r="E1580" t="s">
        <v>14</v>
      </c>
      <c r="F1580" t="s">
        <v>27</v>
      </c>
      <c r="G1580" t="s">
        <v>22</v>
      </c>
      <c r="H1580">
        <v>60000</v>
      </c>
      <c r="I1580">
        <v>2</v>
      </c>
      <c r="J1580" t="s">
        <v>39</v>
      </c>
      <c r="K1580">
        <v>48000</v>
      </c>
    </row>
    <row r="1581" spans="1:11" x14ac:dyDescent="0.25">
      <c r="A1581" s="10">
        <v>45736</v>
      </c>
      <c r="B1581" t="s">
        <v>11</v>
      </c>
      <c r="C1581" t="s">
        <v>32</v>
      </c>
      <c r="D1581" t="s">
        <v>23</v>
      </c>
      <c r="E1581" t="s">
        <v>14</v>
      </c>
      <c r="F1581" t="s">
        <v>40</v>
      </c>
      <c r="G1581" t="s">
        <v>31</v>
      </c>
      <c r="H1581">
        <v>250000</v>
      </c>
      <c r="I1581">
        <v>5</v>
      </c>
      <c r="J1581" t="s">
        <v>28</v>
      </c>
      <c r="K1581">
        <v>200000</v>
      </c>
    </row>
    <row r="1582" spans="1:11" x14ac:dyDescent="0.25">
      <c r="A1582" s="10">
        <v>45730</v>
      </c>
      <c r="B1582" t="s">
        <v>29</v>
      </c>
      <c r="C1582" t="s">
        <v>32</v>
      </c>
      <c r="D1582" t="s">
        <v>23</v>
      </c>
      <c r="E1582" t="s">
        <v>20</v>
      </c>
      <c r="F1582" t="s">
        <v>15</v>
      </c>
      <c r="G1582" t="s">
        <v>16</v>
      </c>
      <c r="H1582">
        <v>85000</v>
      </c>
      <c r="I1582">
        <v>9</v>
      </c>
      <c r="J1582" t="s">
        <v>35</v>
      </c>
      <c r="K1582">
        <v>68000</v>
      </c>
    </row>
    <row r="1583" spans="1:11" x14ac:dyDescent="0.25">
      <c r="A1583" s="10">
        <v>45754</v>
      </c>
      <c r="B1583" t="s">
        <v>29</v>
      </c>
      <c r="C1583" t="s">
        <v>26</v>
      </c>
      <c r="D1583" t="s">
        <v>13</v>
      </c>
      <c r="E1583" t="s">
        <v>14</v>
      </c>
      <c r="F1583" t="s">
        <v>38</v>
      </c>
      <c r="G1583" t="s">
        <v>31</v>
      </c>
      <c r="H1583">
        <v>420000</v>
      </c>
      <c r="I1583">
        <v>5</v>
      </c>
      <c r="J1583" t="s">
        <v>28</v>
      </c>
      <c r="K1583">
        <v>336000</v>
      </c>
    </row>
    <row r="1584" spans="1:11" x14ac:dyDescent="0.25">
      <c r="A1584" s="10">
        <v>45768</v>
      </c>
      <c r="B1584" t="s">
        <v>18</v>
      </c>
      <c r="C1584" t="s">
        <v>32</v>
      </c>
      <c r="D1584" t="s">
        <v>13</v>
      </c>
      <c r="E1584" t="s">
        <v>14</v>
      </c>
      <c r="F1584" t="s">
        <v>38</v>
      </c>
      <c r="G1584" t="s">
        <v>31</v>
      </c>
      <c r="H1584">
        <v>420000</v>
      </c>
      <c r="I1584">
        <v>7</v>
      </c>
      <c r="J1584" t="s">
        <v>28</v>
      </c>
      <c r="K1584">
        <v>336000</v>
      </c>
    </row>
    <row r="1585" spans="1:11" x14ac:dyDescent="0.25">
      <c r="A1585" s="10">
        <v>45708</v>
      </c>
      <c r="B1585" t="s">
        <v>29</v>
      </c>
      <c r="C1585" t="s">
        <v>12</v>
      </c>
      <c r="D1585" t="s">
        <v>13</v>
      </c>
      <c r="E1585" t="s">
        <v>20</v>
      </c>
      <c r="F1585" t="s">
        <v>34</v>
      </c>
      <c r="G1585" t="s">
        <v>16</v>
      </c>
      <c r="H1585">
        <v>320000</v>
      </c>
      <c r="I1585">
        <v>3</v>
      </c>
      <c r="J1585" t="s">
        <v>28</v>
      </c>
      <c r="K1585">
        <v>256000</v>
      </c>
    </row>
    <row r="1586" spans="1:11" x14ac:dyDescent="0.25">
      <c r="A1586" s="10">
        <v>45689</v>
      </c>
      <c r="B1586" t="s">
        <v>25</v>
      </c>
      <c r="C1586" t="s">
        <v>12</v>
      </c>
      <c r="D1586" t="s">
        <v>23</v>
      </c>
      <c r="E1586" t="s">
        <v>20</v>
      </c>
      <c r="F1586" t="s">
        <v>40</v>
      </c>
      <c r="G1586" t="s">
        <v>31</v>
      </c>
      <c r="H1586">
        <v>250000</v>
      </c>
      <c r="I1586">
        <v>10</v>
      </c>
      <c r="J1586" t="s">
        <v>28</v>
      </c>
      <c r="K1586">
        <v>200000</v>
      </c>
    </row>
    <row r="1587" spans="1:11" x14ac:dyDescent="0.25">
      <c r="A1587" s="10">
        <v>45772</v>
      </c>
      <c r="B1587" t="s">
        <v>18</v>
      </c>
      <c r="C1587" t="s">
        <v>26</v>
      </c>
      <c r="D1587" t="s">
        <v>13</v>
      </c>
      <c r="E1587" t="s">
        <v>14</v>
      </c>
      <c r="F1587" t="s">
        <v>36</v>
      </c>
      <c r="G1587" t="s">
        <v>31</v>
      </c>
      <c r="H1587">
        <v>150000</v>
      </c>
      <c r="I1587">
        <v>9</v>
      </c>
      <c r="J1587" t="s">
        <v>39</v>
      </c>
      <c r="K1587">
        <v>120000</v>
      </c>
    </row>
    <row r="1588" spans="1:11" x14ac:dyDescent="0.25">
      <c r="A1588" s="10">
        <v>45692</v>
      </c>
      <c r="B1588" t="s">
        <v>11</v>
      </c>
      <c r="C1588" t="s">
        <v>12</v>
      </c>
      <c r="D1588" t="s">
        <v>23</v>
      </c>
      <c r="E1588" t="s">
        <v>14</v>
      </c>
      <c r="F1588" t="s">
        <v>30</v>
      </c>
      <c r="G1588" t="s">
        <v>31</v>
      </c>
      <c r="H1588">
        <v>300000</v>
      </c>
      <c r="I1588">
        <v>10</v>
      </c>
      <c r="J1588" t="s">
        <v>17</v>
      </c>
      <c r="K1588">
        <v>240000</v>
      </c>
    </row>
    <row r="1589" spans="1:11" x14ac:dyDescent="0.25">
      <c r="A1589" s="10">
        <v>45692</v>
      </c>
      <c r="B1589" t="s">
        <v>18</v>
      </c>
      <c r="C1589" t="s">
        <v>12</v>
      </c>
      <c r="D1589" t="s">
        <v>23</v>
      </c>
      <c r="E1589" t="s">
        <v>20</v>
      </c>
      <c r="F1589" t="s">
        <v>30</v>
      </c>
      <c r="G1589" t="s">
        <v>31</v>
      </c>
      <c r="H1589">
        <v>300000</v>
      </c>
      <c r="I1589">
        <v>2</v>
      </c>
      <c r="J1589" t="s">
        <v>35</v>
      </c>
      <c r="K1589">
        <v>240000</v>
      </c>
    </row>
    <row r="1590" spans="1:11" x14ac:dyDescent="0.25">
      <c r="A1590" s="10">
        <v>45673</v>
      </c>
      <c r="B1590" t="s">
        <v>18</v>
      </c>
      <c r="C1590" t="s">
        <v>32</v>
      </c>
      <c r="D1590" t="s">
        <v>13</v>
      </c>
      <c r="E1590" t="s">
        <v>20</v>
      </c>
      <c r="F1590" t="s">
        <v>33</v>
      </c>
      <c r="G1590" t="s">
        <v>22</v>
      </c>
      <c r="H1590">
        <v>180000</v>
      </c>
      <c r="I1590">
        <v>2</v>
      </c>
      <c r="J1590" t="s">
        <v>35</v>
      </c>
      <c r="K1590">
        <v>144000</v>
      </c>
    </row>
    <row r="1591" spans="1:11" x14ac:dyDescent="0.25">
      <c r="A1591" s="10">
        <v>45737</v>
      </c>
      <c r="B1591" t="s">
        <v>11</v>
      </c>
      <c r="C1591" t="s">
        <v>32</v>
      </c>
      <c r="D1591" t="s">
        <v>23</v>
      </c>
      <c r="E1591" t="s">
        <v>20</v>
      </c>
      <c r="F1591" t="s">
        <v>34</v>
      </c>
      <c r="G1591" t="s">
        <v>16</v>
      </c>
      <c r="H1591">
        <v>320000</v>
      </c>
      <c r="I1591">
        <v>10</v>
      </c>
      <c r="J1591" t="s">
        <v>39</v>
      </c>
      <c r="K1591">
        <v>256000</v>
      </c>
    </row>
    <row r="1592" spans="1:11" x14ac:dyDescent="0.25">
      <c r="A1592" s="10">
        <v>45769</v>
      </c>
      <c r="B1592" t="s">
        <v>29</v>
      </c>
      <c r="C1592" t="s">
        <v>12</v>
      </c>
      <c r="D1592" t="s">
        <v>23</v>
      </c>
      <c r="E1592" t="s">
        <v>20</v>
      </c>
      <c r="F1592" t="s">
        <v>34</v>
      </c>
      <c r="G1592" t="s">
        <v>16</v>
      </c>
      <c r="H1592">
        <v>320000</v>
      </c>
      <c r="I1592">
        <v>1</v>
      </c>
      <c r="J1592" t="s">
        <v>37</v>
      </c>
      <c r="K1592">
        <v>256000</v>
      </c>
    </row>
    <row r="1593" spans="1:11" x14ac:dyDescent="0.25">
      <c r="A1593" s="10">
        <v>45746</v>
      </c>
      <c r="B1593" t="s">
        <v>29</v>
      </c>
      <c r="C1593" t="s">
        <v>32</v>
      </c>
      <c r="D1593" t="s">
        <v>13</v>
      </c>
      <c r="E1593" t="s">
        <v>20</v>
      </c>
      <c r="F1593" t="s">
        <v>36</v>
      </c>
      <c r="G1593" t="s">
        <v>31</v>
      </c>
      <c r="H1593">
        <v>150000</v>
      </c>
      <c r="I1593">
        <v>6</v>
      </c>
      <c r="J1593" t="s">
        <v>35</v>
      </c>
      <c r="K1593">
        <v>120000</v>
      </c>
    </row>
    <row r="1594" spans="1:11" x14ac:dyDescent="0.25">
      <c r="A1594" s="10">
        <v>45757</v>
      </c>
      <c r="B1594" t="s">
        <v>29</v>
      </c>
      <c r="C1594" t="s">
        <v>19</v>
      </c>
      <c r="D1594" t="s">
        <v>23</v>
      </c>
      <c r="E1594" t="s">
        <v>20</v>
      </c>
      <c r="F1594" t="s">
        <v>15</v>
      </c>
      <c r="G1594" t="s">
        <v>16</v>
      </c>
      <c r="H1594">
        <v>85000</v>
      </c>
      <c r="I1594">
        <v>9</v>
      </c>
      <c r="J1594" t="s">
        <v>35</v>
      </c>
      <c r="K1594">
        <v>68000</v>
      </c>
    </row>
    <row r="1595" spans="1:11" x14ac:dyDescent="0.25">
      <c r="A1595" s="10">
        <v>45706</v>
      </c>
      <c r="B1595" t="s">
        <v>11</v>
      </c>
      <c r="C1595" t="s">
        <v>12</v>
      </c>
      <c r="D1595" t="s">
        <v>13</v>
      </c>
      <c r="E1595" t="s">
        <v>14</v>
      </c>
      <c r="F1595" t="s">
        <v>38</v>
      </c>
      <c r="G1595" t="s">
        <v>31</v>
      </c>
      <c r="H1595">
        <v>420000</v>
      </c>
      <c r="I1595">
        <v>7</v>
      </c>
      <c r="J1595" t="s">
        <v>17</v>
      </c>
      <c r="K1595">
        <v>336000</v>
      </c>
    </row>
    <row r="1596" spans="1:11" x14ac:dyDescent="0.25">
      <c r="A1596" s="10">
        <v>45683</v>
      </c>
      <c r="B1596" t="s">
        <v>18</v>
      </c>
      <c r="C1596" t="s">
        <v>12</v>
      </c>
      <c r="D1596" t="s">
        <v>13</v>
      </c>
      <c r="E1596" t="s">
        <v>14</v>
      </c>
      <c r="F1596" t="s">
        <v>21</v>
      </c>
      <c r="G1596" t="s">
        <v>22</v>
      </c>
      <c r="H1596">
        <v>30000</v>
      </c>
      <c r="I1596">
        <v>3</v>
      </c>
      <c r="J1596" t="s">
        <v>35</v>
      </c>
      <c r="K1596">
        <v>24000</v>
      </c>
    </row>
    <row r="1597" spans="1:11" x14ac:dyDescent="0.25">
      <c r="A1597" s="10">
        <v>45777</v>
      </c>
      <c r="B1597" t="s">
        <v>18</v>
      </c>
      <c r="C1597" t="s">
        <v>19</v>
      </c>
      <c r="D1597" t="s">
        <v>23</v>
      </c>
      <c r="E1597" t="s">
        <v>20</v>
      </c>
      <c r="F1597" t="s">
        <v>21</v>
      </c>
      <c r="G1597" t="s">
        <v>22</v>
      </c>
      <c r="H1597">
        <v>30000</v>
      </c>
      <c r="I1597">
        <v>9</v>
      </c>
      <c r="J1597" t="s">
        <v>17</v>
      </c>
      <c r="K1597">
        <v>24000</v>
      </c>
    </row>
    <row r="1598" spans="1:11" x14ac:dyDescent="0.25">
      <c r="A1598" s="10">
        <v>45676</v>
      </c>
      <c r="B1598" t="s">
        <v>25</v>
      </c>
      <c r="C1598" t="s">
        <v>12</v>
      </c>
      <c r="D1598" t="s">
        <v>23</v>
      </c>
      <c r="E1598" t="s">
        <v>20</v>
      </c>
      <c r="F1598" t="s">
        <v>27</v>
      </c>
      <c r="G1598" t="s">
        <v>22</v>
      </c>
      <c r="H1598">
        <v>60000</v>
      </c>
      <c r="I1598">
        <v>1</v>
      </c>
      <c r="J1598" t="s">
        <v>37</v>
      </c>
      <c r="K1598">
        <v>48000</v>
      </c>
    </row>
    <row r="1599" spans="1:11" x14ac:dyDescent="0.25">
      <c r="A1599" s="10">
        <v>45690</v>
      </c>
      <c r="B1599" t="s">
        <v>29</v>
      </c>
      <c r="C1599" t="s">
        <v>12</v>
      </c>
      <c r="D1599" t="s">
        <v>23</v>
      </c>
      <c r="E1599" t="s">
        <v>14</v>
      </c>
      <c r="F1599" t="s">
        <v>40</v>
      </c>
      <c r="G1599" t="s">
        <v>31</v>
      </c>
      <c r="H1599">
        <v>250000</v>
      </c>
      <c r="I1599">
        <v>1</v>
      </c>
      <c r="J1599" t="s">
        <v>39</v>
      </c>
      <c r="K1599">
        <v>200000</v>
      </c>
    </row>
    <row r="1600" spans="1:11" x14ac:dyDescent="0.25">
      <c r="A1600" s="10">
        <v>45702</v>
      </c>
      <c r="B1600" t="s">
        <v>29</v>
      </c>
      <c r="C1600" t="s">
        <v>19</v>
      </c>
      <c r="D1600" t="s">
        <v>23</v>
      </c>
      <c r="E1600" t="s">
        <v>14</v>
      </c>
      <c r="F1600" t="s">
        <v>36</v>
      </c>
      <c r="G1600" t="s">
        <v>31</v>
      </c>
      <c r="H1600">
        <v>150000</v>
      </c>
      <c r="I1600">
        <v>9</v>
      </c>
      <c r="J1600" t="s">
        <v>17</v>
      </c>
      <c r="K1600">
        <v>120000</v>
      </c>
    </row>
    <row r="1601" spans="1:11" x14ac:dyDescent="0.25">
      <c r="A1601" s="10">
        <v>45756</v>
      </c>
      <c r="B1601" t="s">
        <v>11</v>
      </c>
      <c r="C1601" t="s">
        <v>26</v>
      </c>
      <c r="D1601" t="s">
        <v>23</v>
      </c>
      <c r="E1601" t="s">
        <v>14</v>
      </c>
      <c r="F1601" t="s">
        <v>36</v>
      </c>
      <c r="G1601" t="s">
        <v>31</v>
      </c>
      <c r="H1601">
        <v>150000</v>
      </c>
      <c r="I1601">
        <v>8</v>
      </c>
      <c r="J1601" t="s">
        <v>24</v>
      </c>
      <c r="K1601">
        <v>120000</v>
      </c>
    </row>
    <row r="1602" spans="1:11" x14ac:dyDescent="0.25">
      <c r="A1602" s="10">
        <v>45707</v>
      </c>
      <c r="B1602" t="s">
        <v>25</v>
      </c>
      <c r="C1602" t="s">
        <v>12</v>
      </c>
      <c r="D1602" t="s">
        <v>13</v>
      </c>
      <c r="E1602" t="s">
        <v>20</v>
      </c>
      <c r="F1602" t="s">
        <v>27</v>
      </c>
      <c r="G1602" t="s">
        <v>22</v>
      </c>
      <c r="H1602">
        <v>60000</v>
      </c>
      <c r="I1602">
        <v>4</v>
      </c>
      <c r="J1602" t="s">
        <v>24</v>
      </c>
      <c r="K1602">
        <v>48000</v>
      </c>
    </row>
    <row r="1603" spans="1:11" x14ac:dyDescent="0.25">
      <c r="A1603" s="10">
        <v>45719</v>
      </c>
      <c r="B1603" t="s">
        <v>11</v>
      </c>
      <c r="C1603" t="s">
        <v>32</v>
      </c>
      <c r="D1603" t="s">
        <v>13</v>
      </c>
      <c r="E1603" t="s">
        <v>20</v>
      </c>
      <c r="F1603" t="s">
        <v>21</v>
      </c>
      <c r="G1603" t="s">
        <v>22</v>
      </c>
      <c r="H1603">
        <v>30000</v>
      </c>
      <c r="I1603">
        <v>3</v>
      </c>
      <c r="J1603" t="s">
        <v>35</v>
      </c>
      <c r="K1603">
        <v>24000</v>
      </c>
    </row>
    <row r="1604" spans="1:11" x14ac:dyDescent="0.25">
      <c r="A1604" s="10">
        <v>45753</v>
      </c>
      <c r="B1604" t="s">
        <v>11</v>
      </c>
      <c r="C1604" t="s">
        <v>12</v>
      </c>
      <c r="D1604" t="s">
        <v>13</v>
      </c>
      <c r="E1604" t="s">
        <v>20</v>
      </c>
      <c r="F1604" t="s">
        <v>34</v>
      </c>
      <c r="G1604" t="s">
        <v>16</v>
      </c>
      <c r="H1604">
        <v>320000</v>
      </c>
      <c r="I1604">
        <v>4</v>
      </c>
      <c r="J1604" t="s">
        <v>35</v>
      </c>
      <c r="K1604">
        <v>256000</v>
      </c>
    </row>
    <row r="1605" spans="1:11" x14ac:dyDescent="0.25">
      <c r="A1605" s="10">
        <v>45719</v>
      </c>
      <c r="B1605" t="s">
        <v>29</v>
      </c>
      <c r="C1605" t="s">
        <v>26</v>
      </c>
      <c r="D1605" t="s">
        <v>23</v>
      </c>
      <c r="E1605" t="s">
        <v>14</v>
      </c>
      <c r="F1605" t="s">
        <v>33</v>
      </c>
      <c r="G1605" t="s">
        <v>22</v>
      </c>
      <c r="H1605">
        <v>180000</v>
      </c>
      <c r="I1605">
        <v>8</v>
      </c>
      <c r="J1605" t="s">
        <v>28</v>
      </c>
      <c r="K1605">
        <v>144000</v>
      </c>
    </row>
    <row r="1606" spans="1:11" x14ac:dyDescent="0.25">
      <c r="A1606" s="10">
        <v>45777</v>
      </c>
      <c r="B1606" t="s">
        <v>18</v>
      </c>
      <c r="C1606" t="s">
        <v>32</v>
      </c>
      <c r="D1606" t="s">
        <v>13</v>
      </c>
      <c r="E1606" t="s">
        <v>20</v>
      </c>
      <c r="F1606" t="s">
        <v>15</v>
      </c>
      <c r="G1606" t="s">
        <v>16</v>
      </c>
      <c r="H1606">
        <v>85000</v>
      </c>
      <c r="I1606">
        <v>4</v>
      </c>
      <c r="J1606" t="s">
        <v>24</v>
      </c>
      <c r="K1606">
        <v>68000</v>
      </c>
    </row>
    <row r="1607" spans="1:11" x14ac:dyDescent="0.25">
      <c r="A1607" s="10">
        <v>45710</v>
      </c>
      <c r="B1607" t="s">
        <v>29</v>
      </c>
      <c r="C1607" t="s">
        <v>19</v>
      </c>
      <c r="D1607" t="s">
        <v>23</v>
      </c>
      <c r="E1607" t="s">
        <v>20</v>
      </c>
      <c r="F1607" t="s">
        <v>41</v>
      </c>
      <c r="G1607" t="s">
        <v>22</v>
      </c>
      <c r="H1607">
        <v>220000</v>
      </c>
      <c r="I1607">
        <v>10</v>
      </c>
      <c r="J1607" t="s">
        <v>17</v>
      </c>
      <c r="K1607">
        <v>176000</v>
      </c>
    </row>
    <row r="1608" spans="1:11" x14ac:dyDescent="0.25">
      <c r="A1608" s="10">
        <v>45683</v>
      </c>
      <c r="B1608" t="s">
        <v>25</v>
      </c>
      <c r="C1608" t="s">
        <v>12</v>
      </c>
      <c r="D1608" t="s">
        <v>23</v>
      </c>
      <c r="E1608" t="s">
        <v>20</v>
      </c>
      <c r="F1608" t="s">
        <v>15</v>
      </c>
      <c r="G1608" t="s">
        <v>16</v>
      </c>
      <c r="H1608">
        <v>85000</v>
      </c>
      <c r="I1608">
        <v>5</v>
      </c>
      <c r="J1608" t="s">
        <v>35</v>
      </c>
      <c r="K1608">
        <v>68000</v>
      </c>
    </row>
    <row r="1609" spans="1:11" x14ac:dyDescent="0.25">
      <c r="A1609" s="10">
        <v>45674</v>
      </c>
      <c r="B1609" t="s">
        <v>11</v>
      </c>
      <c r="C1609" t="s">
        <v>19</v>
      </c>
      <c r="D1609" t="s">
        <v>13</v>
      </c>
      <c r="E1609" t="s">
        <v>20</v>
      </c>
      <c r="F1609" t="s">
        <v>30</v>
      </c>
      <c r="G1609" t="s">
        <v>31</v>
      </c>
      <c r="H1609">
        <v>300000</v>
      </c>
      <c r="I1609">
        <v>2</v>
      </c>
      <c r="J1609" t="s">
        <v>37</v>
      </c>
      <c r="K1609">
        <v>240000</v>
      </c>
    </row>
    <row r="1610" spans="1:11" x14ac:dyDescent="0.25">
      <c r="A1610" s="10">
        <v>45722</v>
      </c>
      <c r="B1610" t="s">
        <v>18</v>
      </c>
      <c r="C1610" t="s">
        <v>32</v>
      </c>
      <c r="D1610" t="s">
        <v>23</v>
      </c>
      <c r="E1610" t="s">
        <v>14</v>
      </c>
      <c r="F1610" t="s">
        <v>33</v>
      </c>
      <c r="G1610" t="s">
        <v>22</v>
      </c>
      <c r="H1610">
        <v>180000</v>
      </c>
      <c r="I1610">
        <v>1</v>
      </c>
      <c r="J1610" t="s">
        <v>35</v>
      </c>
      <c r="K1610">
        <v>144000</v>
      </c>
    </row>
    <row r="1611" spans="1:11" x14ac:dyDescent="0.25">
      <c r="A1611" s="10">
        <v>45681</v>
      </c>
      <c r="B1611" t="s">
        <v>25</v>
      </c>
      <c r="C1611" t="s">
        <v>32</v>
      </c>
      <c r="D1611" t="s">
        <v>13</v>
      </c>
      <c r="E1611" t="s">
        <v>14</v>
      </c>
      <c r="F1611" t="s">
        <v>36</v>
      </c>
      <c r="G1611" t="s">
        <v>31</v>
      </c>
      <c r="H1611">
        <v>150000</v>
      </c>
      <c r="I1611">
        <v>3</v>
      </c>
      <c r="J1611" t="s">
        <v>35</v>
      </c>
      <c r="K1611">
        <v>120000</v>
      </c>
    </row>
    <row r="1612" spans="1:11" x14ac:dyDescent="0.25">
      <c r="A1612" s="10">
        <v>45770</v>
      </c>
      <c r="B1612" t="s">
        <v>25</v>
      </c>
      <c r="C1612" t="s">
        <v>26</v>
      </c>
      <c r="D1612" t="s">
        <v>23</v>
      </c>
      <c r="E1612" t="s">
        <v>20</v>
      </c>
      <c r="F1612" t="s">
        <v>33</v>
      </c>
      <c r="G1612" t="s">
        <v>22</v>
      </c>
      <c r="H1612">
        <v>180000</v>
      </c>
      <c r="I1612">
        <v>3</v>
      </c>
      <c r="J1612" t="s">
        <v>28</v>
      </c>
      <c r="K1612">
        <v>144000</v>
      </c>
    </row>
    <row r="1613" spans="1:11" x14ac:dyDescent="0.25">
      <c r="A1613" s="10">
        <v>45697</v>
      </c>
      <c r="B1613" t="s">
        <v>29</v>
      </c>
      <c r="C1613" t="s">
        <v>26</v>
      </c>
      <c r="D1613" t="s">
        <v>13</v>
      </c>
      <c r="E1613" t="s">
        <v>14</v>
      </c>
      <c r="F1613" t="s">
        <v>36</v>
      </c>
      <c r="G1613" t="s">
        <v>31</v>
      </c>
      <c r="H1613">
        <v>150000</v>
      </c>
      <c r="I1613">
        <v>5</v>
      </c>
      <c r="J1613" t="s">
        <v>24</v>
      </c>
      <c r="K1613">
        <v>120000</v>
      </c>
    </row>
    <row r="1614" spans="1:11" x14ac:dyDescent="0.25">
      <c r="A1614" s="10">
        <v>45709</v>
      </c>
      <c r="B1614" t="s">
        <v>18</v>
      </c>
      <c r="C1614" t="s">
        <v>32</v>
      </c>
      <c r="D1614" t="s">
        <v>23</v>
      </c>
      <c r="E1614" t="s">
        <v>14</v>
      </c>
      <c r="F1614" t="s">
        <v>27</v>
      </c>
      <c r="G1614" t="s">
        <v>22</v>
      </c>
      <c r="H1614">
        <v>60000</v>
      </c>
      <c r="I1614">
        <v>8</v>
      </c>
      <c r="J1614" t="s">
        <v>24</v>
      </c>
      <c r="K1614">
        <v>48000</v>
      </c>
    </row>
    <row r="1615" spans="1:11" x14ac:dyDescent="0.25">
      <c r="A1615" s="10">
        <v>45728</v>
      </c>
      <c r="B1615" t="s">
        <v>18</v>
      </c>
      <c r="C1615" t="s">
        <v>12</v>
      </c>
      <c r="D1615" t="s">
        <v>13</v>
      </c>
      <c r="E1615" t="s">
        <v>20</v>
      </c>
      <c r="F1615" t="s">
        <v>40</v>
      </c>
      <c r="G1615" t="s">
        <v>31</v>
      </c>
      <c r="H1615">
        <v>250000</v>
      </c>
      <c r="I1615">
        <v>5</v>
      </c>
      <c r="J1615" t="s">
        <v>24</v>
      </c>
      <c r="K1615">
        <v>200000</v>
      </c>
    </row>
    <row r="1616" spans="1:11" x14ac:dyDescent="0.25">
      <c r="A1616" s="10">
        <v>45772</v>
      </c>
      <c r="B1616" t="s">
        <v>18</v>
      </c>
      <c r="C1616" t="s">
        <v>26</v>
      </c>
      <c r="D1616" t="s">
        <v>13</v>
      </c>
      <c r="E1616" t="s">
        <v>14</v>
      </c>
      <c r="F1616" t="s">
        <v>33</v>
      </c>
      <c r="G1616" t="s">
        <v>22</v>
      </c>
      <c r="H1616">
        <v>180000</v>
      </c>
      <c r="I1616">
        <v>3</v>
      </c>
      <c r="J1616" t="s">
        <v>17</v>
      </c>
      <c r="K1616">
        <v>144000</v>
      </c>
    </row>
    <row r="1617" spans="1:11" x14ac:dyDescent="0.25">
      <c r="A1617" s="10">
        <v>45731</v>
      </c>
      <c r="B1617" t="s">
        <v>29</v>
      </c>
      <c r="C1617" t="s">
        <v>12</v>
      </c>
      <c r="D1617" t="s">
        <v>23</v>
      </c>
      <c r="E1617" t="s">
        <v>14</v>
      </c>
      <c r="F1617" t="s">
        <v>34</v>
      </c>
      <c r="G1617" t="s">
        <v>16</v>
      </c>
      <c r="H1617">
        <v>320000</v>
      </c>
      <c r="I1617">
        <v>9</v>
      </c>
      <c r="J1617" t="s">
        <v>17</v>
      </c>
      <c r="K1617">
        <v>256000</v>
      </c>
    </row>
    <row r="1618" spans="1:11" x14ac:dyDescent="0.25">
      <c r="A1618" s="10">
        <v>45707</v>
      </c>
      <c r="B1618" t="s">
        <v>11</v>
      </c>
      <c r="C1618" t="s">
        <v>12</v>
      </c>
      <c r="D1618" t="s">
        <v>23</v>
      </c>
      <c r="E1618" t="s">
        <v>20</v>
      </c>
      <c r="F1618" t="s">
        <v>15</v>
      </c>
      <c r="G1618" t="s">
        <v>16</v>
      </c>
      <c r="H1618">
        <v>85000</v>
      </c>
      <c r="I1618">
        <v>5</v>
      </c>
      <c r="J1618" t="s">
        <v>28</v>
      </c>
      <c r="K1618">
        <v>68000</v>
      </c>
    </row>
    <row r="1619" spans="1:11" x14ac:dyDescent="0.25">
      <c r="A1619" s="10">
        <v>45661</v>
      </c>
      <c r="B1619" t="s">
        <v>25</v>
      </c>
      <c r="C1619" t="s">
        <v>19</v>
      </c>
      <c r="D1619" t="s">
        <v>13</v>
      </c>
      <c r="E1619" t="s">
        <v>14</v>
      </c>
      <c r="F1619" t="s">
        <v>41</v>
      </c>
      <c r="G1619" t="s">
        <v>22</v>
      </c>
      <c r="H1619">
        <v>220000</v>
      </c>
      <c r="I1619">
        <v>1</v>
      </c>
      <c r="J1619" t="s">
        <v>37</v>
      </c>
      <c r="K1619">
        <v>176000</v>
      </c>
    </row>
    <row r="1620" spans="1:11" x14ac:dyDescent="0.25">
      <c r="A1620" s="10">
        <v>45713</v>
      </c>
      <c r="B1620" t="s">
        <v>18</v>
      </c>
      <c r="C1620" t="s">
        <v>19</v>
      </c>
      <c r="D1620" t="s">
        <v>13</v>
      </c>
      <c r="E1620" t="s">
        <v>20</v>
      </c>
      <c r="F1620" t="s">
        <v>33</v>
      </c>
      <c r="G1620" t="s">
        <v>22</v>
      </c>
      <c r="H1620">
        <v>180000</v>
      </c>
      <c r="I1620">
        <v>2</v>
      </c>
      <c r="J1620" t="s">
        <v>28</v>
      </c>
      <c r="K1620">
        <v>144000</v>
      </c>
    </row>
    <row r="1621" spans="1:11" x14ac:dyDescent="0.25">
      <c r="A1621" s="10">
        <v>45729</v>
      </c>
      <c r="B1621" t="s">
        <v>18</v>
      </c>
      <c r="C1621" t="s">
        <v>19</v>
      </c>
      <c r="D1621" t="s">
        <v>23</v>
      </c>
      <c r="E1621" t="s">
        <v>20</v>
      </c>
      <c r="F1621" t="s">
        <v>36</v>
      </c>
      <c r="G1621" t="s">
        <v>31</v>
      </c>
      <c r="H1621">
        <v>150000</v>
      </c>
      <c r="I1621">
        <v>1</v>
      </c>
      <c r="J1621" t="s">
        <v>35</v>
      </c>
      <c r="K1621">
        <v>120000</v>
      </c>
    </row>
    <row r="1622" spans="1:11" x14ac:dyDescent="0.25">
      <c r="A1622" s="10">
        <v>45744</v>
      </c>
      <c r="B1622" t="s">
        <v>11</v>
      </c>
      <c r="C1622" t="s">
        <v>26</v>
      </c>
      <c r="D1622" t="s">
        <v>13</v>
      </c>
      <c r="E1622" t="s">
        <v>20</v>
      </c>
      <c r="F1622" t="s">
        <v>33</v>
      </c>
      <c r="G1622" t="s">
        <v>22</v>
      </c>
      <c r="H1622">
        <v>180000</v>
      </c>
      <c r="I1622">
        <v>2</v>
      </c>
      <c r="J1622" t="s">
        <v>24</v>
      </c>
      <c r="K1622">
        <v>144000</v>
      </c>
    </row>
    <row r="1623" spans="1:11" x14ac:dyDescent="0.25">
      <c r="A1623" s="10">
        <v>45778</v>
      </c>
      <c r="B1623" t="s">
        <v>29</v>
      </c>
      <c r="C1623" t="s">
        <v>32</v>
      </c>
      <c r="D1623" t="s">
        <v>23</v>
      </c>
      <c r="E1623" t="s">
        <v>14</v>
      </c>
      <c r="F1623" t="s">
        <v>34</v>
      </c>
      <c r="G1623" t="s">
        <v>16</v>
      </c>
      <c r="H1623">
        <v>320000</v>
      </c>
      <c r="I1623">
        <v>4</v>
      </c>
      <c r="J1623" t="s">
        <v>39</v>
      </c>
      <c r="K1623">
        <v>256000</v>
      </c>
    </row>
    <row r="1624" spans="1:11" x14ac:dyDescent="0.25">
      <c r="A1624" s="10">
        <v>45673</v>
      </c>
      <c r="B1624" t="s">
        <v>29</v>
      </c>
      <c r="C1624" t="s">
        <v>32</v>
      </c>
      <c r="D1624" t="s">
        <v>13</v>
      </c>
      <c r="E1624" t="s">
        <v>20</v>
      </c>
      <c r="F1624" t="s">
        <v>36</v>
      </c>
      <c r="G1624" t="s">
        <v>31</v>
      </c>
      <c r="H1624">
        <v>150000</v>
      </c>
      <c r="I1624">
        <v>10</v>
      </c>
      <c r="J1624" t="s">
        <v>17</v>
      </c>
      <c r="K1624">
        <v>120000</v>
      </c>
    </row>
    <row r="1625" spans="1:11" x14ac:dyDescent="0.25">
      <c r="A1625" s="10">
        <v>45703</v>
      </c>
      <c r="B1625" t="s">
        <v>25</v>
      </c>
      <c r="C1625" t="s">
        <v>26</v>
      </c>
      <c r="D1625" t="s">
        <v>23</v>
      </c>
      <c r="E1625" t="s">
        <v>20</v>
      </c>
      <c r="F1625" t="s">
        <v>21</v>
      </c>
      <c r="G1625" t="s">
        <v>22</v>
      </c>
      <c r="H1625">
        <v>30000</v>
      </c>
      <c r="I1625">
        <v>3</v>
      </c>
      <c r="J1625" t="s">
        <v>35</v>
      </c>
      <c r="K1625">
        <v>24000</v>
      </c>
    </row>
    <row r="1626" spans="1:11" x14ac:dyDescent="0.25">
      <c r="A1626" s="10">
        <v>45740</v>
      </c>
      <c r="B1626" t="s">
        <v>25</v>
      </c>
      <c r="C1626" t="s">
        <v>26</v>
      </c>
      <c r="D1626" t="s">
        <v>13</v>
      </c>
      <c r="E1626" t="s">
        <v>20</v>
      </c>
      <c r="F1626" t="s">
        <v>15</v>
      </c>
      <c r="G1626" t="s">
        <v>16</v>
      </c>
      <c r="H1626">
        <v>85000</v>
      </c>
      <c r="I1626">
        <v>4</v>
      </c>
      <c r="J1626" t="s">
        <v>35</v>
      </c>
      <c r="K1626">
        <v>68000</v>
      </c>
    </row>
    <row r="1627" spans="1:11" x14ac:dyDescent="0.25">
      <c r="A1627" s="10">
        <v>45773</v>
      </c>
      <c r="B1627" t="s">
        <v>11</v>
      </c>
      <c r="C1627" t="s">
        <v>32</v>
      </c>
      <c r="D1627" t="s">
        <v>13</v>
      </c>
      <c r="E1627" t="s">
        <v>20</v>
      </c>
      <c r="F1627" t="s">
        <v>33</v>
      </c>
      <c r="G1627" t="s">
        <v>22</v>
      </c>
      <c r="H1627">
        <v>180000</v>
      </c>
      <c r="I1627">
        <v>10</v>
      </c>
      <c r="J1627" t="s">
        <v>35</v>
      </c>
      <c r="K1627">
        <v>144000</v>
      </c>
    </row>
    <row r="1628" spans="1:11" x14ac:dyDescent="0.25">
      <c r="A1628" s="10">
        <v>45741</v>
      </c>
      <c r="B1628" t="s">
        <v>11</v>
      </c>
      <c r="C1628" t="s">
        <v>19</v>
      </c>
      <c r="D1628" t="s">
        <v>23</v>
      </c>
      <c r="E1628" t="s">
        <v>20</v>
      </c>
      <c r="F1628" t="s">
        <v>34</v>
      </c>
      <c r="G1628" t="s">
        <v>16</v>
      </c>
      <c r="H1628">
        <v>320000</v>
      </c>
      <c r="I1628">
        <v>9</v>
      </c>
      <c r="J1628" t="s">
        <v>37</v>
      </c>
      <c r="K1628">
        <v>256000</v>
      </c>
    </row>
    <row r="1629" spans="1:11" x14ac:dyDescent="0.25">
      <c r="A1629" s="10">
        <v>45762</v>
      </c>
      <c r="B1629" t="s">
        <v>25</v>
      </c>
      <c r="C1629" t="s">
        <v>19</v>
      </c>
      <c r="D1629" t="s">
        <v>23</v>
      </c>
      <c r="E1629" t="s">
        <v>14</v>
      </c>
      <c r="F1629" t="s">
        <v>36</v>
      </c>
      <c r="G1629" t="s">
        <v>31</v>
      </c>
      <c r="H1629">
        <v>150000</v>
      </c>
      <c r="I1629">
        <v>3</v>
      </c>
      <c r="J1629" t="s">
        <v>39</v>
      </c>
      <c r="K1629">
        <v>120000</v>
      </c>
    </row>
    <row r="1630" spans="1:11" x14ac:dyDescent="0.25">
      <c r="A1630" s="10">
        <v>45769</v>
      </c>
      <c r="B1630" t="s">
        <v>29</v>
      </c>
      <c r="C1630" t="s">
        <v>19</v>
      </c>
      <c r="D1630" t="s">
        <v>13</v>
      </c>
      <c r="E1630" t="s">
        <v>14</v>
      </c>
      <c r="F1630" t="s">
        <v>41</v>
      </c>
      <c r="G1630" t="s">
        <v>22</v>
      </c>
      <c r="H1630">
        <v>220000</v>
      </c>
      <c r="I1630">
        <v>5</v>
      </c>
      <c r="J1630" t="s">
        <v>39</v>
      </c>
      <c r="K1630">
        <v>176000</v>
      </c>
    </row>
    <row r="1631" spans="1:11" x14ac:dyDescent="0.25">
      <c r="A1631" s="10">
        <v>45682</v>
      </c>
      <c r="B1631" t="s">
        <v>29</v>
      </c>
      <c r="C1631" t="s">
        <v>32</v>
      </c>
      <c r="D1631" t="s">
        <v>23</v>
      </c>
      <c r="E1631" t="s">
        <v>20</v>
      </c>
      <c r="F1631" t="s">
        <v>30</v>
      </c>
      <c r="G1631" t="s">
        <v>31</v>
      </c>
      <c r="H1631">
        <v>300000</v>
      </c>
      <c r="I1631">
        <v>2</v>
      </c>
      <c r="J1631" t="s">
        <v>17</v>
      </c>
      <c r="K1631">
        <v>240000</v>
      </c>
    </row>
    <row r="1632" spans="1:11" x14ac:dyDescent="0.25">
      <c r="A1632" s="10">
        <v>45672</v>
      </c>
      <c r="B1632" t="s">
        <v>18</v>
      </c>
      <c r="C1632" t="s">
        <v>12</v>
      </c>
      <c r="D1632" t="s">
        <v>23</v>
      </c>
      <c r="E1632" t="s">
        <v>14</v>
      </c>
      <c r="F1632" t="s">
        <v>30</v>
      </c>
      <c r="G1632" t="s">
        <v>31</v>
      </c>
      <c r="H1632">
        <v>300000</v>
      </c>
      <c r="I1632">
        <v>6</v>
      </c>
      <c r="J1632" t="s">
        <v>39</v>
      </c>
      <c r="K1632">
        <v>240000</v>
      </c>
    </row>
    <row r="1633" spans="1:11" x14ac:dyDescent="0.25">
      <c r="A1633" s="10">
        <v>45729</v>
      </c>
      <c r="B1633" t="s">
        <v>29</v>
      </c>
      <c r="C1633" t="s">
        <v>32</v>
      </c>
      <c r="D1633" t="s">
        <v>23</v>
      </c>
      <c r="E1633" t="s">
        <v>14</v>
      </c>
      <c r="F1633" t="s">
        <v>33</v>
      </c>
      <c r="G1633" t="s">
        <v>22</v>
      </c>
      <c r="H1633">
        <v>180000</v>
      </c>
      <c r="I1633">
        <v>7</v>
      </c>
      <c r="J1633" t="s">
        <v>39</v>
      </c>
      <c r="K1633">
        <v>144000</v>
      </c>
    </row>
    <row r="1634" spans="1:11" x14ac:dyDescent="0.25">
      <c r="A1634" s="10">
        <v>45722</v>
      </c>
      <c r="B1634" t="s">
        <v>11</v>
      </c>
      <c r="C1634" t="s">
        <v>26</v>
      </c>
      <c r="D1634" t="s">
        <v>23</v>
      </c>
      <c r="E1634" t="s">
        <v>20</v>
      </c>
      <c r="F1634" t="s">
        <v>34</v>
      </c>
      <c r="G1634" t="s">
        <v>16</v>
      </c>
      <c r="H1634">
        <v>320000</v>
      </c>
      <c r="I1634">
        <v>6</v>
      </c>
      <c r="J1634" t="s">
        <v>17</v>
      </c>
      <c r="K1634">
        <v>256000</v>
      </c>
    </row>
    <row r="1635" spans="1:11" x14ac:dyDescent="0.25">
      <c r="A1635" s="10">
        <v>45729</v>
      </c>
      <c r="B1635" t="s">
        <v>29</v>
      </c>
      <c r="C1635" t="s">
        <v>19</v>
      </c>
      <c r="D1635" t="s">
        <v>13</v>
      </c>
      <c r="E1635" t="s">
        <v>20</v>
      </c>
      <c r="F1635" t="s">
        <v>40</v>
      </c>
      <c r="G1635" t="s">
        <v>31</v>
      </c>
      <c r="H1635">
        <v>250000</v>
      </c>
      <c r="I1635">
        <v>5</v>
      </c>
      <c r="J1635" t="s">
        <v>35</v>
      </c>
      <c r="K1635">
        <v>200000</v>
      </c>
    </row>
    <row r="1636" spans="1:11" x14ac:dyDescent="0.25">
      <c r="A1636" s="10">
        <v>45684</v>
      </c>
      <c r="B1636" t="s">
        <v>11</v>
      </c>
      <c r="C1636" t="s">
        <v>19</v>
      </c>
      <c r="D1636" t="s">
        <v>13</v>
      </c>
      <c r="E1636" t="s">
        <v>14</v>
      </c>
      <c r="F1636" t="s">
        <v>30</v>
      </c>
      <c r="G1636" t="s">
        <v>31</v>
      </c>
      <c r="H1636">
        <v>300000</v>
      </c>
      <c r="I1636">
        <v>3</v>
      </c>
      <c r="J1636" t="s">
        <v>39</v>
      </c>
      <c r="K1636">
        <v>240000</v>
      </c>
    </row>
    <row r="1637" spans="1:11" x14ac:dyDescent="0.25">
      <c r="A1637" s="10">
        <v>45676</v>
      </c>
      <c r="B1637" t="s">
        <v>11</v>
      </c>
      <c r="C1637" t="s">
        <v>32</v>
      </c>
      <c r="D1637" t="s">
        <v>13</v>
      </c>
      <c r="E1637" t="s">
        <v>20</v>
      </c>
      <c r="F1637" t="s">
        <v>33</v>
      </c>
      <c r="G1637" t="s">
        <v>22</v>
      </c>
      <c r="H1637">
        <v>180000</v>
      </c>
      <c r="I1637">
        <v>8</v>
      </c>
      <c r="J1637" t="s">
        <v>39</v>
      </c>
      <c r="K1637">
        <v>144000</v>
      </c>
    </row>
    <row r="1638" spans="1:11" x14ac:dyDescent="0.25">
      <c r="A1638" s="10">
        <v>45718</v>
      </c>
      <c r="B1638" t="s">
        <v>18</v>
      </c>
      <c r="C1638" t="s">
        <v>32</v>
      </c>
      <c r="D1638" t="s">
        <v>13</v>
      </c>
      <c r="E1638" t="s">
        <v>20</v>
      </c>
      <c r="F1638" t="s">
        <v>34</v>
      </c>
      <c r="G1638" t="s">
        <v>16</v>
      </c>
      <c r="H1638">
        <v>320000</v>
      </c>
      <c r="I1638">
        <v>5</v>
      </c>
      <c r="J1638" t="s">
        <v>24</v>
      </c>
      <c r="K1638">
        <v>256000</v>
      </c>
    </row>
    <row r="1639" spans="1:11" x14ac:dyDescent="0.25">
      <c r="A1639" s="10">
        <v>45724</v>
      </c>
      <c r="B1639" t="s">
        <v>11</v>
      </c>
      <c r="C1639" t="s">
        <v>32</v>
      </c>
      <c r="D1639" t="s">
        <v>13</v>
      </c>
      <c r="E1639" t="s">
        <v>14</v>
      </c>
      <c r="F1639" t="s">
        <v>40</v>
      </c>
      <c r="G1639" t="s">
        <v>31</v>
      </c>
      <c r="H1639">
        <v>250000</v>
      </c>
      <c r="I1639">
        <v>7</v>
      </c>
      <c r="J1639" t="s">
        <v>24</v>
      </c>
      <c r="K1639">
        <v>200000</v>
      </c>
    </row>
    <row r="1640" spans="1:11" x14ac:dyDescent="0.25">
      <c r="A1640" s="10">
        <v>45739</v>
      </c>
      <c r="B1640" t="s">
        <v>11</v>
      </c>
      <c r="C1640" t="s">
        <v>19</v>
      </c>
      <c r="D1640" t="s">
        <v>13</v>
      </c>
      <c r="E1640" t="s">
        <v>20</v>
      </c>
      <c r="F1640" t="s">
        <v>30</v>
      </c>
      <c r="G1640" t="s">
        <v>31</v>
      </c>
      <c r="H1640">
        <v>300000</v>
      </c>
      <c r="I1640">
        <v>8</v>
      </c>
      <c r="J1640" t="s">
        <v>17</v>
      </c>
      <c r="K1640">
        <v>240000</v>
      </c>
    </row>
    <row r="1641" spans="1:11" x14ac:dyDescent="0.25">
      <c r="A1641" s="10">
        <v>45674</v>
      </c>
      <c r="B1641" t="s">
        <v>11</v>
      </c>
      <c r="C1641" t="s">
        <v>19</v>
      </c>
      <c r="D1641" t="s">
        <v>23</v>
      </c>
      <c r="E1641" t="s">
        <v>14</v>
      </c>
      <c r="F1641" t="s">
        <v>38</v>
      </c>
      <c r="G1641" t="s">
        <v>31</v>
      </c>
      <c r="H1641">
        <v>420000</v>
      </c>
      <c r="I1641">
        <v>4</v>
      </c>
      <c r="J1641" t="s">
        <v>39</v>
      </c>
      <c r="K1641">
        <v>336000</v>
      </c>
    </row>
    <row r="1642" spans="1:11" x14ac:dyDescent="0.25">
      <c r="A1642" s="10">
        <v>45713</v>
      </c>
      <c r="B1642" t="s">
        <v>11</v>
      </c>
      <c r="C1642" t="s">
        <v>12</v>
      </c>
      <c r="D1642" t="s">
        <v>23</v>
      </c>
      <c r="E1642" t="s">
        <v>20</v>
      </c>
      <c r="F1642" t="s">
        <v>40</v>
      </c>
      <c r="G1642" t="s">
        <v>31</v>
      </c>
      <c r="H1642">
        <v>250000</v>
      </c>
      <c r="I1642">
        <v>6</v>
      </c>
      <c r="J1642" t="s">
        <v>28</v>
      </c>
      <c r="K1642">
        <v>200000</v>
      </c>
    </row>
    <row r="1643" spans="1:11" x14ac:dyDescent="0.25">
      <c r="A1643" s="10">
        <v>45696</v>
      </c>
      <c r="B1643" t="s">
        <v>18</v>
      </c>
      <c r="C1643" t="s">
        <v>32</v>
      </c>
      <c r="D1643" t="s">
        <v>13</v>
      </c>
      <c r="E1643" t="s">
        <v>14</v>
      </c>
      <c r="F1643" t="s">
        <v>36</v>
      </c>
      <c r="G1643" t="s">
        <v>31</v>
      </c>
      <c r="H1643">
        <v>150000</v>
      </c>
      <c r="I1643">
        <v>3</v>
      </c>
      <c r="J1643" t="s">
        <v>28</v>
      </c>
      <c r="K1643">
        <v>120000</v>
      </c>
    </row>
    <row r="1644" spans="1:11" x14ac:dyDescent="0.25">
      <c r="A1644" s="10">
        <v>45713</v>
      </c>
      <c r="B1644" t="s">
        <v>29</v>
      </c>
      <c r="C1644" t="s">
        <v>12</v>
      </c>
      <c r="D1644" t="s">
        <v>23</v>
      </c>
      <c r="E1644" t="s">
        <v>20</v>
      </c>
      <c r="F1644" t="s">
        <v>30</v>
      </c>
      <c r="G1644" t="s">
        <v>31</v>
      </c>
      <c r="H1644">
        <v>300000</v>
      </c>
      <c r="I1644">
        <v>6</v>
      </c>
      <c r="J1644" t="s">
        <v>37</v>
      </c>
      <c r="K1644">
        <v>240000</v>
      </c>
    </row>
    <row r="1645" spans="1:11" x14ac:dyDescent="0.25">
      <c r="A1645" s="10">
        <v>45681</v>
      </c>
      <c r="B1645" t="s">
        <v>25</v>
      </c>
      <c r="C1645" t="s">
        <v>12</v>
      </c>
      <c r="D1645" t="s">
        <v>13</v>
      </c>
      <c r="E1645" t="s">
        <v>20</v>
      </c>
      <c r="F1645" t="s">
        <v>33</v>
      </c>
      <c r="G1645" t="s">
        <v>22</v>
      </c>
      <c r="H1645">
        <v>180000</v>
      </c>
      <c r="I1645">
        <v>2</v>
      </c>
      <c r="J1645" t="s">
        <v>28</v>
      </c>
      <c r="K1645">
        <v>144000</v>
      </c>
    </row>
    <row r="1646" spans="1:11" x14ac:dyDescent="0.25">
      <c r="A1646" s="10">
        <v>45709</v>
      </c>
      <c r="B1646" t="s">
        <v>18</v>
      </c>
      <c r="C1646" t="s">
        <v>19</v>
      </c>
      <c r="D1646" t="s">
        <v>23</v>
      </c>
      <c r="E1646" t="s">
        <v>20</v>
      </c>
      <c r="F1646" t="s">
        <v>36</v>
      </c>
      <c r="G1646" t="s">
        <v>31</v>
      </c>
      <c r="H1646">
        <v>150000</v>
      </c>
      <c r="I1646">
        <v>6</v>
      </c>
      <c r="J1646" t="s">
        <v>24</v>
      </c>
      <c r="K1646">
        <v>120000</v>
      </c>
    </row>
    <row r="1647" spans="1:11" x14ac:dyDescent="0.25">
      <c r="A1647" s="10">
        <v>45747</v>
      </c>
      <c r="B1647" t="s">
        <v>25</v>
      </c>
      <c r="C1647" t="s">
        <v>26</v>
      </c>
      <c r="D1647" t="s">
        <v>13</v>
      </c>
      <c r="E1647" t="s">
        <v>20</v>
      </c>
      <c r="F1647" t="s">
        <v>27</v>
      </c>
      <c r="G1647" t="s">
        <v>22</v>
      </c>
      <c r="H1647">
        <v>60000</v>
      </c>
      <c r="I1647">
        <v>8</v>
      </c>
      <c r="J1647" t="s">
        <v>37</v>
      </c>
      <c r="K1647">
        <v>48000</v>
      </c>
    </row>
    <row r="1648" spans="1:11" x14ac:dyDescent="0.25">
      <c r="A1648" s="10">
        <v>45735</v>
      </c>
      <c r="B1648" t="s">
        <v>11</v>
      </c>
      <c r="C1648" t="s">
        <v>19</v>
      </c>
      <c r="D1648" t="s">
        <v>13</v>
      </c>
      <c r="E1648" t="s">
        <v>20</v>
      </c>
      <c r="F1648" t="s">
        <v>41</v>
      </c>
      <c r="G1648" t="s">
        <v>22</v>
      </c>
      <c r="H1648">
        <v>220000</v>
      </c>
      <c r="I1648">
        <v>9</v>
      </c>
      <c r="J1648" t="s">
        <v>28</v>
      </c>
      <c r="K1648">
        <v>176000</v>
      </c>
    </row>
    <row r="1649" spans="1:11" x14ac:dyDescent="0.25">
      <c r="A1649" s="10">
        <v>45730</v>
      </c>
      <c r="B1649" t="s">
        <v>29</v>
      </c>
      <c r="C1649" t="s">
        <v>32</v>
      </c>
      <c r="D1649" t="s">
        <v>23</v>
      </c>
      <c r="E1649" t="s">
        <v>14</v>
      </c>
      <c r="F1649" t="s">
        <v>30</v>
      </c>
      <c r="G1649" t="s">
        <v>31</v>
      </c>
      <c r="H1649">
        <v>300000</v>
      </c>
      <c r="I1649">
        <v>9</v>
      </c>
      <c r="J1649" t="s">
        <v>35</v>
      </c>
      <c r="K1649">
        <v>240000</v>
      </c>
    </row>
    <row r="1650" spans="1:11" x14ac:dyDescent="0.25">
      <c r="A1650" s="10">
        <v>45668</v>
      </c>
      <c r="B1650" t="s">
        <v>11</v>
      </c>
      <c r="C1650" t="s">
        <v>32</v>
      </c>
      <c r="D1650" t="s">
        <v>13</v>
      </c>
      <c r="E1650" t="s">
        <v>14</v>
      </c>
      <c r="F1650" t="s">
        <v>38</v>
      </c>
      <c r="G1650" t="s">
        <v>31</v>
      </c>
      <c r="H1650">
        <v>420000</v>
      </c>
      <c r="I1650">
        <v>1</v>
      </c>
      <c r="J1650" t="s">
        <v>37</v>
      </c>
      <c r="K1650">
        <v>336000</v>
      </c>
    </row>
    <row r="1651" spans="1:11" x14ac:dyDescent="0.25">
      <c r="A1651" s="10">
        <v>45744</v>
      </c>
      <c r="B1651" t="s">
        <v>25</v>
      </c>
      <c r="C1651" t="s">
        <v>32</v>
      </c>
      <c r="D1651" t="s">
        <v>13</v>
      </c>
      <c r="E1651" t="s">
        <v>20</v>
      </c>
      <c r="F1651" t="s">
        <v>41</v>
      </c>
      <c r="G1651" t="s">
        <v>22</v>
      </c>
      <c r="H1651">
        <v>220000</v>
      </c>
      <c r="I1651">
        <v>6</v>
      </c>
      <c r="J1651" t="s">
        <v>35</v>
      </c>
      <c r="K1651">
        <v>176000</v>
      </c>
    </row>
    <row r="1652" spans="1:11" x14ac:dyDescent="0.25">
      <c r="A1652" s="10">
        <v>45729</v>
      </c>
      <c r="B1652" t="s">
        <v>11</v>
      </c>
      <c r="C1652" t="s">
        <v>19</v>
      </c>
      <c r="D1652" t="s">
        <v>13</v>
      </c>
      <c r="E1652" t="s">
        <v>20</v>
      </c>
      <c r="F1652" t="s">
        <v>21</v>
      </c>
      <c r="G1652" t="s">
        <v>22</v>
      </c>
      <c r="H1652">
        <v>30000</v>
      </c>
      <c r="I1652">
        <v>5</v>
      </c>
      <c r="J1652" t="s">
        <v>28</v>
      </c>
      <c r="K1652">
        <v>24000</v>
      </c>
    </row>
    <row r="1653" spans="1:11" x14ac:dyDescent="0.25">
      <c r="A1653" s="10">
        <v>45745</v>
      </c>
      <c r="B1653" t="s">
        <v>29</v>
      </c>
      <c r="C1653" t="s">
        <v>26</v>
      </c>
      <c r="D1653" t="s">
        <v>23</v>
      </c>
      <c r="E1653" t="s">
        <v>14</v>
      </c>
      <c r="F1653" t="s">
        <v>21</v>
      </c>
      <c r="G1653" t="s">
        <v>22</v>
      </c>
      <c r="H1653">
        <v>30000</v>
      </c>
      <c r="I1653">
        <v>9</v>
      </c>
      <c r="J1653" t="s">
        <v>28</v>
      </c>
      <c r="K1653">
        <v>24000</v>
      </c>
    </row>
    <row r="1654" spans="1:11" x14ac:dyDescent="0.25">
      <c r="A1654" s="10">
        <v>45709</v>
      </c>
      <c r="B1654" t="s">
        <v>25</v>
      </c>
      <c r="C1654" t="s">
        <v>12</v>
      </c>
      <c r="D1654" t="s">
        <v>13</v>
      </c>
      <c r="E1654" t="s">
        <v>14</v>
      </c>
      <c r="F1654" t="s">
        <v>40</v>
      </c>
      <c r="G1654" t="s">
        <v>31</v>
      </c>
      <c r="H1654">
        <v>250000</v>
      </c>
      <c r="I1654">
        <v>1</v>
      </c>
      <c r="J1654" t="s">
        <v>35</v>
      </c>
      <c r="K1654">
        <v>200000</v>
      </c>
    </row>
    <row r="1655" spans="1:11" x14ac:dyDescent="0.25">
      <c r="A1655" s="10">
        <v>45746</v>
      </c>
      <c r="B1655" t="s">
        <v>25</v>
      </c>
      <c r="C1655" t="s">
        <v>32</v>
      </c>
      <c r="D1655" t="s">
        <v>13</v>
      </c>
      <c r="E1655" t="s">
        <v>14</v>
      </c>
      <c r="F1655" t="s">
        <v>41</v>
      </c>
      <c r="G1655" t="s">
        <v>22</v>
      </c>
      <c r="H1655">
        <v>220000</v>
      </c>
      <c r="I1655">
        <v>8</v>
      </c>
      <c r="J1655" t="s">
        <v>24</v>
      </c>
      <c r="K1655">
        <v>176000</v>
      </c>
    </row>
    <row r="1656" spans="1:11" x14ac:dyDescent="0.25">
      <c r="A1656" s="10">
        <v>45703</v>
      </c>
      <c r="B1656" t="s">
        <v>18</v>
      </c>
      <c r="C1656" t="s">
        <v>19</v>
      </c>
      <c r="D1656" t="s">
        <v>13</v>
      </c>
      <c r="E1656" t="s">
        <v>14</v>
      </c>
      <c r="F1656" t="s">
        <v>38</v>
      </c>
      <c r="G1656" t="s">
        <v>31</v>
      </c>
      <c r="H1656">
        <v>420000</v>
      </c>
      <c r="I1656">
        <v>8</v>
      </c>
      <c r="J1656" t="s">
        <v>39</v>
      </c>
      <c r="K1656">
        <v>336000</v>
      </c>
    </row>
    <row r="1657" spans="1:11" x14ac:dyDescent="0.25">
      <c r="A1657" s="10">
        <v>45726</v>
      </c>
      <c r="B1657" t="s">
        <v>29</v>
      </c>
      <c r="C1657" t="s">
        <v>26</v>
      </c>
      <c r="D1657" t="s">
        <v>13</v>
      </c>
      <c r="E1657" t="s">
        <v>14</v>
      </c>
      <c r="F1657" t="s">
        <v>30</v>
      </c>
      <c r="G1657" t="s">
        <v>31</v>
      </c>
      <c r="H1657">
        <v>300000</v>
      </c>
      <c r="I1657">
        <v>10</v>
      </c>
      <c r="J1657" t="s">
        <v>35</v>
      </c>
      <c r="K1657">
        <v>240000</v>
      </c>
    </row>
    <row r="1658" spans="1:11" x14ac:dyDescent="0.25">
      <c r="A1658" s="10">
        <v>45761</v>
      </c>
      <c r="B1658" t="s">
        <v>29</v>
      </c>
      <c r="C1658" t="s">
        <v>32</v>
      </c>
      <c r="D1658" t="s">
        <v>13</v>
      </c>
      <c r="E1658" t="s">
        <v>14</v>
      </c>
      <c r="F1658" t="s">
        <v>36</v>
      </c>
      <c r="G1658" t="s">
        <v>31</v>
      </c>
      <c r="H1658">
        <v>150000</v>
      </c>
      <c r="I1658">
        <v>1</v>
      </c>
      <c r="J1658" t="s">
        <v>35</v>
      </c>
      <c r="K1658">
        <v>120000</v>
      </c>
    </row>
    <row r="1659" spans="1:11" x14ac:dyDescent="0.25">
      <c r="A1659" s="10">
        <v>45684</v>
      </c>
      <c r="B1659" t="s">
        <v>29</v>
      </c>
      <c r="C1659" t="s">
        <v>32</v>
      </c>
      <c r="D1659" t="s">
        <v>13</v>
      </c>
      <c r="E1659" t="s">
        <v>20</v>
      </c>
      <c r="F1659" t="s">
        <v>41</v>
      </c>
      <c r="G1659" t="s">
        <v>22</v>
      </c>
      <c r="H1659">
        <v>220000</v>
      </c>
      <c r="I1659">
        <v>6</v>
      </c>
      <c r="J1659" t="s">
        <v>28</v>
      </c>
      <c r="K1659">
        <v>176000</v>
      </c>
    </row>
    <row r="1660" spans="1:11" x14ac:dyDescent="0.25">
      <c r="A1660" s="10">
        <v>45663</v>
      </c>
      <c r="B1660" t="s">
        <v>29</v>
      </c>
      <c r="C1660" t="s">
        <v>19</v>
      </c>
      <c r="D1660" t="s">
        <v>23</v>
      </c>
      <c r="E1660" t="s">
        <v>14</v>
      </c>
      <c r="F1660" t="s">
        <v>33</v>
      </c>
      <c r="G1660" t="s">
        <v>22</v>
      </c>
      <c r="H1660">
        <v>180000</v>
      </c>
      <c r="I1660">
        <v>3</v>
      </c>
      <c r="J1660" t="s">
        <v>39</v>
      </c>
      <c r="K1660">
        <v>144000</v>
      </c>
    </row>
    <row r="1661" spans="1:11" x14ac:dyDescent="0.25">
      <c r="A1661" s="10">
        <v>45677</v>
      </c>
      <c r="B1661" t="s">
        <v>29</v>
      </c>
      <c r="C1661" t="s">
        <v>12</v>
      </c>
      <c r="D1661" t="s">
        <v>13</v>
      </c>
      <c r="E1661" t="s">
        <v>20</v>
      </c>
      <c r="F1661" t="s">
        <v>27</v>
      </c>
      <c r="G1661" t="s">
        <v>22</v>
      </c>
      <c r="H1661">
        <v>60000</v>
      </c>
      <c r="I1661">
        <v>10</v>
      </c>
      <c r="J1661" t="s">
        <v>35</v>
      </c>
      <c r="K1661">
        <v>48000</v>
      </c>
    </row>
    <row r="1662" spans="1:11" x14ac:dyDescent="0.25">
      <c r="A1662" s="10">
        <v>45763</v>
      </c>
      <c r="B1662" t="s">
        <v>25</v>
      </c>
      <c r="C1662" t="s">
        <v>12</v>
      </c>
      <c r="D1662" t="s">
        <v>23</v>
      </c>
      <c r="E1662" t="s">
        <v>14</v>
      </c>
      <c r="F1662" t="s">
        <v>41</v>
      </c>
      <c r="G1662" t="s">
        <v>22</v>
      </c>
      <c r="H1662">
        <v>220000</v>
      </c>
      <c r="I1662">
        <v>1</v>
      </c>
      <c r="J1662" t="s">
        <v>37</v>
      </c>
      <c r="K1662">
        <v>176000</v>
      </c>
    </row>
    <row r="1663" spans="1:11" x14ac:dyDescent="0.25">
      <c r="A1663" s="10">
        <v>45766</v>
      </c>
      <c r="B1663" t="s">
        <v>29</v>
      </c>
      <c r="C1663" t="s">
        <v>26</v>
      </c>
      <c r="D1663" t="s">
        <v>13</v>
      </c>
      <c r="E1663" t="s">
        <v>20</v>
      </c>
      <c r="F1663" t="s">
        <v>40</v>
      </c>
      <c r="G1663" t="s">
        <v>31</v>
      </c>
      <c r="H1663">
        <v>250000</v>
      </c>
      <c r="I1663">
        <v>5</v>
      </c>
      <c r="J1663" t="s">
        <v>28</v>
      </c>
      <c r="K1663">
        <v>200000</v>
      </c>
    </row>
    <row r="1664" spans="1:11" x14ac:dyDescent="0.25">
      <c r="A1664" s="10">
        <v>45750</v>
      </c>
      <c r="B1664" t="s">
        <v>25</v>
      </c>
      <c r="C1664" t="s">
        <v>19</v>
      </c>
      <c r="D1664" t="s">
        <v>23</v>
      </c>
      <c r="E1664" t="s">
        <v>20</v>
      </c>
      <c r="F1664" t="s">
        <v>40</v>
      </c>
      <c r="G1664" t="s">
        <v>31</v>
      </c>
      <c r="H1664">
        <v>250000</v>
      </c>
      <c r="I1664">
        <v>8</v>
      </c>
      <c r="J1664" t="s">
        <v>35</v>
      </c>
      <c r="K1664">
        <v>200000</v>
      </c>
    </row>
    <row r="1665" spans="1:11" x14ac:dyDescent="0.25">
      <c r="A1665" s="10">
        <v>45670</v>
      </c>
      <c r="B1665" t="s">
        <v>11</v>
      </c>
      <c r="C1665" t="s">
        <v>32</v>
      </c>
      <c r="D1665" t="s">
        <v>23</v>
      </c>
      <c r="E1665" t="s">
        <v>14</v>
      </c>
      <c r="F1665" t="s">
        <v>36</v>
      </c>
      <c r="G1665" t="s">
        <v>31</v>
      </c>
      <c r="H1665">
        <v>150000</v>
      </c>
      <c r="I1665">
        <v>4</v>
      </c>
      <c r="J1665" t="s">
        <v>24</v>
      </c>
      <c r="K1665">
        <v>120000</v>
      </c>
    </row>
    <row r="1666" spans="1:11" x14ac:dyDescent="0.25">
      <c r="A1666" s="10">
        <v>45727</v>
      </c>
      <c r="B1666" t="s">
        <v>25</v>
      </c>
      <c r="C1666" t="s">
        <v>19</v>
      </c>
      <c r="D1666" t="s">
        <v>13</v>
      </c>
      <c r="E1666" t="s">
        <v>14</v>
      </c>
      <c r="F1666" t="s">
        <v>41</v>
      </c>
      <c r="G1666" t="s">
        <v>22</v>
      </c>
      <c r="H1666">
        <v>220000</v>
      </c>
      <c r="I1666">
        <v>3</v>
      </c>
      <c r="J1666" t="s">
        <v>37</v>
      </c>
      <c r="K1666">
        <v>176000</v>
      </c>
    </row>
    <row r="1667" spans="1:11" x14ac:dyDescent="0.25">
      <c r="A1667" s="10">
        <v>45677</v>
      </c>
      <c r="B1667" t="s">
        <v>25</v>
      </c>
      <c r="C1667" t="s">
        <v>26</v>
      </c>
      <c r="D1667" t="s">
        <v>13</v>
      </c>
      <c r="E1667" t="s">
        <v>14</v>
      </c>
      <c r="F1667" t="s">
        <v>33</v>
      </c>
      <c r="G1667" t="s">
        <v>22</v>
      </c>
      <c r="H1667">
        <v>180000</v>
      </c>
      <c r="I1667">
        <v>7</v>
      </c>
      <c r="J1667" t="s">
        <v>37</v>
      </c>
      <c r="K1667">
        <v>144000</v>
      </c>
    </row>
    <row r="1668" spans="1:11" x14ac:dyDescent="0.25">
      <c r="A1668" s="10">
        <v>45665</v>
      </c>
      <c r="B1668" t="s">
        <v>25</v>
      </c>
      <c r="C1668" t="s">
        <v>19</v>
      </c>
      <c r="D1668" t="s">
        <v>23</v>
      </c>
      <c r="E1668" t="s">
        <v>20</v>
      </c>
      <c r="F1668" t="s">
        <v>36</v>
      </c>
      <c r="G1668" t="s">
        <v>31</v>
      </c>
      <c r="H1668">
        <v>150000</v>
      </c>
      <c r="I1668">
        <v>4</v>
      </c>
      <c r="J1668" t="s">
        <v>35</v>
      </c>
      <c r="K1668">
        <v>120000</v>
      </c>
    </row>
    <row r="1669" spans="1:11" x14ac:dyDescent="0.25">
      <c r="A1669" s="10">
        <v>45712</v>
      </c>
      <c r="B1669" t="s">
        <v>18</v>
      </c>
      <c r="C1669" t="s">
        <v>26</v>
      </c>
      <c r="D1669" t="s">
        <v>23</v>
      </c>
      <c r="E1669" t="s">
        <v>14</v>
      </c>
      <c r="F1669" t="s">
        <v>36</v>
      </c>
      <c r="G1669" t="s">
        <v>31</v>
      </c>
      <c r="H1669">
        <v>150000</v>
      </c>
      <c r="I1669">
        <v>10</v>
      </c>
      <c r="J1669" t="s">
        <v>24</v>
      </c>
      <c r="K1669">
        <v>120000</v>
      </c>
    </row>
    <row r="1670" spans="1:11" x14ac:dyDescent="0.25">
      <c r="A1670" s="10">
        <v>45714</v>
      </c>
      <c r="B1670" t="s">
        <v>11</v>
      </c>
      <c r="C1670" t="s">
        <v>19</v>
      </c>
      <c r="D1670" t="s">
        <v>13</v>
      </c>
      <c r="E1670" t="s">
        <v>14</v>
      </c>
      <c r="F1670" t="s">
        <v>36</v>
      </c>
      <c r="G1670" t="s">
        <v>31</v>
      </c>
      <c r="H1670">
        <v>150000</v>
      </c>
      <c r="I1670">
        <v>1</v>
      </c>
      <c r="J1670" t="s">
        <v>39</v>
      </c>
      <c r="K1670">
        <v>120000</v>
      </c>
    </row>
    <row r="1671" spans="1:11" x14ac:dyDescent="0.25">
      <c r="A1671" s="10">
        <v>45712</v>
      </c>
      <c r="B1671" t="s">
        <v>29</v>
      </c>
      <c r="C1671" t="s">
        <v>26</v>
      </c>
      <c r="D1671" t="s">
        <v>23</v>
      </c>
      <c r="E1671" t="s">
        <v>20</v>
      </c>
      <c r="F1671" t="s">
        <v>36</v>
      </c>
      <c r="G1671" t="s">
        <v>31</v>
      </c>
      <c r="H1671">
        <v>150000</v>
      </c>
      <c r="I1671">
        <v>4</v>
      </c>
      <c r="J1671" t="s">
        <v>24</v>
      </c>
      <c r="K1671">
        <v>120000</v>
      </c>
    </row>
    <row r="1672" spans="1:11" x14ac:dyDescent="0.25">
      <c r="A1672" s="10">
        <v>45742</v>
      </c>
      <c r="B1672" t="s">
        <v>11</v>
      </c>
      <c r="C1672" t="s">
        <v>26</v>
      </c>
      <c r="D1672" t="s">
        <v>23</v>
      </c>
      <c r="E1672" t="s">
        <v>14</v>
      </c>
      <c r="F1672" t="s">
        <v>27</v>
      </c>
      <c r="G1672" t="s">
        <v>22</v>
      </c>
      <c r="H1672">
        <v>60000</v>
      </c>
      <c r="I1672">
        <v>5</v>
      </c>
      <c r="J1672" t="s">
        <v>37</v>
      </c>
      <c r="K1672">
        <v>48000</v>
      </c>
    </row>
    <row r="1673" spans="1:11" x14ac:dyDescent="0.25">
      <c r="A1673" s="10">
        <v>45710</v>
      </c>
      <c r="B1673" t="s">
        <v>25</v>
      </c>
      <c r="C1673" t="s">
        <v>32</v>
      </c>
      <c r="D1673" t="s">
        <v>13</v>
      </c>
      <c r="E1673" t="s">
        <v>20</v>
      </c>
      <c r="F1673" t="s">
        <v>41</v>
      </c>
      <c r="G1673" t="s">
        <v>22</v>
      </c>
      <c r="H1673">
        <v>220000</v>
      </c>
      <c r="I1673">
        <v>7</v>
      </c>
      <c r="J1673" t="s">
        <v>17</v>
      </c>
      <c r="K1673">
        <v>176000</v>
      </c>
    </row>
    <row r="1674" spans="1:11" x14ac:dyDescent="0.25">
      <c r="A1674" s="10">
        <v>45661</v>
      </c>
      <c r="B1674" t="s">
        <v>29</v>
      </c>
      <c r="C1674" t="s">
        <v>19</v>
      </c>
      <c r="D1674" t="s">
        <v>13</v>
      </c>
      <c r="E1674" t="s">
        <v>20</v>
      </c>
      <c r="F1674" t="s">
        <v>36</v>
      </c>
      <c r="G1674" t="s">
        <v>31</v>
      </c>
      <c r="H1674">
        <v>150000</v>
      </c>
      <c r="I1674">
        <v>4</v>
      </c>
      <c r="J1674" t="s">
        <v>39</v>
      </c>
      <c r="K1674">
        <v>120000</v>
      </c>
    </row>
    <row r="1675" spans="1:11" x14ac:dyDescent="0.25">
      <c r="A1675" s="10">
        <v>45766</v>
      </c>
      <c r="B1675" t="s">
        <v>18</v>
      </c>
      <c r="C1675" t="s">
        <v>26</v>
      </c>
      <c r="D1675" t="s">
        <v>23</v>
      </c>
      <c r="E1675" t="s">
        <v>14</v>
      </c>
      <c r="F1675" t="s">
        <v>34</v>
      </c>
      <c r="G1675" t="s">
        <v>16</v>
      </c>
      <c r="H1675">
        <v>320000</v>
      </c>
      <c r="I1675">
        <v>6</v>
      </c>
      <c r="J1675" t="s">
        <v>17</v>
      </c>
      <c r="K1675">
        <v>256000</v>
      </c>
    </row>
    <row r="1676" spans="1:11" x14ac:dyDescent="0.25">
      <c r="A1676" s="10">
        <v>45732</v>
      </c>
      <c r="B1676" t="s">
        <v>25</v>
      </c>
      <c r="C1676" t="s">
        <v>12</v>
      </c>
      <c r="D1676" t="s">
        <v>13</v>
      </c>
      <c r="E1676" t="s">
        <v>20</v>
      </c>
      <c r="F1676" t="s">
        <v>34</v>
      </c>
      <c r="G1676" t="s">
        <v>16</v>
      </c>
      <c r="H1676">
        <v>320000</v>
      </c>
      <c r="I1676">
        <v>6</v>
      </c>
      <c r="J1676" t="s">
        <v>37</v>
      </c>
      <c r="K1676">
        <v>256000</v>
      </c>
    </row>
    <row r="1677" spans="1:11" x14ac:dyDescent="0.25">
      <c r="A1677" s="10">
        <v>45715</v>
      </c>
      <c r="B1677" t="s">
        <v>11</v>
      </c>
      <c r="C1677" t="s">
        <v>12</v>
      </c>
      <c r="D1677" t="s">
        <v>23</v>
      </c>
      <c r="E1677" t="s">
        <v>20</v>
      </c>
      <c r="F1677" t="s">
        <v>27</v>
      </c>
      <c r="G1677" t="s">
        <v>22</v>
      </c>
      <c r="H1677">
        <v>60000</v>
      </c>
      <c r="I1677">
        <v>4</v>
      </c>
      <c r="J1677" t="s">
        <v>37</v>
      </c>
      <c r="K1677">
        <v>48000</v>
      </c>
    </row>
    <row r="1678" spans="1:11" x14ac:dyDescent="0.25">
      <c r="A1678" s="10">
        <v>45749</v>
      </c>
      <c r="B1678" t="s">
        <v>29</v>
      </c>
      <c r="C1678" t="s">
        <v>19</v>
      </c>
      <c r="D1678" t="s">
        <v>13</v>
      </c>
      <c r="E1678" t="s">
        <v>14</v>
      </c>
      <c r="F1678" t="s">
        <v>15</v>
      </c>
      <c r="G1678" t="s">
        <v>16</v>
      </c>
      <c r="H1678">
        <v>85000</v>
      </c>
      <c r="I1678">
        <v>8</v>
      </c>
      <c r="J1678" t="s">
        <v>24</v>
      </c>
      <c r="K1678">
        <v>68000</v>
      </c>
    </row>
    <row r="1679" spans="1:11" x14ac:dyDescent="0.25">
      <c r="A1679" s="10">
        <v>45716</v>
      </c>
      <c r="B1679" t="s">
        <v>25</v>
      </c>
      <c r="C1679" t="s">
        <v>26</v>
      </c>
      <c r="D1679" t="s">
        <v>23</v>
      </c>
      <c r="E1679" t="s">
        <v>14</v>
      </c>
      <c r="F1679" t="s">
        <v>15</v>
      </c>
      <c r="G1679" t="s">
        <v>16</v>
      </c>
      <c r="H1679">
        <v>85000</v>
      </c>
      <c r="I1679">
        <v>2</v>
      </c>
      <c r="J1679" t="s">
        <v>39</v>
      </c>
      <c r="K1679">
        <v>68000</v>
      </c>
    </row>
    <row r="1680" spans="1:11" x14ac:dyDescent="0.25">
      <c r="A1680" s="10">
        <v>45697</v>
      </c>
      <c r="B1680" t="s">
        <v>29</v>
      </c>
      <c r="C1680" t="s">
        <v>26</v>
      </c>
      <c r="D1680" t="s">
        <v>23</v>
      </c>
      <c r="E1680" t="s">
        <v>20</v>
      </c>
      <c r="F1680" t="s">
        <v>15</v>
      </c>
      <c r="G1680" t="s">
        <v>16</v>
      </c>
      <c r="H1680">
        <v>85000</v>
      </c>
      <c r="I1680">
        <v>9</v>
      </c>
      <c r="J1680" t="s">
        <v>17</v>
      </c>
      <c r="K1680">
        <v>68000</v>
      </c>
    </row>
    <row r="1681" spans="1:11" x14ac:dyDescent="0.25">
      <c r="A1681" s="10">
        <v>45734</v>
      </c>
      <c r="B1681" t="s">
        <v>25</v>
      </c>
      <c r="C1681" t="s">
        <v>26</v>
      </c>
      <c r="D1681" t="s">
        <v>13</v>
      </c>
      <c r="E1681" t="s">
        <v>20</v>
      </c>
      <c r="F1681" t="s">
        <v>38</v>
      </c>
      <c r="G1681" t="s">
        <v>31</v>
      </c>
      <c r="H1681">
        <v>420000</v>
      </c>
      <c r="I1681">
        <v>3</v>
      </c>
      <c r="J1681" t="s">
        <v>35</v>
      </c>
      <c r="K1681">
        <v>336000</v>
      </c>
    </row>
    <row r="1682" spans="1:11" x14ac:dyDescent="0.25">
      <c r="A1682" s="10">
        <v>45718</v>
      </c>
      <c r="B1682" t="s">
        <v>29</v>
      </c>
      <c r="C1682" t="s">
        <v>19</v>
      </c>
      <c r="D1682" t="s">
        <v>13</v>
      </c>
      <c r="E1682" t="s">
        <v>14</v>
      </c>
      <c r="F1682" t="s">
        <v>30</v>
      </c>
      <c r="G1682" t="s">
        <v>31</v>
      </c>
      <c r="H1682">
        <v>300000</v>
      </c>
      <c r="I1682">
        <v>5</v>
      </c>
      <c r="J1682" t="s">
        <v>35</v>
      </c>
      <c r="K1682">
        <v>240000</v>
      </c>
    </row>
    <row r="1683" spans="1:11" x14ac:dyDescent="0.25">
      <c r="A1683" s="10">
        <v>45735</v>
      </c>
      <c r="B1683" t="s">
        <v>18</v>
      </c>
      <c r="C1683" t="s">
        <v>26</v>
      </c>
      <c r="D1683" t="s">
        <v>23</v>
      </c>
      <c r="E1683" t="s">
        <v>20</v>
      </c>
      <c r="F1683" t="s">
        <v>21</v>
      </c>
      <c r="G1683" t="s">
        <v>22</v>
      </c>
      <c r="H1683">
        <v>30000</v>
      </c>
      <c r="I1683">
        <v>1</v>
      </c>
      <c r="J1683" t="s">
        <v>17</v>
      </c>
      <c r="K1683">
        <v>24000</v>
      </c>
    </row>
    <row r="1684" spans="1:11" x14ac:dyDescent="0.25">
      <c r="A1684" s="10">
        <v>45684</v>
      </c>
      <c r="B1684" t="s">
        <v>11</v>
      </c>
      <c r="C1684" t="s">
        <v>32</v>
      </c>
      <c r="D1684" t="s">
        <v>23</v>
      </c>
      <c r="E1684" t="s">
        <v>20</v>
      </c>
      <c r="F1684" t="s">
        <v>41</v>
      </c>
      <c r="G1684" t="s">
        <v>22</v>
      </c>
      <c r="H1684">
        <v>220000</v>
      </c>
      <c r="I1684">
        <v>8</v>
      </c>
      <c r="J1684" t="s">
        <v>37</v>
      </c>
      <c r="K1684">
        <v>176000</v>
      </c>
    </row>
    <row r="1685" spans="1:11" x14ac:dyDescent="0.25">
      <c r="A1685" s="10">
        <v>45724</v>
      </c>
      <c r="B1685" t="s">
        <v>29</v>
      </c>
      <c r="C1685" t="s">
        <v>12</v>
      </c>
      <c r="D1685" t="s">
        <v>23</v>
      </c>
      <c r="E1685" t="s">
        <v>14</v>
      </c>
      <c r="F1685" t="s">
        <v>34</v>
      </c>
      <c r="G1685" t="s">
        <v>16</v>
      </c>
      <c r="H1685">
        <v>320000</v>
      </c>
      <c r="I1685">
        <v>5</v>
      </c>
      <c r="J1685" t="s">
        <v>17</v>
      </c>
      <c r="K1685">
        <v>256000</v>
      </c>
    </row>
    <row r="1686" spans="1:11" x14ac:dyDescent="0.25">
      <c r="A1686" s="10">
        <v>45723</v>
      </c>
      <c r="B1686" t="s">
        <v>18</v>
      </c>
      <c r="C1686" t="s">
        <v>19</v>
      </c>
      <c r="D1686" t="s">
        <v>23</v>
      </c>
      <c r="E1686" t="s">
        <v>14</v>
      </c>
      <c r="F1686" t="s">
        <v>30</v>
      </c>
      <c r="G1686" t="s">
        <v>31</v>
      </c>
      <c r="H1686">
        <v>300000</v>
      </c>
      <c r="I1686">
        <v>10</v>
      </c>
      <c r="J1686" t="s">
        <v>35</v>
      </c>
      <c r="K1686">
        <v>240000</v>
      </c>
    </row>
    <row r="1687" spans="1:11" x14ac:dyDescent="0.25">
      <c r="A1687" s="10">
        <v>45746</v>
      </c>
      <c r="B1687" t="s">
        <v>29</v>
      </c>
      <c r="C1687" t="s">
        <v>12</v>
      </c>
      <c r="D1687" t="s">
        <v>13</v>
      </c>
      <c r="E1687" t="s">
        <v>20</v>
      </c>
      <c r="F1687" t="s">
        <v>41</v>
      </c>
      <c r="G1687" t="s">
        <v>22</v>
      </c>
      <c r="H1687">
        <v>220000</v>
      </c>
      <c r="I1687">
        <v>1</v>
      </c>
      <c r="J1687" t="s">
        <v>17</v>
      </c>
      <c r="K1687">
        <v>176000</v>
      </c>
    </row>
    <row r="1688" spans="1:11" x14ac:dyDescent="0.25">
      <c r="A1688" s="10">
        <v>45662</v>
      </c>
      <c r="B1688" t="s">
        <v>25</v>
      </c>
      <c r="C1688" t="s">
        <v>26</v>
      </c>
      <c r="D1688" t="s">
        <v>23</v>
      </c>
      <c r="E1688" t="s">
        <v>14</v>
      </c>
      <c r="F1688" t="s">
        <v>21</v>
      </c>
      <c r="G1688" t="s">
        <v>22</v>
      </c>
      <c r="H1688">
        <v>30000</v>
      </c>
      <c r="I1688">
        <v>6</v>
      </c>
      <c r="J1688" t="s">
        <v>24</v>
      </c>
      <c r="K1688">
        <v>24000</v>
      </c>
    </row>
    <row r="1689" spans="1:11" x14ac:dyDescent="0.25">
      <c r="A1689" s="10">
        <v>45705</v>
      </c>
      <c r="B1689" t="s">
        <v>29</v>
      </c>
      <c r="C1689" t="s">
        <v>19</v>
      </c>
      <c r="D1689" t="s">
        <v>13</v>
      </c>
      <c r="E1689" t="s">
        <v>14</v>
      </c>
      <c r="F1689" t="s">
        <v>38</v>
      </c>
      <c r="G1689" t="s">
        <v>31</v>
      </c>
      <c r="H1689">
        <v>420000</v>
      </c>
      <c r="I1689">
        <v>1</v>
      </c>
      <c r="J1689" t="s">
        <v>39</v>
      </c>
      <c r="K1689">
        <v>336000</v>
      </c>
    </row>
    <row r="1690" spans="1:11" x14ac:dyDescent="0.25">
      <c r="A1690" s="10">
        <v>45665</v>
      </c>
      <c r="B1690" t="s">
        <v>25</v>
      </c>
      <c r="C1690" t="s">
        <v>32</v>
      </c>
      <c r="D1690" t="s">
        <v>23</v>
      </c>
      <c r="E1690" t="s">
        <v>20</v>
      </c>
      <c r="F1690" t="s">
        <v>38</v>
      </c>
      <c r="G1690" t="s">
        <v>31</v>
      </c>
      <c r="H1690">
        <v>420000</v>
      </c>
      <c r="I1690">
        <v>6</v>
      </c>
      <c r="J1690" t="s">
        <v>37</v>
      </c>
      <c r="K1690">
        <v>336000</v>
      </c>
    </row>
    <row r="1691" spans="1:11" x14ac:dyDescent="0.25">
      <c r="A1691" s="10">
        <v>45727</v>
      </c>
      <c r="B1691" t="s">
        <v>25</v>
      </c>
      <c r="C1691" t="s">
        <v>32</v>
      </c>
      <c r="D1691" t="s">
        <v>13</v>
      </c>
      <c r="E1691" t="s">
        <v>20</v>
      </c>
      <c r="F1691" t="s">
        <v>15</v>
      </c>
      <c r="G1691" t="s">
        <v>16</v>
      </c>
      <c r="H1691">
        <v>85000</v>
      </c>
      <c r="I1691">
        <v>7</v>
      </c>
      <c r="J1691" t="s">
        <v>35</v>
      </c>
      <c r="K1691">
        <v>68000</v>
      </c>
    </row>
    <row r="1692" spans="1:11" x14ac:dyDescent="0.25">
      <c r="A1692" s="10">
        <v>45660</v>
      </c>
      <c r="B1692" t="s">
        <v>25</v>
      </c>
      <c r="C1692" t="s">
        <v>19</v>
      </c>
      <c r="D1692" t="s">
        <v>23</v>
      </c>
      <c r="E1692" t="s">
        <v>20</v>
      </c>
      <c r="F1692" t="s">
        <v>36</v>
      </c>
      <c r="G1692" t="s">
        <v>31</v>
      </c>
      <c r="H1692">
        <v>150000</v>
      </c>
      <c r="I1692">
        <v>7</v>
      </c>
      <c r="J1692" t="s">
        <v>39</v>
      </c>
      <c r="K1692">
        <v>120000</v>
      </c>
    </row>
    <row r="1693" spans="1:11" x14ac:dyDescent="0.25">
      <c r="A1693" s="10">
        <v>45661</v>
      </c>
      <c r="B1693" t="s">
        <v>11</v>
      </c>
      <c r="C1693" t="s">
        <v>19</v>
      </c>
      <c r="D1693" t="s">
        <v>13</v>
      </c>
      <c r="E1693" t="s">
        <v>20</v>
      </c>
      <c r="F1693" t="s">
        <v>36</v>
      </c>
      <c r="G1693" t="s">
        <v>31</v>
      </c>
      <c r="H1693">
        <v>150000</v>
      </c>
      <c r="I1693">
        <v>10</v>
      </c>
      <c r="J1693" t="s">
        <v>17</v>
      </c>
      <c r="K1693">
        <v>120000</v>
      </c>
    </row>
    <row r="1694" spans="1:11" x14ac:dyDescent="0.25">
      <c r="A1694" s="10">
        <v>45723</v>
      </c>
      <c r="B1694" t="s">
        <v>18</v>
      </c>
      <c r="C1694" t="s">
        <v>12</v>
      </c>
      <c r="D1694" t="s">
        <v>13</v>
      </c>
      <c r="E1694" t="s">
        <v>20</v>
      </c>
      <c r="F1694" t="s">
        <v>21</v>
      </c>
      <c r="G1694" t="s">
        <v>22</v>
      </c>
      <c r="H1694">
        <v>30000</v>
      </c>
      <c r="I1694">
        <v>9</v>
      </c>
      <c r="J1694" t="s">
        <v>17</v>
      </c>
      <c r="K1694">
        <v>24000</v>
      </c>
    </row>
    <row r="1695" spans="1:11" x14ac:dyDescent="0.25">
      <c r="A1695" s="10">
        <v>45748</v>
      </c>
      <c r="B1695" t="s">
        <v>25</v>
      </c>
      <c r="C1695" t="s">
        <v>26</v>
      </c>
      <c r="D1695" t="s">
        <v>23</v>
      </c>
      <c r="E1695" t="s">
        <v>14</v>
      </c>
      <c r="F1695" t="s">
        <v>34</v>
      </c>
      <c r="G1695" t="s">
        <v>16</v>
      </c>
      <c r="H1695">
        <v>320000</v>
      </c>
      <c r="I1695">
        <v>8</v>
      </c>
      <c r="J1695" t="s">
        <v>37</v>
      </c>
      <c r="K1695">
        <v>256000</v>
      </c>
    </row>
    <row r="1696" spans="1:11" x14ac:dyDescent="0.25">
      <c r="A1696" s="10">
        <v>45719</v>
      </c>
      <c r="B1696" t="s">
        <v>18</v>
      </c>
      <c r="C1696" t="s">
        <v>32</v>
      </c>
      <c r="D1696" t="s">
        <v>13</v>
      </c>
      <c r="E1696" t="s">
        <v>20</v>
      </c>
      <c r="F1696" t="s">
        <v>21</v>
      </c>
      <c r="G1696" t="s">
        <v>22</v>
      </c>
      <c r="H1696">
        <v>30000</v>
      </c>
      <c r="I1696">
        <v>9</v>
      </c>
      <c r="J1696" t="s">
        <v>28</v>
      </c>
      <c r="K1696">
        <v>24000</v>
      </c>
    </row>
    <row r="1697" spans="1:11" x14ac:dyDescent="0.25">
      <c r="A1697" s="10">
        <v>45750</v>
      </c>
      <c r="B1697" t="s">
        <v>18</v>
      </c>
      <c r="C1697" t="s">
        <v>26</v>
      </c>
      <c r="D1697" t="s">
        <v>23</v>
      </c>
      <c r="E1697" t="s">
        <v>14</v>
      </c>
      <c r="F1697" t="s">
        <v>40</v>
      </c>
      <c r="G1697" t="s">
        <v>31</v>
      </c>
      <c r="H1697">
        <v>250000</v>
      </c>
      <c r="I1697">
        <v>3</v>
      </c>
      <c r="J1697" t="s">
        <v>24</v>
      </c>
      <c r="K1697">
        <v>200000</v>
      </c>
    </row>
    <row r="1698" spans="1:11" x14ac:dyDescent="0.25">
      <c r="A1698" s="10">
        <v>45664</v>
      </c>
      <c r="B1698" t="s">
        <v>18</v>
      </c>
      <c r="C1698" t="s">
        <v>19</v>
      </c>
      <c r="D1698" t="s">
        <v>23</v>
      </c>
      <c r="E1698" t="s">
        <v>14</v>
      </c>
      <c r="F1698" t="s">
        <v>27</v>
      </c>
      <c r="G1698" t="s">
        <v>22</v>
      </c>
      <c r="H1698">
        <v>60000</v>
      </c>
      <c r="I1698">
        <v>2</v>
      </c>
      <c r="J1698" t="s">
        <v>24</v>
      </c>
      <c r="K1698">
        <v>48000</v>
      </c>
    </row>
    <row r="1699" spans="1:11" x14ac:dyDescent="0.25">
      <c r="A1699" s="10">
        <v>45744</v>
      </c>
      <c r="B1699" t="s">
        <v>11</v>
      </c>
      <c r="C1699" t="s">
        <v>32</v>
      </c>
      <c r="D1699" t="s">
        <v>13</v>
      </c>
      <c r="E1699" t="s">
        <v>20</v>
      </c>
      <c r="F1699" t="s">
        <v>34</v>
      </c>
      <c r="G1699" t="s">
        <v>16</v>
      </c>
      <c r="H1699">
        <v>320000</v>
      </c>
      <c r="I1699">
        <v>3</v>
      </c>
      <c r="J1699" t="s">
        <v>28</v>
      </c>
      <c r="K1699">
        <v>256000</v>
      </c>
    </row>
    <row r="1700" spans="1:11" x14ac:dyDescent="0.25">
      <c r="A1700" s="10">
        <v>45727</v>
      </c>
      <c r="B1700" t="s">
        <v>18</v>
      </c>
      <c r="C1700" t="s">
        <v>26</v>
      </c>
      <c r="D1700" t="s">
        <v>13</v>
      </c>
      <c r="E1700" t="s">
        <v>14</v>
      </c>
      <c r="F1700" t="s">
        <v>30</v>
      </c>
      <c r="G1700" t="s">
        <v>31</v>
      </c>
      <c r="H1700">
        <v>300000</v>
      </c>
      <c r="I1700">
        <v>9</v>
      </c>
      <c r="J1700" t="s">
        <v>24</v>
      </c>
      <c r="K1700">
        <v>240000</v>
      </c>
    </row>
    <row r="1701" spans="1:11" x14ac:dyDescent="0.25">
      <c r="A1701" s="10">
        <v>45666</v>
      </c>
      <c r="B1701" t="s">
        <v>18</v>
      </c>
      <c r="C1701" t="s">
        <v>32</v>
      </c>
      <c r="D1701" t="s">
        <v>13</v>
      </c>
      <c r="E1701" t="s">
        <v>14</v>
      </c>
      <c r="F1701" t="s">
        <v>38</v>
      </c>
      <c r="G1701" t="s">
        <v>31</v>
      </c>
      <c r="H1701">
        <v>420000</v>
      </c>
      <c r="I1701">
        <v>4</v>
      </c>
      <c r="J1701" t="s">
        <v>39</v>
      </c>
      <c r="K1701">
        <v>336000</v>
      </c>
    </row>
    <row r="1702" spans="1:11" x14ac:dyDescent="0.25">
      <c r="A1702" s="10">
        <v>45717</v>
      </c>
      <c r="B1702" t="s">
        <v>11</v>
      </c>
      <c r="C1702" t="s">
        <v>12</v>
      </c>
      <c r="D1702" t="s">
        <v>13</v>
      </c>
      <c r="E1702" t="s">
        <v>20</v>
      </c>
      <c r="F1702" t="s">
        <v>34</v>
      </c>
      <c r="G1702" t="s">
        <v>16</v>
      </c>
      <c r="H1702">
        <v>320000</v>
      </c>
      <c r="I1702">
        <v>6</v>
      </c>
      <c r="J1702" t="s">
        <v>35</v>
      </c>
      <c r="K1702">
        <v>256000</v>
      </c>
    </row>
    <row r="1703" spans="1:11" x14ac:dyDescent="0.25">
      <c r="A1703" s="10">
        <v>45777</v>
      </c>
      <c r="B1703" t="s">
        <v>11</v>
      </c>
      <c r="C1703" t="s">
        <v>32</v>
      </c>
      <c r="D1703" t="s">
        <v>13</v>
      </c>
      <c r="E1703" t="s">
        <v>20</v>
      </c>
      <c r="F1703" t="s">
        <v>41</v>
      </c>
      <c r="G1703" t="s">
        <v>22</v>
      </c>
      <c r="H1703">
        <v>220000</v>
      </c>
      <c r="I1703">
        <v>4</v>
      </c>
      <c r="J1703" t="s">
        <v>39</v>
      </c>
      <c r="K1703">
        <v>176000</v>
      </c>
    </row>
    <row r="1704" spans="1:11" x14ac:dyDescent="0.25">
      <c r="A1704" s="10">
        <v>45749</v>
      </c>
      <c r="B1704" t="s">
        <v>25</v>
      </c>
      <c r="C1704" t="s">
        <v>32</v>
      </c>
      <c r="D1704" t="s">
        <v>13</v>
      </c>
      <c r="E1704" t="s">
        <v>20</v>
      </c>
      <c r="F1704" t="s">
        <v>15</v>
      </c>
      <c r="G1704" t="s">
        <v>16</v>
      </c>
      <c r="H1704">
        <v>85000</v>
      </c>
      <c r="I1704">
        <v>8</v>
      </c>
      <c r="J1704" t="s">
        <v>24</v>
      </c>
      <c r="K1704">
        <v>68000</v>
      </c>
    </row>
    <row r="1705" spans="1:11" x14ac:dyDescent="0.25">
      <c r="A1705" s="10">
        <v>45761</v>
      </c>
      <c r="B1705" t="s">
        <v>11</v>
      </c>
      <c r="C1705" t="s">
        <v>12</v>
      </c>
      <c r="D1705" t="s">
        <v>13</v>
      </c>
      <c r="E1705" t="s">
        <v>20</v>
      </c>
      <c r="F1705" t="s">
        <v>38</v>
      </c>
      <c r="G1705" t="s">
        <v>31</v>
      </c>
      <c r="H1705">
        <v>420000</v>
      </c>
      <c r="I1705">
        <v>7</v>
      </c>
      <c r="J1705" t="s">
        <v>28</v>
      </c>
      <c r="K1705">
        <v>336000</v>
      </c>
    </row>
    <row r="1706" spans="1:11" x14ac:dyDescent="0.25">
      <c r="A1706" s="10">
        <v>45686</v>
      </c>
      <c r="B1706" t="s">
        <v>18</v>
      </c>
      <c r="C1706" t="s">
        <v>32</v>
      </c>
      <c r="D1706" t="s">
        <v>23</v>
      </c>
      <c r="E1706" t="s">
        <v>20</v>
      </c>
      <c r="F1706" t="s">
        <v>41</v>
      </c>
      <c r="G1706" t="s">
        <v>22</v>
      </c>
      <c r="H1706">
        <v>220000</v>
      </c>
      <c r="I1706">
        <v>2</v>
      </c>
      <c r="J1706" t="s">
        <v>17</v>
      </c>
      <c r="K1706">
        <v>176000</v>
      </c>
    </row>
    <row r="1707" spans="1:11" x14ac:dyDescent="0.25">
      <c r="A1707" s="10">
        <v>45698</v>
      </c>
      <c r="B1707" t="s">
        <v>29</v>
      </c>
      <c r="C1707" t="s">
        <v>26</v>
      </c>
      <c r="D1707" t="s">
        <v>13</v>
      </c>
      <c r="E1707" t="s">
        <v>14</v>
      </c>
      <c r="F1707" t="s">
        <v>36</v>
      </c>
      <c r="G1707" t="s">
        <v>31</v>
      </c>
      <c r="H1707">
        <v>150000</v>
      </c>
      <c r="I1707">
        <v>1</v>
      </c>
      <c r="J1707" t="s">
        <v>35</v>
      </c>
      <c r="K1707">
        <v>120000</v>
      </c>
    </row>
    <row r="1708" spans="1:11" x14ac:dyDescent="0.25">
      <c r="A1708" s="10">
        <v>45689</v>
      </c>
      <c r="B1708" t="s">
        <v>29</v>
      </c>
      <c r="C1708" t="s">
        <v>12</v>
      </c>
      <c r="D1708" t="s">
        <v>23</v>
      </c>
      <c r="E1708" t="s">
        <v>20</v>
      </c>
      <c r="F1708" t="s">
        <v>38</v>
      </c>
      <c r="G1708" t="s">
        <v>31</v>
      </c>
      <c r="H1708">
        <v>420000</v>
      </c>
      <c r="I1708">
        <v>4</v>
      </c>
      <c r="J1708" t="s">
        <v>37</v>
      </c>
      <c r="K1708">
        <v>336000</v>
      </c>
    </row>
    <row r="1709" spans="1:11" x14ac:dyDescent="0.25">
      <c r="A1709" s="10">
        <v>45672</v>
      </c>
      <c r="B1709" t="s">
        <v>25</v>
      </c>
      <c r="C1709" t="s">
        <v>19</v>
      </c>
      <c r="D1709" t="s">
        <v>23</v>
      </c>
      <c r="E1709" t="s">
        <v>14</v>
      </c>
      <c r="F1709" t="s">
        <v>30</v>
      </c>
      <c r="G1709" t="s">
        <v>31</v>
      </c>
      <c r="H1709">
        <v>300000</v>
      </c>
      <c r="I1709">
        <v>1</v>
      </c>
      <c r="J1709" t="s">
        <v>28</v>
      </c>
      <c r="K1709">
        <v>240000</v>
      </c>
    </row>
    <row r="1710" spans="1:11" x14ac:dyDescent="0.25">
      <c r="A1710" s="10">
        <v>45693</v>
      </c>
      <c r="B1710" t="s">
        <v>11</v>
      </c>
      <c r="C1710" t="s">
        <v>19</v>
      </c>
      <c r="D1710" t="s">
        <v>13</v>
      </c>
      <c r="E1710" t="s">
        <v>20</v>
      </c>
      <c r="F1710" t="s">
        <v>30</v>
      </c>
      <c r="G1710" t="s">
        <v>31</v>
      </c>
      <c r="H1710">
        <v>300000</v>
      </c>
      <c r="I1710">
        <v>9</v>
      </c>
      <c r="J1710" t="s">
        <v>24</v>
      </c>
      <c r="K1710">
        <v>240000</v>
      </c>
    </row>
    <row r="1711" spans="1:11" x14ac:dyDescent="0.25">
      <c r="A1711" s="10">
        <v>45707</v>
      </c>
      <c r="B1711" t="s">
        <v>25</v>
      </c>
      <c r="C1711" t="s">
        <v>32</v>
      </c>
      <c r="D1711" t="s">
        <v>13</v>
      </c>
      <c r="E1711" t="s">
        <v>14</v>
      </c>
      <c r="F1711" t="s">
        <v>40</v>
      </c>
      <c r="G1711" t="s">
        <v>31</v>
      </c>
      <c r="H1711">
        <v>250000</v>
      </c>
      <c r="I1711">
        <v>6</v>
      </c>
      <c r="J1711" t="s">
        <v>24</v>
      </c>
      <c r="K1711">
        <v>200000</v>
      </c>
    </row>
    <row r="1712" spans="1:11" x14ac:dyDescent="0.25">
      <c r="A1712" s="10">
        <v>45710</v>
      </c>
      <c r="B1712" t="s">
        <v>29</v>
      </c>
      <c r="C1712" t="s">
        <v>26</v>
      </c>
      <c r="D1712" t="s">
        <v>13</v>
      </c>
      <c r="E1712" t="s">
        <v>20</v>
      </c>
      <c r="F1712" t="s">
        <v>21</v>
      </c>
      <c r="G1712" t="s">
        <v>22</v>
      </c>
      <c r="H1712">
        <v>30000</v>
      </c>
      <c r="I1712">
        <v>7</v>
      </c>
      <c r="J1712" t="s">
        <v>28</v>
      </c>
      <c r="K1712">
        <v>24000</v>
      </c>
    </row>
    <row r="1713" spans="1:11" x14ac:dyDescent="0.25">
      <c r="A1713" s="10">
        <v>45658</v>
      </c>
      <c r="B1713" t="s">
        <v>25</v>
      </c>
      <c r="C1713" t="s">
        <v>12</v>
      </c>
      <c r="D1713" t="s">
        <v>23</v>
      </c>
      <c r="E1713" t="s">
        <v>14</v>
      </c>
      <c r="F1713" t="s">
        <v>15</v>
      </c>
      <c r="G1713" t="s">
        <v>16</v>
      </c>
      <c r="H1713">
        <v>85000</v>
      </c>
      <c r="I1713">
        <v>7</v>
      </c>
      <c r="J1713" t="s">
        <v>39</v>
      </c>
      <c r="K1713">
        <v>68000</v>
      </c>
    </row>
    <row r="1714" spans="1:11" x14ac:dyDescent="0.25">
      <c r="A1714" s="10">
        <v>45740</v>
      </c>
      <c r="B1714" t="s">
        <v>11</v>
      </c>
      <c r="C1714" t="s">
        <v>32</v>
      </c>
      <c r="D1714" t="s">
        <v>23</v>
      </c>
      <c r="E1714" t="s">
        <v>14</v>
      </c>
      <c r="F1714" t="s">
        <v>15</v>
      </c>
      <c r="G1714" t="s">
        <v>16</v>
      </c>
      <c r="H1714">
        <v>85000</v>
      </c>
      <c r="I1714">
        <v>7</v>
      </c>
      <c r="J1714" t="s">
        <v>39</v>
      </c>
      <c r="K1714">
        <v>68000</v>
      </c>
    </row>
    <row r="1715" spans="1:11" x14ac:dyDescent="0.25">
      <c r="A1715" s="10">
        <v>45683</v>
      </c>
      <c r="B1715" t="s">
        <v>25</v>
      </c>
      <c r="C1715" t="s">
        <v>26</v>
      </c>
      <c r="D1715" t="s">
        <v>13</v>
      </c>
      <c r="E1715" t="s">
        <v>14</v>
      </c>
      <c r="F1715" t="s">
        <v>21</v>
      </c>
      <c r="G1715" t="s">
        <v>22</v>
      </c>
      <c r="H1715">
        <v>30000</v>
      </c>
      <c r="I1715">
        <v>4</v>
      </c>
      <c r="J1715" t="s">
        <v>17</v>
      </c>
      <c r="K1715">
        <v>24000</v>
      </c>
    </row>
    <row r="1716" spans="1:11" x14ac:dyDescent="0.25">
      <c r="A1716" s="10">
        <v>45743</v>
      </c>
      <c r="B1716" t="s">
        <v>11</v>
      </c>
      <c r="C1716" t="s">
        <v>26</v>
      </c>
      <c r="D1716" t="s">
        <v>13</v>
      </c>
      <c r="E1716" t="s">
        <v>14</v>
      </c>
      <c r="F1716" t="s">
        <v>36</v>
      </c>
      <c r="G1716" t="s">
        <v>31</v>
      </c>
      <c r="H1716">
        <v>150000</v>
      </c>
      <c r="I1716">
        <v>9</v>
      </c>
      <c r="J1716" t="s">
        <v>24</v>
      </c>
      <c r="K1716">
        <v>120000</v>
      </c>
    </row>
    <row r="1717" spans="1:11" x14ac:dyDescent="0.25">
      <c r="A1717" s="10">
        <v>45748</v>
      </c>
      <c r="B1717" t="s">
        <v>29</v>
      </c>
      <c r="C1717" t="s">
        <v>12</v>
      </c>
      <c r="D1717" t="s">
        <v>23</v>
      </c>
      <c r="E1717" t="s">
        <v>20</v>
      </c>
      <c r="F1717" t="s">
        <v>41</v>
      </c>
      <c r="G1717" t="s">
        <v>22</v>
      </c>
      <c r="H1717">
        <v>220000</v>
      </c>
      <c r="I1717">
        <v>9</v>
      </c>
      <c r="J1717" t="s">
        <v>39</v>
      </c>
      <c r="K1717">
        <v>176000</v>
      </c>
    </row>
    <row r="1718" spans="1:11" x14ac:dyDescent="0.25">
      <c r="A1718" s="10">
        <v>45663</v>
      </c>
      <c r="B1718" t="s">
        <v>18</v>
      </c>
      <c r="C1718" t="s">
        <v>26</v>
      </c>
      <c r="D1718" t="s">
        <v>23</v>
      </c>
      <c r="E1718" t="s">
        <v>14</v>
      </c>
      <c r="F1718" t="s">
        <v>21</v>
      </c>
      <c r="G1718" t="s">
        <v>22</v>
      </c>
      <c r="H1718">
        <v>30000</v>
      </c>
      <c r="I1718">
        <v>8</v>
      </c>
      <c r="J1718" t="s">
        <v>37</v>
      </c>
      <c r="K1718">
        <v>24000</v>
      </c>
    </row>
    <row r="1719" spans="1:11" x14ac:dyDescent="0.25">
      <c r="A1719" s="10">
        <v>45661</v>
      </c>
      <c r="B1719" t="s">
        <v>18</v>
      </c>
      <c r="C1719" t="s">
        <v>26</v>
      </c>
      <c r="D1719" t="s">
        <v>13</v>
      </c>
      <c r="E1719" t="s">
        <v>14</v>
      </c>
      <c r="F1719" t="s">
        <v>15</v>
      </c>
      <c r="G1719" t="s">
        <v>16</v>
      </c>
      <c r="H1719">
        <v>85000</v>
      </c>
      <c r="I1719">
        <v>2</v>
      </c>
      <c r="J1719" t="s">
        <v>24</v>
      </c>
      <c r="K1719">
        <v>68000</v>
      </c>
    </row>
    <row r="1720" spans="1:11" x14ac:dyDescent="0.25">
      <c r="A1720" s="10">
        <v>45747</v>
      </c>
      <c r="B1720" t="s">
        <v>25</v>
      </c>
      <c r="C1720" t="s">
        <v>19</v>
      </c>
      <c r="D1720" t="s">
        <v>23</v>
      </c>
      <c r="E1720" t="s">
        <v>14</v>
      </c>
      <c r="F1720" t="s">
        <v>33</v>
      </c>
      <c r="G1720" t="s">
        <v>22</v>
      </c>
      <c r="H1720">
        <v>180000</v>
      </c>
      <c r="I1720">
        <v>9</v>
      </c>
      <c r="J1720" t="s">
        <v>24</v>
      </c>
      <c r="K1720">
        <v>144000</v>
      </c>
    </row>
    <row r="1721" spans="1:11" x14ac:dyDescent="0.25">
      <c r="A1721" s="10">
        <v>45696</v>
      </c>
      <c r="B1721" t="s">
        <v>18</v>
      </c>
      <c r="C1721" t="s">
        <v>26</v>
      </c>
      <c r="D1721" t="s">
        <v>13</v>
      </c>
      <c r="E1721" t="s">
        <v>14</v>
      </c>
      <c r="F1721" t="s">
        <v>36</v>
      </c>
      <c r="G1721" t="s">
        <v>31</v>
      </c>
      <c r="H1721">
        <v>150000</v>
      </c>
      <c r="I1721">
        <v>8</v>
      </c>
      <c r="J1721" t="s">
        <v>39</v>
      </c>
      <c r="K1721">
        <v>120000</v>
      </c>
    </row>
    <row r="1722" spans="1:11" x14ac:dyDescent="0.25">
      <c r="A1722" s="10">
        <v>45685</v>
      </c>
      <c r="B1722" t="s">
        <v>29</v>
      </c>
      <c r="C1722" t="s">
        <v>12</v>
      </c>
      <c r="D1722" t="s">
        <v>13</v>
      </c>
      <c r="E1722" t="s">
        <v>14</v>
      </c>
      <c r="F1722" t="s">
        <v>27</v>
      </c>
      <c r="G1722" t="s">
        <v>22</v>
      </c>
      <c r="H1722">
        <v>60000</v>
      </c>
      <c r="I1722">
        <v>8</v>
      </c>
      <c r="J1722" t="s">
        <v>37</v>
      </c>
      <c r="K1722">
        <v>48000</v>
      </c>
    </row>
    <row r="1723" spans="1:11" x14ac:dyDescent="0.25">
      <c r="A1723" s="10">
        <v>45661</v>
      </c>
      <c r="B1723" t="s">
        <v>11</v>
      </c>
      <c r="C1723" t="s">
        <v>12</v>
      </c>
      <c r="D1723" t="s">
        <v>13</v>
      </c>
      <c r="E1723" t="s">
        <v>20</v>
      </c>
      <c r="F1723" t="s">
        <v>30</v>
      </c>
      <c r="G1723" t="s">
        <v>31</v>
      </c>
      <c r="H1723">
        <v>300000</v>
      </c>
      <c r="I1723">
        <v>5</v>
      </c>
      <c r="J1723" t="s">
        <v>28</v>
      </c>
      <c r="K1723">
        <v>240000</v>
      </c>
    </row>
    <row r="1724" spans="1:11" x14ac:dyDescent="0.25">
      <c r="A1724" s="10">
        <v>45702</v>
      </c>
      <c r="B1724" t="s">
        <v>29</v>
      </c>
      <c r="C1724" t="s">
        <v>19</v>
      </c>
      <c r="D1724" t="s">
        <v>13</v>
      </c>
      <c r="E1724" t="s">
        <v>14</v>
      </c>
      <c r="F1724" t="s">
        <v>21</v>
      </c>
      <c r="G1724" t="s">
        <v>22</v>
      </c>
      <c r="H1724">
        <v>30000</v>
      </c>
      <c r="I1724">
        <v>8</v>
      </c>
      <c r="J1724" t="s">
        <v>35</v>
      </c>
      <c r="K1724">
        <v>24000</v>
      </c>
    </row>
    <row r="1725" spans="1:11" x14ac:dyDescent="0.25">
      <c r="A1725" s="10">
        <v>45723</v>
      </c>
      <c r="B1725" t="s">
        <v>29</v>
      </c>
      <c r="C1725" t="s">
        <v>12</v>
      </c>
      <c r="D1725" t="s">
        <v>23</v>
      </c>
      <c r="E1725" t="s">
        <v>20</v>
      </c>
      <c r="F1725" t="s">
        <v>38</v>
      </c>
      <c r="G1725" t="s">
        <v>31</v>
      </c>
      <c r="H1725">
        <v>420000</v>
      </c>
      <c r="I1725">
        <v>3</v>
      </c>
      <c r="J1725" t="s">
        <v>24</v>
      </c>
      <c r="K1725">
        <v>336000</v>
      </c>
    </row>
    <row r="1726" spans="1:11" x14ac:dyDescent="0.25">
      <c r="A1726" s="10">
        <v>45708</v>
      </c>
      <c r="B1726" t="s">
        <v>11</v>
      </c>
      <c r="C1726" t="s">
        <v>12</v>
      </c>
      <c r="D1726" t="s">
        <v>23</v>
      </c>
      <c r="E1726" t="s">
        <v>14</v>
      </c>
      <c r="F1726" t="s">
        <v>38</v>
      </c>
      <c r="G1726" t="s">
        <v>31</v>
      </c>
      <c r="H1726">
        <v>420000</v>
      </c>
      <c r="I1726">
        <v>7</v>
      </c>
      <c r="J1726" t="s">
        <v>39</v>
      </c>
      <c r="K1726">
        <v>336000</v>
      </c>
    </row>
    <row r="1727" spans="1:11" x14ac:dyDescent="0.25">
      <c r="A1727" s="10">
        <v>45746</v>
      </c>
      <c r="B1727" t="s">
        <v>18</v>
      </c>
      <c r="C1727" t="s">
        <v>19</v>
      </c>
      <c r="D1727" t="s">
        <v>23</v>
      </c>
      <c r="E1727" t="s">
        <v>14</v>
      </c>
      <c r="F1727" t="s">
        <v>15</v>
      </c>
      <c r="G1727" t="s">
        <v>16</v>
      </c>
      <c r="H1727">
        <v>85000</v>
      </c>
      <c r="I1727">
        <v>9</v>
      </c>
      <c r="J1727" t="s">
        <v>39</v>
      </c>
      <c r="K1727">
        <v>68000</v>
      </c>
    </row>
    <row r="1728" spans="1:11" x14ac:dyDescent="0.25">
      <c r="A1728" s="10">
        <v>45742</v>
      </c>
      <c r="B1728" t="s">
        <v>18</v>
      </c>
      <c r="C1728" t="s">
        <v>19</v>
      </c>
      <c r="D1728" t="s">
        <v>23</v>
      </c>
      <c r="E1728" t="s">
        <v>14</v>
      </c>
      <c r="F1728" t="s">
        <v>30</v>
      </c>
      <c r="G1728" t="s">
        <v>31</v>
      </c>
      <c r="H1728">
        <v>300000</v>
      </c>
      <c r="I1728">
        <v>8</v>
      </c>
      <c r="J1728" t="s">
        <v>28</v>
      </c>
      <c r="K1728">
        <v>240000</v>
      </c>
    </row>
    <row r="1729" spans="1:11" x14ac:dyDescent="0.25">
      <c r="A1729" s="10">
        <v>45760</v>
      </c>
      <c r="B1729" t="s">
        <v>29</v>
      </c>
      <c r="C1729" t="s">
        <v>32</v>
      </c>
      <c r="D1729" t="s">
        <v>13</v>
      </c>
      <c r="E1729" t="s">
        <v>20</v>
      </c>
      <c r="F1729" t="s">
        <v>38</v>
      </c>
      <c r="G1729" t="s">
        <v>31</v>
      </c>
      <c r="H1729">
        <v>420000</v>
      </c>
      <c r="I1729">
        <v>6</v>
      </c>
      <c r="J1729" t="s">
        <v>17</v>
      </c>
      <c r="K1729">
        <v>336000</v>
      </c>
    </row>
    <row r="1730" spans="1:11" x14ac:dyDescent="0.25">
      <c r="A1730" s="10">
        <v>45749</v>
      </c>
      <c r="B1730" t="s">
        <v>25</v>
      </c>
      <c r="C1730" t="s">
        <v>32</v>
      </c>
      <c r="D1730" t="s">
        <v>23</v>
      </c>
      <c r="E1730" t="s">
        <v>14</v>
      </c>
      <c r="F1730" t="s">
        <v>36</v>
      </c>
      <c r="G1730" t="s">
        <v>31</v>
      </c>
      <c r="H1730">
        <v>150000</v>
      </c>
      <c r="I1730">
        <v>9</v>
      </c>
      <c r="J1730" t="s">
        <v>35</v>
      </c>
      <c r="K1730">
        <v>120000</v>
      </c>
    </row>
    <row r="1731" spans="1:11" x14ac:dyDescent="0.25">
      <c r="A1731" s="10">
        <v>45687</v>
      </c>
      <c r="B1731" t="s">
        <v>18</v>
      </c>
      <c r="C1731" t="s">
        <v>26</v>
      </c>
      <c r="D1731" t="s">
        <v>13</v>
      </c>
      <c r="E1731" t="s">
        <v>20</v>
      </c>
      <c r="F1731" t="s">
        <v>21</v>
      </c>
      <c r="G1731" t="s">
        <v>22</v>
      </c>
      <c r="H1731">
        <v>30000</v>
      </c>
      <c r="I1731">
        <v>3</v>
      </c>
      <c r="J1731" t="s">
        <v>28</v>
      </c>
      <c r="K1731">
        <v>24000</v>
      </c>
    </row>
    <row r="1732" spans="1:11" x14ac:dyDescent="0.25">
      <c r="A1732" s="10">
        <v>45743</v>
      </c>
      <c r="B1732" t="s">
        <v>18</v>
      </c>
      <c r="C1732" t="s">
        <v>26</v>
      </c>
      <c r="D1732" t="s">
        <v>13</v>
      </c>
      <c r="E1732" t="s">
        <v>20</v>
      </c>
      <c r="F1732" t="s">
        <v>21</v>
      </c>
      <c r="G1732" t="s">
        <v>22</v>
      </c>
      <c r="H1732">
        <v>30000</v>
      </c>
      <c r="I1732">
        <v>4</v>
      </c>
      <c r="J1732" t="s">
        <v>37</v>
      </c>
      <c r="K1732">
        <v>24000</v>
      </c>
    </row>
    <row r="1733" spans="1:11" x14ac:dyDescent="0.25">
      <c r="A1733" s="10">
        <v>45744</v>
      </c>
      <c r="B1733" t="s">
        <v>29</v>
      </c>
      <c r="C1733" t="s">
        <v>19</v>
      </c>
      <c r="D1733" t="s">
        <v>23</v>
      </c>
      <c r="E1733" t="s">
        <v>14</v>
      </c>
      <c r="F1733" t="s">
        <v>27</v>
      </c>
      <c r="G1733" t="s">
        <v>22</v>
      </c>
      <c r="H1733">
        <v>60000</v>
      </c>
      <c r="I1733">
        <v>4</v>
      </c>
      <c r="J1733" t="s">
        <v>37</v>
      </c>
      <c r="K1733">
        <v>48000</v>
      </c>
    </row>
    <row r="1734" spans="1:11" x14ac:dyDescent="0.25">
      <c r="A1734" s="10">
        <v>45698</v>
      </c>
      <c r="B1734" t="s">
        <v>29</v>
      </c>
      <c r="C1734" t="s">
        <v>26</v>
      </c>
      <c r="D1734" t="s">
        <v>13</v>
      </c>
      <c r="E1734" t="s">
        <v>20</v>
      </c>
      <c r="F1734" t="s">
        <v>40</v>
      </c>
      <c r="G1734" t="s">
        <v>31</v>
      </c>
      <c r="H1734">
        <v>250000</v>
      </c>
      <c r="I1734">
        <v>8</v>
      </c>
      <c r="J1734" t="s">
        <v>17</v>
      </c>
      <c r="K1734">
        <v>200000</v>
      </c>
    </row>
    <row r="1735" spans="1:11" x14ac:dyDescent="0.25">
      <c r="A1735" s="10">
        <v>45745</v>
      </c>
      <c r="B1735" t="s">
        <v>29</v>
      </c>
      <c r="C1735" t="s">
        <v>32</v>
      </c>
      <c r="D1735" t="s">
        <v>23</v>
      </c>
      <c r="E1735" t="s">
        <v>14</v>
      </c>
      <c r="F1735" t="s">
        <v>21</v>
      </c>
      <c r="G1735" t="s">
        <v>22</v>
      </c>
      <c r="H1735">
        <v>30000</v>
      </c>
      <c r="I1735">
        <v>6</v>
      </c>
      <c r="J1735" t="s">
        <v>28</v>
      </c>
      <c r="K1735">
        <v>24000</v>
      </c>
    </row>
    <row r="1736" spans="1:11" x14ac:dyDescent="0.25">
      <c r="A1736" s="10">
        <v>45701</v>
      </c>
      <c r="B1736" t="s">
        <v>25</v>
      </c>
      <c r="C1736" t="s">
        <v>19</v>
      </c>
      <c r="D1736" t="s">
        <v>23</v>
      </c>
      <c r="E1736" t="s">
        <v>20</v>
      </c>
      <c r="F1736" t="s">
        <v>40</v>
      </c>
      <c r="G1736" t="s">
        <v>31</v>
      </c>
      <c r="H1736">
        <v>250000</v>
      </c>
      <c r="I1736">
        <v>1</v>
      </c>
      <c r="J1736" t="s">
        <v>24</v>
      </c>
      <c r="K1736">
        <v>200000</v>
      </c>
    </row>
    <row r="1737" spans="1:11" x14ac:dyDescent="0.25">
      <c r="A1737" s="10">
        <v>45721</v>
      </c>
      <c r="B1737" t="s">
        <v>11</v>
      </c>
      <c r="C1737" t="s">
        <v>12</v>
      </c>
      <c r="D1737" t="s">
        <v>13</v>
      </c>
      <c r="E1737" t="s">
        <v>14</v>
      </c>
      <c r="F1737" t="s">
        <v>15</v>
      </c>
      <c r="G1737" t="s">
        <v>16</v>
      </c>
      <c r="H1737">
        <v>85000</v>
      </c>
      <c r="I1737">
        <v>1</v>
      </c>
      <c r="J1737" t="s">
        <v>35</v>
      </c>
      <c r="K1737">
        <v>68000</v>
      </c>
    </row>
    <row r="1738" spans="1:11" x14ac:dyDescent="0.25">
      <c r="A1738" s="10">
        <v>45696</v>
      </c>
      <c r="B1738" t="s">
        <v>29</v>
      </c>
      <c r="C1738" t="s">
        <v>12</v>
      </c>
      <c r="D1738" t="s">
        <v>23</v>
      </c>
      <c r="E1738" t="s">
        <v>20</v>
      </c>
      <c r="F1738" t="s">
        <v>21</v>
      </c>
      <c r="G1738" t="s">
        <v>22</v>
      </c>
      <c r="H1738">
        <v>30000</v>
      </c>
      <c r="I1738">
        <v>9</v>
      </c>
      <c r="J1738" t="s">
        <v>17</v>
      </c>
      <c r="K1738">
        <v>24000</v>
      </c>
    </row>
    <row r="1739" spans="1:11" x14ac:dyDescent="0.25">
      <c r="A1739" s="10">
        <v>45757</v>
      </c>
      <c r="B1739" t="s">
        <v>25</v>
      </c>
      <c r="C1739" t="s">
        <v>32</v>
      </c>
      <c r="D1739" t="s">
        <v>23</v>
      </c>
      <c r="E1739" t="s">
        <v>20</v>
      </c>
      <c r="F1739" t="s">
        <v>21</v>
      </c>
      <c r="G1739" t="s">
        <v>22</v>
      </c>
      <c r="H1739">
        <v>30000</v>
      </c>
      <c r="I1739">
        <v>3</v>
      </c>
      <c r="J1739" t="s">
        <v>17</v>
      </c>
      <c r="K1739">
        <v>24000</v>
      </c>
    </row>
    <row r="1740" spans="1:11" x14ac:dyDescent="0.25">
      <c r="A1740" s="10">
        <v>45678</v>
      </c>
      <c r="B1740" t="s">
        <v>25</v>
      </c>
      <c r="C1740" t="s">
        <v>12</v>
      </c>
      <c r="D1740" t="s">
        <v>23</v>
      </c>
      <c r="E1740" t="s">
        <v>20</v>
      </c>
      <c r="F1740" t="s">
        <v>36</v>
      </c>
      <c r="G1740" t="s">
        <v>31</v>
      </c>
      <c r="H1740">
        <v>150000</v>
      </c>
      <c r="I1740">
        <v>8</v>
      </c>
      <c r="J1740" t="s">
        <v>28</v>
      </c>
      <c r="K1740">
        <v>120000</v>
      </c>
    </row>
    <row r="1741" spans="1:11" x14ac:dyDescent="0.25">
      <c r="A1741" s="10">
        <v>45707</v>
      </c>
      <c r="B1741" t="s">
        <v>29</v>
      </c>
      <c r="C1741" t="s">
        <v>26</v>
      </c>
      <c r="D1741" t="s">
        <v>13</v>
      </c>
      <c r="E1741" t="s">
        <v>20</v>
      </c>
      <c r="F1741" t="s">
        <v>15</v>
      </c>
      <c r="G1741" t="s">
        <v>16</v>
      </c>
      <c r="H1741">
        <v>85000</v>
      </c>
      <c r="I1741">
        <v>4</v>
      </c>
      <c r="J1741" t="s">
        <v>24</v>
      </c>
      <c r="K1741">
        <v>68000</v>
      </c>
    </row>
    <row r="1742" spans="1:11" x14ac:dyDescent="0.25">
      <c r="A1742" s="10">
        <v>45733</v>
      </c>
      <c r="B1742" t="s">
        <v>11</v>
      </c>
      <c r="C1742" t="s">
        <v>26</v>
      </c>
      <c r="D1742" t="s">
        <v>23</v>
      </c>
      <c r="E1742" t="s">
        <v>20</v>
      </c>
      <c r="F1742" t="s">
        <v>34</v>
      </c>
      <c r="G1742" t="s">
        <v>16</v>
      </c>
      <c r="H1742">
        <v>320000</v>
      </c>
      <c r="I1742">
        <v>3</v>
      </c>
      <c r="J1742" t="s">
        <v>28</v>
      </c>
      <c r="K1742">
        <v>256000</v>
      </c>
    </row>
    <row r="1743" spans="1:11" x14ac:dyDescent="0.25">
      <c r="A1743" s="10">
        <v>45745</v>
      </c>
      <c r="B1743" t="s">
        <v>18</v>
      </c>
      <c r="C1743" t="s">
        <v>32</v>
      </c>
      <c r="D1743" t="s">
        <v>13</v>
      </c>
      <c r="E1743" t="s">
        <v>14</v>
      </c>
      <c r="F1743" t="s">
        <v>27</v>
      </c>
      <c r="G1743" t="s">
        <v>22</v>
      </c>
      <c r="H1743">
        <v>60000</v>
      </c>
      <c r="I1743">
        <v>7</v>
      </c>
      <c r="J1743" t="s">
        <v>24</v>
      </c>
      <c r="K1743">
        <v>48000</v>
      </c>
    </row>
    <row r="1744" spans="1:11" x14ac:dyDescent="0.25">
      <c r="A1744" s="10">
        <v>45737</v>
      </c>
      <c r="B1744" t="s">
        <v>18</v>
      </c>
      <c r="C1744" t="s">
        <v>32</v>
      </c>
      <c r="D1744" t="s">
        <v>23</v>
      </c>
      <c r="E1744" t="s">
        <v>20</v>
      </c>
      <c r="F1744" t="s">
        <v>30</v>
      </c>
      <c r="G1744" t="s">
        <v>31</v>
      </c>
      <c r="H1744">
        <v>300000</v>
      </c>
      <c r="I1744">
        <v>6</v>
      </c>
      <c r="J1744" t="s">
        <v>24</v>
      </c>
      <c r="K1744">
        <v>240000</v>
      </c>
    </row>
    <row r="1745" spans="1:11" x14ac:dyDescent="0.25">
      <c r="A1745" s="10">
        <v>45719</v>
      </c>
      <c r="B1745" t="s">
        <v>25</v>
      </c>
      <c r="C1745" t="s">
        <v>32</v>
      </c>
      <c r="D1745" t="s">
        <v>13</v>
      </c>
      <c r="E1745" t="s">
        <v>14</v>
      </c>
      <c r="F1745" t="s">
        <v>36</v>
      </c>
      <c r="G1745" t="s">
        <v>31</v>
      </c>
      <c r="H1745">
        <v>150000</v>
      </c>
      <c r="I1745">
        <v>6</v>
      </c>
      <c r="J1745" t="s">
        <v>35</v>
      </c>
      <c r="K1745">
        <v>120000</v>
      </c>
    </row>
    <row r="1746" spans="1:11" x14ac:dyDescent="0.25">
      <c r="A1746" s="10">
        <v>45670</v>
      </c>
      <c r="B1746" t="s">
        <v>25</v>
      </c>
      <c r="C1746" t="s">
        <v>12</v>
      </c>
      <c r="D1746" t="s">
        <v>23</v>
      </c>
      <c r="E1746" t="s">
        <v>14</v>
      </c>
      <c r="F1746" t="s">
        <v>30</v>
      </c>
      <c r="G1746" t="s">
        <v>31</v>
      </c>
      <c r="H1746">
        <v>300000</v>
      </c>
      <c r="I1746">
        <v>10</v>
      </c>
      <c r="J1746" t="s">
        <v>28</v>
      </c>
      <c r="K1746">
        <v>240000</v>
      </c>
    </row>
    <row r="1747" spans="1:11" x14ac:dyDescent="0.25">
      <c r="A1747" s="10">
        <v>45707</v>
      </c>
      <c r="B1747" t="s">
        <v>18</v>
      </c>
      <c r="C1747" t="s">
        <v>19</v>
      </c>
      <c r="D1747" t="s">
        <v>13</v>
      </c>
      <c r="E1747" t="s">
        <v>14</v>
      </c>
      <c r="F1747" t="s">
        <v>38</v>
      </c>
      <c r="G1747" t="s">
        <v>31</v>
      </c>
      <c r="H1747">
        <v>420000</v>
      </c>
      <c r="I1747">
        <v>1</v>
      </c>
      <c r="J1747" t="s">
        <v>17</v>
      </c>
      <c r="K1747">
        <v>336000</v>
      </c>
    </row>
    <row r="1748" spans="1:11" x14ac:dyDescent="0.25">
      <c r="A1748" s="10">
        <v>45737</v>
      </c>
      <c r="B1748" t="s">
        <v>11</v>
      </c>
      <c r="C1748" t="s">
        <v>12</v>
      </c>
      <c r="D1748" t="s">
        <v>13</v>
      </c>
      <c r="E1748" t="s">
        <v>20</v>
      </c>
      <c r="F1748" t="s">
        <v>27</v>
      </c>
      <c r="G1748" t="s">
        <v>22</v>
      </c>
      <c r="H1748">
        <v>60000</v>
      </c>
      <c r="I1748">
        <v>1</v>
      </c>
      <c r="J1748" t="s">
        <v>24</v>
      </c>
      <c r="K1748">
        <v>48000</v>
      </c>
    </row>
    <row r="1749" spans="1:11" x14ac:dyDescent="0.25">
      <c r="A1749" s="10">
        <v>45711</v>
      </c>
      <c r="B1749" t="s">
        <v>29</v>
      </c>
      <c r="C1749" t="s">
        <v>19</v>
      </c>
      <c r="D1749" t="s">
        <v>13</v>
      </c>
      <c r="E1749" t="s">
        <v>14</v>
      </c>
      <c r="F1749" t="s">
        <v>36</v>
      </c>
      <c r="G1749" t="s">
        <v>31</v>
      </c>
      <c r="H1749">
        <v>150000</v>
      </c>
      <c r="I1749">
        <v>10</v>
      </c>
      <c r="J1749" t="s">
        <v>39</v>
      </c>
      <c r="K1749">
        <v>120000</v>
      </c>
    </row>
    <row r="1750" spans="1:11" x14ac:dyDescent="0.25">
      <c r="A1750" s="10">
        <v>45663</v>
      </c>
      <c r="B1750" t="s">
        <v>11</v>
      </c>
      <c r="C1750" t="s">
        <v>32</v>
      </c>
      <c r="D1750" t="s">
        <v>13</v>
      </c>
      <c r="E1750" t="s">
        <v>14</v>
      </c>
      <c r="F1750" t="s">
        <v>33</v>
      </c>
      <c r="G1750" t="s">
        <v>22</v>
      </c>
      <c r="H1750">
        <v>180000</v>
      </c>
      <c r="I1750">
        <v>10</v>
      </c>
      <c r="J1750" t="s">
        <v>28</v>
      </c>
      <c r="K1750">
        <v>144000</v>
      </c>
    </row>
    <row r="1751" spans="1:11" x14ac:dyDescent="0.25">
      <c r="A1751" s="10">
        <v>45747</v>
      </c>
      <c r="B1751" t="s">
        <v>25</v>
      </c>
      <c r="C1751" t="s">
        <v>12</v>
      </c>
      <c r="D1751" t="s">
        <v>23</v>
      </c>
      <c r="E1751" t="s">
        <v>14</v>
      </c>
      <c r="F1751" t="s">
        <v>36</v>
      </c>
      <c r="G1751" t="s">
        <v>31</v>
      </c>
      <c r="H1751">
        <v>150000</v>
      </c>
      <c r="I1751">
        <v>10</v>
      </c>
      <c r="J1751" t="s">
        <v>24</v>
      </c>
      <c r="K1751">
        <v>120000</v>
      </c>
    </row>
    <row r="1752" spans="1:11" x14ac:dyDescent="0.25">
      <c r="A1752" s="10">
        <v>45665</v>
      </c>
      <c r="B1752" t="s">
        <v>18</v>
      </c>
      <c r="C1752" t="s">
        <v>12</v>
      </c>
      <c r="D1752" t="s">
        <v>23</v>
      </c>
      <c r="E1752" t="s">
        <v>20</v>
      </c>
      <c r="F1752" t="s">
        <v>27</v>
      </c>
      <c r="G1752" t="s">
        <v>22</v>
      </c>
      <c r="H1752">
        <v>60000</v>
      </c>
      <c r="I1752">
        <v>8</v>
      </c>
      <c r="J1752" t="s">
        <v>39</v>
      </c>
      <c r="K1752">
        <v>48000</v>
      </c>
    </row>
    <row r="1753" spans="1:11" x14ac:dyDescent="0.25">
      <c r="A1753" s="10">
        <v>45666</v>
      </c>
      <c r="B1753" t="s">
        <v>29</v>
      </c>
      <c r="C1753" t="s">
        <v>12</v>
      </c>
      <c r="D1753" t="s">
        <v>13</v>
      </c>
      <c r="E1753" t="s">
        <v>14</v>
      </c>
      <c r="F1753" t="s">
        <v>41</v>
      </c>
      <c r="G1753" t="s">
        <v>22</v>
      </c>
      <c r="H1753">
        <v>220000</v>
      </c>
      <c r="I1753">
        <v>7</v>
      </c>
      <c r="J1753" t="s">
        <v>37</v>
      </c>
      <c r="K1753">
        <v>176000</v>
      </c>
    </row>
    <row r="1754" spans="1:11" x14ac:dyDescent="0.25">
      <c r="A1754" s="10">
        <v>45727</v>
      </c>
      <c r="B1754" t="s">
        <v>18</v>
      </c>
      <c r="C1754" t="s">
        <v>32</v>
      </c>
      <c r="D1754" t="s">
        <v>13</v>
      </c>
      <c r="E1754" t="s">
        <v>14</v>
      </c>
      <c r="F1754" t="s">
        <v>21</v>
      </c>
      <c r="G1754" t="s">
        <v>22</v>
      </c>
      <c r="H1754">
        <v>30000</v>
      </c>
      <c r="I1754">
        <v>1</v>
      </c>
      <c r="J1754" t="s">
        <v>35</v>
      </c>
      <c r="K1754">
        <v>24000</v>
      </c>
    </row>
    <row r="1755" spans="1:11" x14ac:dyDescent="0.25">
      <c r="A1755" s="10">
        <v>45717</v>
      </c>
      <c r="B1755" t="s">
        <v>18</v>
      </c>
      <c r="C1755" t="s">
        <v>19</v>
      </c>
      <c r="D1755" t="s">
        <v>23</v>
      </c>
      <c r="E1755" t="s">
        <v>20</v>
      </c>
      <c r="F1755" t="s">
        <v>36</v>
      </c>
      <c r="G1755" t="s">
        <v>31</v>
      </c>
      <c r="H1755">
        <v>150000</v>
      </c>
      <c r="I1755">
        <v>6</v>
      </c>
      <c r="J1755" t="s">
        <v>17</v>
      </c>
      <c r="K1755">
        <v>120000</v>
      </c>
    </row>
    <row r="1756" spans="1:11" x14ac:dyDescent="0.25">
      <c r="A1756" s="10">
        <v>45701</v>
      </c>
      <c r="B1756" t="s">
        <v>25</v>
      </c>
      <c r="C1756" t="s">
        <v>32</v>
      </c>
      <c r="D1756" t="s">
        <v>13</v>
      </c>
      <c r="E1756" t="s">
        <v>20</v>
      </c>
      <c r="F1756" t="s">
        <v>21</v>
      </c>
      <c r="G1756" t="s">
        <v>22</v>
      </c>
      <c r="H1756">
        <v>30000</v>
      </c>
      <c r="I1756">
        <v>4</v>
      </c>
      <c r="J1756" t="s">
        <v>17</v>
      </c>
      <c r="K1756">
        <v>24000</v>
      </c>
    </row>
    <row r="1757" spans="1:11" x14ac:dyDescent="0.25">
      <c r="A1757" s="10">
        <v>45699</v>
      </c>
      <c r="B1757" t="s">
        <v>25</v>
      </c>
      <c r="C1757" t="s">
        <v>26</v>
      </c>
      <c r="D1757" t="s">
        <v>23</v>
      </c>
      <c r="E1757" t="s">
        <v>14</v>
      </c>
      <c r="F1757" t="s">
        <v>41</v>
      </c>
      <c r="G1757" t="s">
        <v>22</v>
      </c>
      <c r="H1757">
        <v>220000</v>
      </c>
      <c r="I1757">
        <v>1</v>
      </c>
      <c r="J1757" t="s">
        <v>28</v>
      </c>
      <c r="K1757">
        <v>176000</v>
      </c>
    </row>
    <row r="1758" spans="1:11" x14ac:dyDescent="0.25">
      <c r="A1758" s="10">
        <v>45743</v>
      </c>
      <c r="B1758" t="s">
        <v>25</v>
      </c>
      <c r="C1758" t="s">
        <v>19</v>
      </c>
      <c r="D1758" t="s">
        <v>13</v>
      </c>
      <c r="E1758" t="s">
        <v>14</v>
      </c>
      <c r="F1758" t="s">
        <v>27</v>
      </c>
      <c r="G1758" t="s">
        <v>22</v>
      </c>
      <c r="H1758">
        <v>60000</v>
      </c>
      <c r="I1758">
        <v>6</v>
      </c>
      <c r="J1758" t="s">
        <v>24</v>
      </c>
      <c r="K1758">
        <v>48000</v>
      </c>
    </row>
    <row r="1759" spans="1:11" x14ac:dyDescent="0.25">
      <c r="A1759" s="10">
        <v>45745</v>
      </c>
      <c r="B1759" t="s">
        <v>25</v>
      </c>
      <c r="C1759" t="s">
        <v>12</v>
      </c>
      <c r="D1759" t="s">
        <v>23</v>
      </c>
      <c r="E1759" t="s">
        <v>20</v>
      </c>
      <c r="F1759" t="s">
        <v>40</v>
      </c>
      <c r="G1759" t="s">
        <v>31</v>
      </c>
      <c r="H1759">
        <v>250000</v>
      </c>
      <c r="I1759">
        <v>7</v>
      </c>
      <c r="J1759" t="s">
        <v>39</v>
      </c>
      <c r="K1759">
        <v>200000</v>
      </c>
    </row>
    <row r="1760" spans="1:11" x14ac:dyDescent="0.25">
      <c r="A1760" s="10">
        <v>45759</v>
      </c>
      <c r="B1760" t="s">
        <v>18</v>
      </c>
      <c r="C1760" t="s">
        <v>26</v>
      </c>
      <c r="D1760" t="s">
        <v>23</v>
      </c>
      <c r="E1760" t="s">
        <v>14</v>
      </c>
      <c r="F1760" t="s">
        <v>41</v>
      </c>
      <c r="G1760" t="s">
        <v>22</v>
      </c>
      <c r="H1760">
        <v>220000</v>
      </c>
      <c r="I1760">
        <v>9</v>
      </c>
      <c r="J1760" t="s">
        <v>35</v>
      </c>
      <c r="K1760">
        <v>176000</v>
      </c>
    </row>
    <row r="1761" spans="1:11" x14ac:dyDescent="0.25">
      <c r="A1761" s="10">
        <v>45770</v>
      </c>
      <c r="B1761" t="s">
        <v>25</v>
      </c>
      <c r="C1761" t="s">
        <v>26</v>
      </c>
      <c r="D1761" t="s">
        <v>23</v>
      </c>
      <c r="E1761" t="s">
        <v>14</v>
      </c>
      <c r="F1761" t="s">
        <v>21</v>
      </c>
      <c r="G1761" t="s">
        <v>22</v>
      </c>
      <c r="H1761">
        <v>30000</v>
      </c>
      <c r="I1761">
        <v>10</v>
      </c>
      <c r="J1761" t="s">
        <v>28</v>
      </c>
      <c r="K1761">
        <v>24000</v>
      </c>
    </row>
    <row r="1762" spans="1:11" x14ac:dyDescent="0.25">
      <c r="A1762" s="10">
        <v>45760</v>
      </c>
      <c r="B1762" t="s">
        <v>18</v>
      </c>
      <c r="C1762" t="s">
        <v>26</v>
      </c>
      <c r="D1762" t="s">
        <v>13</v>
      </c>
      <c r="E1762" t="s">
        <v>14</v>
      </c>
      <c r="F1762" t="s">
        <v>36</v>
      </c>
      <c r="G1762" t="s">
        <v>31</v>
      </c>
      <c r="H1762">
        <v>150000</v>
      </c>
      <c r="I1762">
        <v>1</v>
      </c>
      <c r="J1762" t="s">
        <v>24</v>
      </c>
      <c r="K1762">
        <v>120000</v>
      </c>
    </row>
    <row r="1763" spans="1:11" x14ac:dyDescent="0.25">
      <c r="A1763" s="10">
        <v>45672</v>
      </c>
      <c r="B1763" t="s">
        <v>29</v>
      </c>
      <c r="C1763" t="s">
        <v>12</v>
      </c>
      <c r="D1763" t="s">
        <v>13</v>
      </c>
      <c r="E1763" t="s">
        <v>14</v>
      </c>
      <c r="F1763" t="s">
        <v>33</v>
      </c>
      <c r="G1763" t="s">
        <v>22</v>
      </c>
      <c r="H1763">
        <v>180000</v>
      </c>
      <c r="I1763">
        <v>3</v>
      </c>
      <c r="J1763" t="s">
        <v>35</v>
      </c>
      <c r="K1763">
        <v>144000</v>
      </c>
    </row>
    <row r="1764" spans="1:11" x14ac:dyDescent="0.25">
      <c r="A1764" s="10">
        <v>45743</v>
      </c>
      <c r="B1764" t="s">
        <v>25</v>
      </c>
      <c r="C1764" t="s">
        <v>12</v>
      </c>
      <c r="D1764" t="s">
        <v>23</v>
      </c>
      <c r="E1764" t="s">
        <v>14</v>
      </c>
      <c r="F1764" t="s">
        <v>38</v>
      </c>
      <c r="G1764" t="s">
        <v>31</v>
      </c>
      <c r="H1764">
        <v>420000</v>
      </c>
      <c r="I1764">
        <v>10</v>
      </c>
      <c r="J1764" t="s">
        <v>35</v>
      </c>
      <c r="K1764">
        <v>336000</v>
      </c>
    </row>
    <row r="1765" spans="1:11" x14ac:dyDescent="0.25">
      <c r="A1765" s="10">
        <v>45778</v>
      </c>
      <c r="B1765" t="s">
        <v>29</v>
      </c>
      <c r="C1765" t="s">
        <v>12</v>
      </c>
      <c r="D1765" t="s">
        <v>23</v>
      </c>
      <c r="E1765" t="s">
        <v>14</v>
      </c>
      <c r="F1765" t="s">
        <v>15</v>
      </c>
      <c r="G1765" t="s">
        <v>16</v>
      </c>
      <c r="H1765">
        <v>85000</v>
      </c>
      <c r="I1765">
        <v>2</v>
      </c>
      <c r="J1765" t="s">
        <v>37</v>
      </c>
      <c r="K1765">
        <v>68000</v>
      </c>
    </row>
    <row r="1766" spans="1:11" x14ac:dyDescent="0.25">
      <c r="A1766" s="10">
        <v>45737</v>
      </c>
      <c r="B1766" t="s">
        <v>11</v>
      </c>
      <c r="C1766" t="s">
        <v>26</v>
      </c>
      <c r="D1766" t="s">
        <v>23</v>
      </c>
      <c r="E1766" t="s">
        <v>14</v>
      </c>
      <c r="F1766" t="s">
        <v>27</v>
      </c>
      <c r="G1766" t="s">
        <v>22</v>
      </c>
      <c r="H1766">
        <v>60000</v>
      </c>
      <c r="I1766">
        <v>4</v>
      </c>
      <c r="J1766" t="s">
        <v>37</v>
      </c>
      <c r="K1766">
        <v>48000</v>
      </c>
    </row>
    <row r="1767" spans="1:11" x14ac:dyDescent="0.25">
      <c r="A1767" s="10">
        <v>45669</v>
      </c>
      <c r="B1767" t="s">
        <v>29</v>
      </c>
      <c r="C1767" t="s">
        <v>19</v>
      </c>
      <c r="D1767" t="s">
        <v>23</v>
      </c>
      <c r="E1767" t="s">
        <v>14</v>
      </c>
      <c r="F1767" t="s">
        <v>36</v>
      </c>
      <c r="G1767" t="s">
        <v>31</v>
      </c>
      <c r="H1767">
        <v>150000</v>
      </c>
      <c r="I1767">
        <v>9</v>
      </c>
      <c r="J1767" t="s">
        <v>37</v>
      </c>
      <c r="K1767">
        <v>120000</v>
      </c>
    </row>
    <row r="1768" spans="1:11" x14ac:dyDescent="0.25">
      <c r="A1768" s="10">
        <v>45671</v>
      </c>
      <c r="B1768" t="s">
        <v>25</v>
      </c>
      <c r="C1768" t="s">
        <v>32</v>
      </c>
      <c r="D1768" t="s">
        <v>13</v>
      </c>
      <c r="E1768" t="s">
        <v>20</v>
      </c>
      <c r="F1768" t="s">
        <v>38</v>
      </c>
      <c r="G1768" t="s">
        <v>31</v>
      </c>
      <c r="H1768">
        <v>420000</v>
      </c>
      <c r="I1768">
        <v>1</v>
      </c>
      <c r="J1768" t="s">
        <v>35</v>
      </c>
      <c r="K1768">
        <v>336000</v>
      </c>
    </row>
    <row r="1769" spans="1:11" x14ac:dyDescent="0.25">
      <c r="A1769" s="10">
        <v>45759</v>
      </c>
      <c r="B1769" t="s">
        <v>18</v>
      </c>
      <c r="C1769" t="s">
        <v>19</v>
      </c>
      <c r="D1769" t="s">
        <v>13</v>
      </c>
      <c r="E1769" t="s">
        <v>14</v>
      </c>
      <c r="F1769" t="s">
        <v>38</v>
      </c>
      <c r="G1769" t="s">
        <v>31</v>
      </c>
      <c r="H1769">
        <v>420000</v>
      </c>
      <c r="I1769">
        <v>9</v>
      </c>
      <c r="J1769" t="s">
        <v>37</v>
      </c>
      <c r="K1769">
        <v>336000</v>
      </c>
    </row>
    <row r="1770" spans="1:11" x14ac:dyDescent="0.25">
      <c r="A1770" s="10">
        <v>45677</v>
      </c>
      <c r="B1770" t="s">
        <v>11</v>
      </c>
      <c r="C1770" t="s">
        <v>32</v>
      </c>
      <c r="D1770" t="s">
        <v>23</v>
      </c>
      <c r="E1770" t="s">
        <v>20</v>
      </c>
      <c r="F1770" t="s">
        <v>38</v>
      </c>
      <c r="G1770" t="s">
        <v>31</v>
      </c>
      <c r="H1770">
        <v>420000</v>
      </c>
      <c r="I1770">
        <v>9</v>
      </c>
      <c r="J1770" t="s">
        <v>39</v>
      </c>
      <c r="K1770">
        <v>336000</v>
      </c>
    </row>
    <row r="1771" spans="1:11" x14ac:dyDescent="0.25">
      <c r="A1771" s="10">
        <v>45661</v>
      </c>
      <c r="B1771" t="s">
        <v>11</v>
      </c>
      <c r="C1771" t="s">
        <v>32</v>
      </c>
      <c r="D1771" t="s">
        <v>13</v>
      </c>
      <c r="E1771" t="s">
        <v>20</v>
      </c>
      <c r="F1771" t="s">
        <v>15</v>
      </c>
      <c r="G1771" t="s">
        <v>16</v>
      </c>
      <c r="H1771">
        <v>85000</v>
      </c>
      <c r="I1771">
        <v>6</v>
      </c>
      <c r="J1771" t="s">
        <v>24</v>
      </c>
      <c r="K1771">
        <v>68000</v>
      </c>
    </row>
    <row r="1772" spans="1:11" x14ac:dyDescent="0.25">
      <c r="A1772" s="10">
        <v>45733</v>
      </c>
      <c r="B1772" t="s">
        <v>29</v>
      </c>
      <c r="C1772" t="s">
        <v>32</v>
      </c>
      <c r="D1772" t="s">
        <v>23</v>
      </c>
      <c r="E1772" t="s">
        <v>14</v>
      </c>
      <c r="F1772" t="s">
        <v>34</v>
      </c>
      <c r="G1772" t="s">
        <v>16</v>
      </c>
      <c r="H1772">
        <v>320000</v>
      </c>
      <c r="I1772">
        <v>3</v>
      </c>
      <c r="J1772" t="s">
        <v>35</v>
      </c>
      <c r="K1772">
        <v>256000</v>
      </c>
    </row>
    <row r="1773" spans="1:11" x14ac:dyDescent="0.25">
      <c r="A1773" s="10">
        <v>45694</v>
      </c>
      <c r="B1773" t="s">
        <v>29</v>
      </c>
      <c r="C1773" t="s">
        <v>19</v>
      </c>
      <c r="D1773" t="s">
        <v>23</v>
      </c>
      <c r="E1773" t="s">
        <v>14</v>
      </c>
      <c r="F1773" t="s">
        <v>33</v>
      </c>
      <c r="G1773" t="s">
        <v>22</v>
      </c>
      <c r="H1773">
        <v>180000</v>
      </c>
      <c r="I1773">
        <v>8</v>
      </c>
      <c r="J1773" t="s">
        <v>28</v>
      </c>
      <c r="K1773">
        <v>144000</v>
      </c>
    </row>
    <row r="1774" spans="1:11" x14ac:dyDescent="0.25">
      <c r="A1774" s="10">
        <v>45668</v>
      </c>
      <c r="B1774" t="s">
        <v>11</v>
      </c>
      <c r="C1774" t="s">
        <v>12</v>
      </c>
      <c r="D1774" t="s">
        <v>13</v>
      </c>
      <c r="E1774" t="s">
        <v>14</v>
      </c>
      <c r="F1774" t="s">
        <v>15</v>
      </c>
      <c r="G1774" t="s">
        <v>16</v>
      </c>
      <c r="H1774">
        <v>85000</v>
      </c>
      <c r="I1774">
        <v>6</v>
      </c>
      <c r="J1774" t="s">
        <v>35</v>
      </c>
      <c r="K1774">
        <v>68000</v>
      </c>
    </row>
    <row r="1775" spans="1:11" x14ac:dyDescent="0.25">
      <c r="A1775" s="10">
        <v>45684</v>
      </c>
      <c r="B1775" t="s">
        <v>11</v>
      </c>
      <c r="C1775" t="s">
        <v>32</v>
      </c>
      <c r="D1775" t="s">
        <v>13</v>
      </c>
      <c r="E1775" t="s">
        <v>14</v>
      </c>
      <c r="F1775" t="s">
        <v>30</v>
      </c>
      <c r="G1775" t="s">
        <v>31</v>
      </c>
      <c r="H1775">
        <v>300000</v>
      </c>
      <c r="I1775">
        <v>3</v>
      </c>
      <c r="J1775" t="s">
        <v>17</v>
      </c>
      <c r="K1775">
        <v>240000</v>
      </c>
    </row>
    <row r="1776" spans="1:11" x14ac:dyDescent="0.25">
      <c r="A1776" s="10">
        <v>45730</v>
      </c>
      <c r="B1776" t="s">
        <v>29</v>
      </c>
      <c r="C1776" t="s">
        <v>12</v>
      </c>
      <c r="D1776" t="s">
        <v>23</v>
      </c>
      <c r="E1776" t="s">
        <v>20</v>
      </c>
      <c r="F1776" t="s">
        <v>33</v>
      </c>
      <c r="G1776" t="s">
        <v>22</v>
      </c>
      <c r="H1776">
        <v>180000</v>
      </c>
      <c r="I1776">
        <v>1</v>
      </c>
      <c r="J1776" t="s">
        <v>28</v>
      </c>
      <c r="K1776">
        <v>144000</v>
      </c>
    </row>
    <row r="1777" spans="1:11" x14ac:dyDescent="0.25">
      <c r="A1777" s="10">
        <v>45664</v>
      </c>
      <c r="B1777" t="s">
        <v>18</v>
      </c>
      <c r="C1777" t="s">
        <v>26</v>
      </c>
      <c r="D1777" t="s">
        <v>13</v>
      </c>
      <c r="E1777" t="s">
        <v>14</v>
      </c>
      <c r="F1777" t="s">
        <v>41</v>
      </c>
      <c r="G1777" t="s">
        <v>22</v>
      </c>
      <c r="H1777">
        <v>220000</v>
      </c>
      <c r="I1777">
        <v>1</v>
      </c>
      <c r="J1777" t="s">
        <v>37</v>
      </c>
      <c r="K1777">
        <v>176000</v>
      </c>
    </row>
    <row r="1778" spans="1:11" x14ac:dyDescent="0.25">
      <c r="A1778" s="10">
        <v>45681</v>
      </c>
      <c r="B1778" t="s">
        <v>25</v>
      </c>
      <c r="C1778" t="s">
        <v>32</v>
      </c>
      <c r="D1778" t="s">
        <v>13</v>
      </c>
      <c r="E1778" t="s">
        <v>20</v>
      </c>
      <c r="F1778" t="s">
        <v>21</v>
      </c>
      <c r="G1778" t="s">
        <v>22</v>
      </c>
      <c r="H1778">
        <v>30000</v>
      </c>
      <c r="I1778">
        <v>1</v>
      </c>
      <c r="J1778" t="s">
        <v>37</v>
      </c>
      <c r="K1778">
        <v>24000</v>
      </c>
    </row>
    <row r="1779" spans="1:11" x14ac:dyDescent="0.25">
      <c r="A1779" s="10">
        <v>45669</v>
      </c>
      <c r="B1779" t="s">
        <v>18</v>
      </c>
      <c r="C1779" t="s">
        <v>12</v>
      </c>
      <c r="D1779" t="s">
        <v>23</v>
      </c>
      <c r="E1779" t="s">
        <v>20</v>
      </c>
      <c r="F1779" t="s">
        <v>27</v>
      </c>
      <c r="G1779" t="s">
        <v>22</v>
      </c>
      <c r="H1779">
        <v>60000</v>
      </c>
      <c r="I1779">
        <v>2</v>
      </c>
      <c r="J1779" t="s">
        <v>39</v>
      </c>
      <c r="K1779">
        <v>48000</v>
      </c>
    </row>
    <row r="1780" spans="1:11" x14ac:dyDescent="0.25">
      <c r="A1780" s="10">
        <v>45719</v>
      </c>
      <c r="B1780" t="s">
        <v>11</v>
      </c>
      <c r="C1780" t="s">
        <v>19</v>
      </c>
      <c r="D1780" t="s">
        <v>13</v>
      </c>
      <c r="E1780" t="s">
        <v>20</v>
      </c>
      <c r="F1780" t="s">
        <v>40</v>
      </c>
      <c r="G1780" t="s">
        <v>31</v>
      </c>
      <c r="H1780">
        <v>250000</v>
      </c>
      <c r="I1780">
        <v>7</v>
      </c>
      <c r="J1780" t="s">
        <v>37</v>
      </c>
      <c r="K1780">
        <v>200000</v>
      </c>
    </row>
    <row r="1781" spans="1:11" x14ac:dyDescent="0.25">
      <c r="A1781" s="10">
        <v>45682</v>
      </c>
      <c r="B1781" t="s">
        <v>11</v>
      </c>
      <c r="C1781" t="s">
        <v>26</v>
      </c>
      <c r="D1781" t="s">
        <v>23</v>
      </c>
      <c r="E1781" t="s">
        <v>14</v>
      </c>
      <c r="F1781" t="s">
        <v>38</v>
      </c>
      <c r="G1781" t="s">
        <v>31</v>
      </c>
      <c r="H1781">
        <v>420000</v>
      </c>
      <c r="I1781">
        <v>10</v>
      </c>
      <c r="J1781" t="s">
        <v>28</v>
      </c>
      <c r="K1781">
        <v>336000</v>
      </c>
    </row>
    <row r="1782" spans="1:11" x14ac:dyDescent="0.25">
      <c r="A1782" s="10">
        <v>45742</v>
      </c>
      <c r="B1782" t="s">
        <v>11</v>
      </c>
      <c r="C1782" t="s">
        <v>12</v>
      </c>
      <c r="D1782" t="s">
        <v>23</v>
      </c>
      <c r="E1782" t="s">
        <v>14</v>
      </c>
      <c r="F1782" t="s">
        <v>34</v>
      </c>
      <c r="G1782" t="s">
        <v>16</v>
      </c>
      <c r="H1782">
        <v>320000</v>
      </c>
      <c r="I1782">
        <v>10</v>
      </c>
      <c r="J1782" t="s">
        <v>35</v>
      </c>
      <c r="K1782">
        <v>256000</v>
      </c>
    </row>
    <row r="1783" spans="1:11" x14ac:dyDescent="0.25">
      <c r="A1783" s="10">
        <v>45670</v>
      </c>
      <c r="B1783" t="s">
        <v>25</v>
      </c>
      <c r="C1783" t="s">
        <v>32</v>
      </c>
      <c r="D1783" t="s">
        <v>13</v>
      </c>
      <c r="E1783" t="s">
        <v>14</v>
      </c>
      <c r="F1783" t="s">
        <v>30</v>
      </c>
      <c r="G1783" t="s">
        <v>31</v>
      </c>
      <c r="H1783">
        <v>300000</v>
      </c>
      <c r="I1783">
        <v>1</v>
      </c>
      <c r="J1783" t="s">
        <v>28</v>
      </c>
      <c r="K1783">
        <v>240000</v>
      </c>
    </row>
    <row r="1784" spans="1:11" x14ac:dyDescent="0.25">
      <c r="A1784" s="10">
        <v>45726</v>
      </c>
      <c r="B1784" t="s">
        <v>25</v>
      </c>
      <c r="C1784" t="s">
        <v>26</v>
      </c>
      <c r="D1784" t="s">
        <v>23</v>
      </c>
      <c r="E1784" t="s">
        <v>20</v>
      </c>
      <c r="F1784" t="s">
        <v>36</v>
      </c>
      <c r="G1784" t="s">
        <v>31</v>
      </c>
      <c r="H1784">
        <v>150000</v>
      </c>
      <c r="I1784">
        <v>3</v>
      </c>
      <c r="J1784" t="s">
        <v>24</v>
      </c>
      <c r="K1784">
        <v>120000</v>
      </c>
    </row>
    <row r="1785" spans="1:11" x14ac:dyDescent="0.25">
      <c r="A1785" s="10">
        <v>45671</v>
      </c>
      <c r="B1785" t="s">
        <v>11</v>
      </c>
      <c r="C1785" t="s">
        <v>26</v>
      </c>
      <c r="D1785" t="s">
        <v>23</v>
      </c>
      <c r="E1785" t="s">
        <v>14</v>
      </c>
      <c r="F1785" t="s">
        <v>40</v>
      </c>
      <c r="G1785" t="s">
        <v>31</v>
      </c>
      <c r="H1785">
        <v>250000</v>
      </c>
      <c r="I1785">
        <v>3</v>
      </c>
      <c r="J1785" t="s">
        <v>37</v>
      </c>
      <c r="K1785">
        <v>200000</v>
      </c>
    </row>
    <row r="1786" spans="1:11" x14ac:dyDescent="0.25">
      <c r="A1786" s="10">
        <v>45677</v>
      </c>
      <c r="B1786" t="s">
        <v>29</v>
      </c>
      <c r="C1786" t="s">
        <v>19</v>
      </c>
      <c r="D1786" t="s">
        <v>13</v>
      </c>
      <c r="E1786" t="s">
        <v>20</v>
      </c>
      <c r="F1786" t="s">
        <v>38</v>
      </c>
      <c r="G1786" t="s">
        <v>31</v>
      </c>
      <c r="H1786">
        <v>420000</v>
      </c>
      <c r="I1786">
        <v>4</v>
      </c>
      <c r="J1786" t="s">
        <v>24</v>
      </c>
      <c r="K1786">
        <v>336000</v>
      </c>
    </row>
    <row r="1787" spans="1:11" x14ac:dyDescent="0.25">
      <c r="A1787" s="10">
        <v>45711</v>
      </c>
      <c r="B1787" t="s">
        <v>29</v>
      </c>
      <c r="C1787" t="s">
        <v>19</v>
      </c>
      <c r="D1787" t="s">
        <v>23</v>
      </c>
      <c r="E1787" t="s">
        <v>14</v>
      </c>
      <c r="F1787" t="s">
        <v>33</v>
      </c>
      <c r="G1787" t="s">
        <v>22</v>
      </c>
      <c r="H1787">
        <v>180000</v>
      </c>
      <c r="I1787">
        <v>1</v>
      </c>
      <c r="J1787" t="s">
        <v>17</v>
      </c>
      <c r="K1787">
        <v>144000</v>
      </c>
    </row>
    <row r="1788" spans="1:11" x14ac:dyDescent="0.25">
      <c r="A1788" s="10">
        <v>45724</v>
      </c>
      <c r="B1788" t="s">
        <v>29</v>
      </c>
      <c r="C1788" t="s">
        <v>12</v>
      </c>
      <c r="D1788" t="s">
        <v>23</v>
      </c>
      <c r="E1788" t="s">
        <v>20</v>
      </c>
      <c r="F1788" t="s">
        <v>36</v>
      </c>
      <c r="G1788" t="s">
        <v>31</v>
      </c>
      <c r="H1788">
        <v>150000</v>
      </c>
      <c r="I1788">
        <v>3</v>
      </c>
      <c r="J1788" t="s">
        <v>35</v>
      </c>
      <c r="K1788">
        <v>120000</v>
      </c>
    </row>
    <row r="1789" spans="1:11" x14ac:dyDescent="0.25">
      <c r="A1789" s="10">
        <v>45659</v>
      </c>
      <c r="B1789" t="s">
        <v>25</v>
      </c>
      <c r="C1789" t="s">
        <v>32</v>
      </c>
      <c r="D1789" t="s">
        <v>23</v>
      </c>
      <c r="E1789" t="s">
        <v>14</v>
      </c>
      <c r="F1789" t="s">
        <v>41</v>
      </c>
      <c r="G1789" t="s">
        <v>22</v>
      </c>
      <c r="H1789">
        <v>220000</v>
      </c>
      <c r="I1789">
        <v>9</v>
      </c>
      <c r="J1789" t="s">
        <v>28</v>
      </c>
      <c r="K1789">
        <v>176000</v>
      </c>
    </row>
    <row r="1790" spans="1:11" x14ac:dyDescent="0.25">
      <c r="A1790" s="10">
        <v>45692</v>
      </c>
      <c r="B1790" t="s">
        <v>29</v>
      </c>
      <c r="C1790" t="s">
        <v>26</v>
      </c>
      <c r="D1790" t="s">
        <v>23</v>
      </c>
      <c r="E1790" t="s">
        <v>14</v>
      </c>
      <c r="F1790" t="s">
        <v>38</v>
      </c>
      <c r="G1790" t="s">
        <v>31</v>
      </c>
      <c r="H1790">
        <v>420000</v>
      </c>
      <c r="I1790">
        <v>4</v>
      </c>
      <c r="J1790" t="s">
        <v>28</v>
      </c>
      <c r="K1790">
        <v>336000</v>
      </c>
    </row>
    <row r="1791" spans="1:11" x14ac:dyDescent="0.25">
      <c r="A1791" s="10">
        <v>45716</v>
      </c>
      <c r="B1791" t="s">
        <v>29</v>
      </c>
      <c r="C1791" t="s">
        <v>26</v>
      </c>
      <c r="D1791" t="s">
        <v>23</v>
      </c>
      <c r="E1791" t="s">
        <v>20</v>
      </c>
      <c r="F1791" t="s">
        <v>30</v>
      </c>
      <c r="G1791" t="s">
        <v>31</v>
      </c>
      <c r="H1791">
        <v>300000</v>
      </c>
      <c r="I1791">
        <v>2</v>
      </c>
      <c r="J1791" t="s">
        <v>39</v>
      </c>
      <c r="K1791">
        <v>240000</v>
      </c>
    </row>
    <row r="1792" spans="1:11" x14ac:dyDescent="0.25">
      <c r="A1792" s="10">
        <v>45770</v>
      </c>
      <c r="B1792" t="s">
        <v>18</v>
      </c>
      <c r="C1792" t="s">
        <v>19</v>
      </c>
      <c r="D1792" t="s">
        <v>23</v>
      </c>
      <c r="E1792" t="s">
        <v>20</v>
      </c>
      <c r="F1792" t="s">
        <v>15</v>
      </c>
      <c r="G1792" t="s">
        <v>16</v>
      </c>
      <c r="H1792">
        <v>85000</v>
      </c>
      <c r="I1792">
        <v>8</v>
      </c>
      <c r="J1792" t="s">
        <v>24</v>
      </c>
      <c r="K1792">
        <v>68000</v>
      </c>
    </row>
    <row r="1793" spans="1:11" x14ac:dyDescent="0.25">
      <c r="A1793" s="10">
        <v>45738</v>
      </c>
      <c r="B1793" t="s">
        <v>25</v>
      </c>
      <c r="C1793" t="s">
        <v>32</v>
      </c>
      <c r="D1793" t="s">
        <v>13</v>
      </c>
      <c r="E1793" t="s">
        <v>20</v>
      </c>
      <c r="F1793" t="s">
        <v>41</v>
      </c>
      <c r="G1793" t="s">
        <v>22</v>
      </c>
      <c r="H1793">
        <v>220000</v>
      </c>
      <c r="I1793">
        <v>10</v>
      </c>
      <c r="J1793" t="s">
        <v>28</v>
      </c>
      <c r="K1793">
        <v>176000</v>
      </c>
    </row>
    <row r="1794" spans="1:11" x14ac:dyDescent="0.25">
      <c r="A1794" s="10">
        <v>45665</v>
      </c>
      <c r="B1794" t="s">
        <v>11</v>
      </c>
      <c r="C1794" t="s">
        <v>12</v>
      </c>
      <c r="D1794" t="s">
        <v>13</v>
      </c>
      <c r="E1794" t="s">
        <v>20</v>
      </c>
      <c r="F1794" t="s">
        <v>41</v>
      </c>
      <c r="G1794" t="s">
        <v>22</v>
      </c>
      <c r="H1794">
        <v>220000</v>
      </c>
      <c r="I1794">
        <v>7</v>
      </c>
      <c r="J1794" t="s">
        <v>28</v>
      </c>
      <c r="K1794">
        <v>176000</v>
      </c>
    </row>
    <row r="1795" spans="1:11" x14ac:dyDescent="0.25">
      <c r="A1795" s="10">
        <v>45753</v>
      </c>
      <c r="B1795" t="s">
        <v>18</v>
      </c>
      <c r="C1795" t="s">
        <v>26</v>
      </c>
      <c r="D1795" t="s">
        <v>13</v>
      </c>
      <c r="E1795" t="s">
        <v>20</v>
      </c>
      <c r="F1795" t="s">
        <v>34</v>
      </c>
      <c r="G1795" t="s">
        <v>16</v>
      </c>
      <c r="H1795">
        <v>320000</v>
      </c>
      <c r="I1795">
        <v>10</v>
      </c>
      <c r="J1795" t="s">
        <v>28</v>
      </c>
      <c r="K1795">
        <v>256000</v>
      </c>
    </row>
    <row r="1796" spans="1:11" x14ac:dyDescent="0.25">
      <c r="A1796" s="10">
        <v>45695</v>
      </c>
      <c r="B1796" t="s">
        <v>11</v>
      </c>
      <c r="C1796" t="s">
        <v>19</v>
      </c>
      <c r="D1796" t="s">
        <v>23</v>
      </c>
      <c r="E1796" t="s">
        <v>14</v>
      </c>
      <c r="F1796" t="s">
        <v>33</v>
      </c>
      <c r="G1796" t="s">
        <v>22</v>
      </c>
      <c r="H1796">
        <v>180000</v>
      </c>
      <c r="I1796">
        <v>9</v>
      </c>
      <c r="J1796" t="s">
        <v>37</v>
      </c>
      <c r="K1796">
        <v>144000</v>
      </c>
    </row>
    <row r="1797" spans="1:11" x14ac:dyDescent="0.25">
      <c r="A1797" s="10">
        <v>45748</v>
      </c>
      <c r="B1797" t="s">
        <v>29</v>
      </c>
      <c r="C1797" t="s">
        <v>26</v>
      </c>
      <c r="D1797" t="s">
        <v>23</v>
      </c>
      <c r="E1797" t="s">
        <v>14</v>
      </c>
      <c r="F1797" t="s">
        <v>27</v>
      </c>
      <c r="G1797" t="s">
        <v>22</v>
      </c>
      <c r="H1797">
        <v>60000</v>
      </c>
      <c r="I1797">
        <v>4</v>
      </c>
      <c r="J1797" t="s">
        <v>39</v>
      </c>
      <c r="K1797">
        <v>48000</v>
      </c>
    </row>
    <row r="1798" spans="1:11" x14ac:dyDescent="0.25">
      <c r="A1798" s="10">
        <v>45713</v>
      </c>
      <c r="B1798" t="s">
        <v>25</v>
      </c>
      <c r="C1798" t="s">
        <v>26</v>
      </c>
      <c r="D1798" t="s">
        <v>23</v>
      </c>
      <c r="E1798" t="s">
        <v>20</v>
      </c>
      <c r="F1798" t="s">
        <v>40</v>
      </c>
      <c r="G1798" t="s">
        <v>31</v>
      </c>
      <c r="H1798">
        <v>250000</v>
      </c>
      <c r="I1798">
        <v>10</v>
      </c>
      <c r="J1798" t="s">
        <v>39</v>
      </c>
      <c r="K1798">
        <v>200000</v>
      </c>
    </row>
    <row r="1799" spans="1:11" x14ac:dyDescent="0.25">
      <c r="A1799" s="10">
        <v>45756</v>
      </c>
      <c r="B1799" t="s">
        <v>29</v>
      </c>
      <c r="C1799" t="s">
        <v>26</v>
      </c>
      <c r="D1799" t="s">
        <v>23</v>
      </c>
      <c r="E1799" t="s">
        <v>14</v>
      </c>
      <c r="F1799" t="s">
        <v>34</v>
      </c>
      <c r="G1799" t="s">
        <v>16</v>
      </c>
      <c r="H1799">
        <v>320000</v>
      </c>
      <c r="I1799">
        <v>2</v>
      </c>
      <c r="J1799" t="s">
        <v>28</v>
      </c>
      <c r="K1799">
        <v>256000</v>
      </c>
    </row>
    <row r="1800" spans="1:11" x14ac:dyDescent="0.25">
      <c r="A1800" s="10">
        <v>45741</v>
      </c>
      <c r="B1800" t="s">
        <v>25</v>
      </c>
      <c r="C1800" t="s">
        <v>32</v>
      </c>
      <c r="D1800" t="s">
        <v>23</v>
      </c>
      <c r="E1800" t="s">
        <v>20</v>
      </c>
      <c r="F1800" t="s">
        <v>38</v>
      </c>
      <c r="G1800" t="s">
        <v>31</v>
      </c>
      <c r="H1800">
        <v>420000</v>
      </c>
      <c r="I1800">
        <v>7</v>
      </c>
      <c r="J1800" t="s">
        <v>35</v>
      </c>
      <c r="K1800">
        <v>336000</v>
      </c>
    </row>
    <row r="1801" spans="1:11" x14ac:dyDescent="0.25">
      <c r="A1801" s="10">
        <v>45661</v>
      </c>
      <c r="B1801" t="s">
        <v>29</v>
      </c>
      <c r="C1801" t="s">
        <v>26</v>
      </c>
      <c r="D1801" t="s">
        <v>23</v>
      </c>
      <c r="E1801" t="s">
        <v>20</v>
      </c>
      <c r="F1801" t="s">
        <v>30</v>
      </c>
      <c r="G1801" t="s">
        <v>31</v>
      </c>
      <c r="H1801">
        <v>300000</v>
      </c>
      <c r="I1801">
        <v>5</v>
      </c>
      <c r="J1801" t="s">
        <v>35</v>
      </c>
      <c r="K1801">
        <v>240000</v>
      </c>
    </row>
    <row r="1802" spans="1:11" x14ac:dyDescent="0.25">
      <c r="A1802" s="10">
        <v>45751</v>
      </c>
      <c r="B1802" t="s">
        <v>25</v>
      </c>
      <c r="C1802" t="s">
        <v>12</v>
      </c>
      <c r="D1802" t="s">
        <v>23</v>
      </c>
      <c r="E1802" t="s">
        <v>20</v>
      </c>
      <c r="F1802" t="s">
        <v>27</v>
      </c>
      <c r="G1802" t="s">
        <v>22</v>
      </c>
      <c r="H1802">
        <v>60000</v>
      </c>
      <c r="I1802">
        <v>5</v>
      </c>
      <c r="J1802" t="s">
        <v>37</v>
      </c>
      <c r="K1802">
        <v>48000</v>
      </c>
    </row>
    <row r="1803" spans="1:11" x14ac:dyDescent="0.25">
      <c r="A1803" s="10">
        <v>45727</v>
      </c>
      <c r="B1803" t="s">
        <v>18</v>
      </c>
      <c r="C1803" t="s">
        <v>12</v>
      </c>
      <c r="D1803" t="s">
        <v>13</v>
      </c>
      <c r="E1803" t="s">
        <v>20</v>
      </c>
      <c r="F1803" t="s">
        <v>38</v>
      </c>
      <c r="G1803" t="s">
        <v>31</v>
      </c>
      <c r="H1803">
        <v>420000</v>
      </c>
      <c r="I1803">
        <v>9</v>
      </c>
      <c r="J1803" t="s">
        <v>28</v>
      </c>
      <c r="K1803">
        <v>336000</v>
      </c>
    </row>
    <row r="1804" spans="1:11" x14ac:dyDescent="0.25">
      <c r="A1804" s="10">
        <v>45668</v>
      </c>
      <c r="B1804" t="s">
        <v>25</v>
      </c>
      <c r="C1804" t="s">
        <v>12</v>
      </c>
      <c r="D1804" t="s">
        <v>13</v>
      </c>
      <c r="E1804" t="s">
        <v>20</v>
      </c>
      <c r="F1804" t="s">
        <v>40</v>
      </c>
      <c r="G1804" t="s">
        <v>31</v>
      </c>
      <c r="H1804">
        <v>250000</v>
      </c>
      <c r="I1804">
        <v>9</v>
      </c>
      <c r="J1804" t="s">
        <v>39</v>
      </c>
      <c r="K1804">
        <v>200000</v>
      </c>
    </row>
    <row r="1805" spans="1:11" x14ac:dyDescent="0.25">
      <c r="A1805" s="10">
        <v>45705</v>
      </c>
      <c r="B1805" t="s">
        <v>11</v>
      </c>
      <c r="C1805" t="s">
        <v>32</v>
      </c>
      <c r="D1805" t="s">
        <v>13</v>
      </c>
      <c r="E1805" t="s">
        <v>20</v>
      </c>
      <c r="F1805" t="s">
        <v>41</v>
      </c>
      <c r="G1805" t="s">
        <v>22</v>
      </c>
      <c r="H1805">
        <v>220000</v>
      </c>
      <c r="I1805">
        <v>1</v>
      </c>
      <c r="J1805" t="s">
        <v>39</v>
      </c>
      <c r="K1805">
        <v>176000</v>
      </c>
    </row>
    <row r="1806" spans="1:11" x14ac:dyDescent="0.25">
      <c r="A1806" s="10">
        <v>45676</v>
      </c>
      <c r="B1806" t="s">
        <v>11</v>
      </c>
      <c r="C1806" t="s">
        <v>19</v>
      </c>
      <c r="D1806" t="s">
        <v>13</v>
      </c>
      <c r="E1806" t="s">
        <v>20</v>
      </c>
      <c r="F1806" t="s">
        <v>41</v>
      </c>
      <c r="G1806" t="s">
        <v>22</v>
      </c>
      <c r="H1806">
        <v>220000</v>
      </c>
      <c r="I1806">
        <v>3</v>
      </c>
      <c r="J1806" t="s">
        <v>39</v>
      </c>
      <c r="K1806">
        <v>176000</v>
      </c>
    </row>
    <row r="1807" spans="1:11" x14ac:dyDescent="0.25">
      <c r="A1807" s="10">
        <v>45726</v>
      </c>
      <c r="B1807" t="s">
        <v>11</v>
      </c>
      <c r="C1807" t="s">
        <v>19</v>
      </c>
      <c r="D1807" t="s">
        <v>23</v>
      </c>
      <c r="E1807" t="s">
        <v>20</v>
      </c>
      <c r="F1807" t="s">
        <v>40</v>
      </c>
      <c r="G1807" t="s">
        <v>31</v>
      </c>
      <c r="H1807">
        <v>250000</v>
      </c>
      <c r="I1807">
        <v>8</v>
      </c>
      <c r="J1807" t="s">
        <v>28</v>
      </c>
      <c r="K1807">
        <v>200000</v>
      </c>
    </row>
    <row r="1808" spans="1:11" x14ac:dyDescent="0.25">
      <c r="A1808" s="10">
        <v>45755</v>
      </c>
      <c r="B1808" t="s">
        <v>11</v>
      </c>
      <c r="C1808" t="s">
        <v>26</v>
      </c>
      <c r="D1808" t="s">
        <v>13</v>
      </c>
      <c r="E1808" t="s">
        <v>20</v>
      </c>
      <c r="F1808" t="s">
        <v>21</v>
      </c>
      <c r="G1808" t="s">
        <v>22</v>
      </c>
      <c r="H1808">
        <v>30000</v>
      </c>
      <c r="I1808">
        <v>1</v>
      </c>
      <c r="J1808" t="s">
        <v>35</v>
      </c>
      <c r="K1808">
        <v>24000</v>
      </c>
    </row>
    <row r="1809" spans="1:11" x14ac:dyDescent="0.25">
      <c r="A1809" s="10">
        <v>45660</v>
      </c>
      <c r="B1809" t="s">
        <v>11</v>
      </c>
      <c r="C1809" t="s">
        <v>32</v>
      </c>
      <c r="D1809" t="s">
        <v>23</v>
      </c>
      <c r="E1809" t="s">
        <v>20</v>
      </c>
      <c r="F1809" t="s">
        <v>21</v>
      </c>
      <c r="G1809" t="s">
        <v>22</v>
      </c>
      <c r="H1809">
        <v>30000</v>
      </c>
      <c r="I1809">
        <v>1</v>
      </c>
      <c r="J1809" t="s">
        <v>37</v>
      </c>
      <c r="K1809">
        <v>24000</v>
      </c>
    </row>
    <row r="1810" spans="1:11" x14ac:dyDescent="0.25">
      <c r="A1810" s="10">
        <v>45712</v>
      </c>
      <c r="B1810" t="s">
        <v>29</v>
      </c>
      <c r="C1810" t="s">
        <v>26</v>
      </c>
      <c r="D1810" t="s">
        <v>13</v>
      </c>
      <c r="E1810" t="s">
        <v>20</v>
      </c>
      <c r="F1810" t="s">
        <v>21</v>
      </c>
      <c r="G1810" t="s">
        <v>22</v>
      </c>
      <c r="H1810">
        <v>30000</v>
      </c>
      <c r="I1810">
        <v>8</v>
      </c>
      <c r="J1810" t="s">
        <v>17</v>
      </c>
      <c r="K1810">
        <v>24000</v>
      </c>
    </row>
    <row r="1811" spans="1:11" x14ac:dyDescent="0.25">
      <c r="A1811" s="10">
        <v>45726</v>
      </c>
      <c r="B1811" t="s">
        <v>11</v>
      </c>
      <c r="C1811" t="s">
        <v>12</v>
      </c>
      <c r="D1811" t="s">
        <v>13</v>
      </c>
      <c r="E1811" t="s">
        <v>20</v>
      </c>
      <c r="F1811" t="s">
        <v>27</v>
      </c>
      <c r="G1811" t="s">
        <v>22</v>
      </c>
      <c r="H1811">
        <v>60000</v>
      </c>
      <c r="I1811">
        <v>6</v>
      </c>
      <c r="J1811" t="s">
        <v>35</v>
      </c>
      <c r="K1811">
        <v>48000</v>
      </c>
    </row>
    <row r="1812" spans="1:11" x14ac:dyDescent="0.25">
      <c r="A1812" s="10">
        <v>45674</v>
      </c>
      <c r="B1812" t="s">
        <v>11</v>
      </c>
      <c r="C1812" t="s">
        <v>12</v>
      </c>
      <c r="D1812" t="s">
        <v>23</v>
      </c>
      <c r="E1812" t="s">
        <v>20</v>
      </c>
      <c r="F1812" t="s">
        <v>40</v>
      </c>
      <c r="G1812" t="s">
        <v>31</v>
      </c>
      <c r="H1812">
        <v>250000</v>
      </c>
      <c r="I1812">
        <v>5</v>
      </c>
      <c r="J1812" t="s">
        <v>24</v>
      </c>
      <c r="K1812">
        <v>200000</v>
      </c>
    </row>
    <row r="1813" spans="1:11" x14ac:dyDescent="0.25">
      <c r="A1813" s="10">
        <v>45682</v>
      </c>
      <c r="B1813" t="s">
        <v>25</v>
      </c>
      <c r="C1813" t="s">
        <v>32</v>
      </c>
      <c r="D1813" t="s">
        <v>13</v>
      </c>
      <c r="E1813" t="s">
        <v>20</v>
      </c>
      <c r="F1813" t="s">
        <v>21</v>
      </c>
      <c r="G1813" t="s">
        <v>22</v>
      </c>
      <c r="H1813">
        <v>30000</v>
      </c>
      <c r="I1813">
        <v>1</v>
      </c>
      <c r="J1813" t="s">
        <v>37</v>
      </c>
      <c r="K1813">
        <v>24000</v>
      </c>
    </row>
    <row r="1814" spans="1:11" x14ac:dyDescent="0.25">
      <c r="A1814" s="10">
        <v>45749</v>
      </c>
      <c r="B1814" t="s">
        <v>25</v>
      </c>
      <c r="C1814" t="s">
        <v>26</v>
      </c>
      <c r="D1814" t="s">
        <v>23</v>
      </c>
      <c r="E1814" t="s">
        <v>20</v>
      </c>
      <c r="F1814" t="s">
        <v>36</v>
      </c>
      <c r="G1814" t="s">
        <v>31</v>
      </c>
      <c r="H1814">
        <v>150000</v>
      </c>
      <c r="I1814">
        <v>9</v>
      </c>
      <c r="J1814" t="s">
        <v>37</v>
      </c>
      <c r="K1814">
        <v>120000</v>
      </c>
    </row>
    <row r="1815" spans="1:11" x14ac:dyDescent="0.25">
      <c r="A1815" s="10">
        <v>45679</v>
      </c>
      <c r="B1815" t="s">
        <v>18</v>
      </c>
      <c r="C1815" t="s">
        <v>32</v>
      </c>
      <c r="D1815" t="s">
        <v>13</v>
      </c>
      <c r="E1815" t="s">
        <v>20</v>
      </c>
      <c r="F1815" t="s">
        <v>33</v>
      </c>
      <c r="G1815" t="s">
        <v>22</v>
      </c>
      <c r="H1815">
        <v>180000</v>
      </c>
      <c r="I1815">
        <v>2</v>
      </c>
      <c r="J1815" t="s">
        <v>37</v>
      </c>
      <c r="K1815">
        <v>144000</v>
      </c>
    </row>
    <row r="1816" spans="1:11" x14ac:dyDescent="0.25">
      <c r="A1816" s="10">
        <v>45740</v>
      </c>
      <c r="B1816" t="s">
        <v>18</v>
      </c>
      <c r="C1816" t="s">
        <v>32</v>
      </c>
      <c r="D1816" t="s">
        <v>13</v>
      </c>
      <c r="E1816" t="s">
        <v>20</v>
      </c>
      <c r="F1816" t="s">
        <v>38</v>
      </c>
      <c r="G1816" t="s">
        <v>31</v>
      </c>
      <c r="H1816">
        <v>420000</v>
      </c>
      <c r="I1816">
        <v>10</v>
      </c>
      <c r="J1816" t="s">
        <v>28</v>
      </c>
      <c r="K1816">
        <v>336000</v>
      </c>
    </row>
    <row r="1817" spans="1:11" x14ac:dyDescent="0.25">
      <c r="A1817" s="10">
        <v>45774</v>
      </c>
      <c r="B1817" t="s">
        <v>11</v>
      </c>
      <c r="C1817" t="s">
        <v>26</v>
      </c>
      <c r="D1817" t="s">
        <v>23</v>
      </c>
      <c r="E1817" t="s">
        <v>20</v>
      </c>
      <c r="F1817" t="s">
        <v>30</v>
      </c>
      <c r="G1817" t="s">
        <v>31</v>
      </c>
      <c r="H1817">
        <v>300000</v>
      </c>
      <c r="I1817">
        <v>4</v>
      </c>
      <c r="J1817" t="s">
        <v>39</v>
      </c>
      <c r="K1817">
        <v>240000</v>
      </c>
    </row>
    <row r="1818" spans="1:11" x14ac:dyDescent="0.25">
      <c r="A1818" s="10">
        <v>45710</v>
      </c>
      <c r="B1818" t="s">
        <v>11</v>
      </c>
      <c r="C1818" t="s">
        <v>12</v>
      </c>
      <c r="D1818" t="s">
        <v>13</v>
      </c>
      <c r="E1818" t="s">
        <v>20</v>
      </c>
      <c r="F1818" t="s">
        <v>33</v>
      </c>
      <c r="G1818" t="s">
        <v>22</v>
      </c>
      <c r="H1818">
        <v>180000</v>
      </c>
      <c r="I1818">
        <v>8</v>
      </c>
      <c r="J1818" t="s">
        <v>37</v>
      </c>
      <c r="K1818">
        <v>144000</v>
      </c>
    </row>
    <row r="1819" spans="1:11" x14ac:dyDescent="0.25">
      <c r="A1819" s="10">
        <v>45699</v>
      </c>
      <c r="B1819" t="s">
        <v>18</v>
      </c>
      <c r="C1819" t="s">
        <v>32</v>
      </c>
      <c r="D1819" t="s">
        <v>13</v>
      </c>
      <c r="E1819" t="s">
        <v>20</v>
      </c>
      <c r="F1819" t="s">
        <v>38</v>
      </c>
      <c r="G1819" t="s">
        <v>31</v>
      </c>
      <c r="H1819">
        <v>420000</v>
      </c>
      <c r="I1819">
        <v>5</v>
      </c>
      <c r="J1819" t="s">
        <v>37</v>
      </c>
      <c r="K1819">
        <v>336000</v>
      </c>
    </row>
    <row r="1820" spans="1:11" x14ac:dyDescent="0.25">
      <c r="A1820" s="10">
        <v>45716</v>
      </c>
      <c r="B1820" t="s">
        <v>25</v>
      </c>
      <c r="C1820" t="s">
        <v>19</v>
      </c>
      <c r="D1820" t="s">
        <v>23</v>
      </c>
      <c r="E1820" t="s">
        <v>20</v>
      </c>
      <c r="F1820" t="s">
        <v>33</v>
      </c>
      <c r="G1820" t="s">
        <v>22</v>
      </c>
      <c r="H1820">
        <v>180000</v>
      </c>
      <c r="I1820">
        <v>5</v>
      </c>
      <c r="J1820" t="s">
        <v>17</v>
      </c>
      <c r="K1820">
        <v>144000</v>
      </c>
    </row>
    <row r="1821" spans="1:11" x14ac:dyDescent="0.25">
      <c r="A1821" s="10">
        <v>45725</v>
      </c>
      <c r="B1821" t="s">
        <v>11</v>
      </c>
      <c r="C1821" t="s">
        <v>12</v>
      </c>
      <c r="D1821" t="s">
        <v>23</v>
      </c>
      <c r="E1821" t="s">
        <v>20</v>
      </c>
      <c r="F1821" t="s">
        <v>30</v>
      </c>
      <c r="G1821" t="s">
        <v>31</v>
      </c>
      <c r="H1821">
        <v>300000</v>
      </c>
      <c r="I1821">
        <v>1</v>
      </c>
      <c r="J1821" t="s">
        <v>37</v>
      </c>
      <c r="K1821">
        <v>240000</v>
      </c>
    </row>
    <row r="1822" spans="1:11" x14ac:dyDescent="0.25">
      <c r="A1822" s="10">
        <v>45665</v>
      </c>
      <c r="B1822" t="s">
        <v>25</v>
      </c>
      <c r="C1822" t="s">
        <v>12</v>
      </c>
      <c r="D1822" t="s">
        <v>13</v>
      </c>
      <c r="E1822" t="s">
        <v>20</v>
      </c>
      <c r="F1822" t="s">
        <v>33</v>
      </c>
      <c r="G1822" t="s">
        <v>22</v>
      </c>
      <c r="H1822">
        <v>180000</v>
      </c>
      <c r="I1822">
        <v>7</v>
      </c>
      <c r="J1822" t="s">
        <v>37</v>
      </c>
      <c r="K1822">
        <v>144000</v>
      </c>
    </row>
    <row r="1823" spans="1:11" x14ac:dyDescent="0.25">
      <c r="A1823" s="10">
        <v>45661</v>
      </c>
      <c r="B1823" t="s">
        <v>18</v>
      </c>
      <c r="C1823" t="s">
        <v>26</v>
      </c>
      <c r="D1823" t="s">
        <v>23</v>
      </c>
      <c r="E1823" t="s">
        <v>20</v>
      </c>
      <c r="F1823" t="s">
        <v>21</v>
      </c>
      <c r="G1823" t="s">
        <v>22</v>
      </c>
      <c r="H1823">
        <v>30000</v>
      </c>
      <c r="I1823">
        <v>8</v>
      </c>
      <c r="J1823" t="s">
        <v>37</v>
      </c>
      <c r="K1823">
        <v>24000</v>
      </c>
    </row>
    <row r="1824" spans="1:11" x14ac:dyDescent="0.25">
      <c r="A1824" s="10">
        <v>45685</v>
      </c>
      <c r="B1824" t="s">
        <v>29</v>
      </c>
      <c r="C1824" t="s">
        <v>12</v>
      </c>
      <c r="D1824" t="s">
        <v>13</v>
      </c>
      <c r="E1824" t="s">
        <v>20</v>
      </c>
      <c r="F1824" t="s">
        <v>15</v>
      </c>
      <c r="G1824" t="s">
        <v>16</v>
      </c>
      <c r="H1824">
        <v>85000</v>
      </c>
      <c r="I1824">
        <v>10</v>
      </c>
      <c r="J1824" t="s">
        <v>28</v>
      </c>
      <c r="K1824">
        <v>68000</v>
      </c>
    </row>
    <row r="1825" spans="1:11" x14ac:dyDescent="0.25">
      <c r="A1825" s="10">
        <v>45676</v>
      </c>
      <c r="B1825" t="s">
        <v>18</v>
      </c>
      <c r="C1825" t="s">
        <v>26</v>
      </c>
      <c r="D1825" t="s">
        <v>13</v>
      </c>
      <c r="E1825" t="s">
        <v>20</v>
      </c>
      <c r="F1825" t="s">
        <v>15</v>
      </c>
      <c r="G1825" t="s">
        <v>16</v>
      </c>
      <c r="H1825">
        <v>85000</v>
      </c>
      <c r="I1825">
        <v>1</v>
      </c>
      <c r="J1825" t="s">
        <v>17</v>
      </c>
      <c r="K1825">
        <v>68000</v>
      </c>
    </row>
    <row r="1826" spans="1:11" x14ac:dyDescent="0.25">
      <c r="A1826" s="10">
        <v>45700</v>
      </c>
      <c r="B1826" t="s">
        <v>29</v>
      </c>
      <c r="C1826" t="s">
        <v>19</v>
      </c>
      <c r="D1826" t="s">
        <v>23</v>
      </c>
      <c r="E1826" t="s">
        <v>20</v>
      </c>
      <c r="F1826" t="s">
        <v>36</v>
      </c>
      <c r="G1826" t="s">
        <v>31</v>
      </c>
      <c r="H1826">
        <v>150000</v>
      </c>
      <c r="I1826">
        <v>8</v>
      </c>
      <c r="J1826" t="s">
        <v>37</v>
      </c>
      <c r="K1826">
        <v>120000</v>
      </c>
    </row>
    <row r="1827" spans="1:11" x14ac:dyDescent="0.25">
      <c r="A1827" s="10">
        <v>45730</v>
      </c>
      <c r="B1827" t="s">
        <v>11</v>
      </c>
      <c r="C1827" t="s">
        <v>19</v>
      </c>
      <c r="D1827" t="s">
        <v>23</v>
      </c>
      <c r="E1827" t="s">
        <v>20</v>
      </c>
      <c r="F1827" t="s">
        <v>38</v>
      </c>
      <c r="G1827" t="s">
        <v>31</v>
      </c>
      <c r="H1827">
        <v>420000</v>
      </c>
      <c r="I1827">
        <v>6</v>
      </c>
      <c r="J1827" t="s">
        <v>35</v>
      </c>
      <c r="K1827">
        <v>336000</v>
      </c>
    </row>
    <row r="1828" spans="1:11" x14ac:dyDescent="0.25">
      <c r="A1828" s="10">
        <v>45738</v>
      </c>
      <c r="B1828" t="s">
        <v>25</v>
      </c>
      <c r="C1828" t="s">
        <v>32</v>
      </c>
      <c r="D1828" t="s">
        <v>13</v>
      </c>
      <c r="E1828" t="s">
        <v>20</v>
      </c>
      <c r="F1828" t="s">
        <v>27</v>
      </c>
      <c r="G1828" t="s">
        <v>22</v>
      </c>
      <c r="H1828">
        <v>60000</v>
      </c>
      <c r="I1828">
        <v>8</v>
      </c>
      <c r="J1828" t="s">
        <v>35</v>
      </c>
      <c r="K1828">
        <v>48000</v>
      </c>
    </row>
    <row r="1829" spans="1:11" x14ac:dyDescent="0.25">
      <c r="A1829" s="10">
        <v>45776</v>
      </c>
      <c r="B1829" t="s">
        <v>25</v>
      </c>
      <c r="C1829" t="s">
        <v>12</v>
      </c>
      <c r="D1829" t="s">
        <v>13</v>
      </c>
      <c r="E1829" t="s">
        <v>20</v>
      </c>
      <c r="F1829" t="s">
        <v>30</v>
      </c>
      <c r="G1829" t="s">
        <v>31</v>
      </c>
      <c r="H1829">
        <v>300000</v>
      </c>
      <c r="I1829">
        <v>7</v>
      </c>
      <c r="J1829" t="s">
        <v>28</v>
      </c>
      <c r="K1829">
        <v>240000</v>
      </c>
    </row>
    <row r="1830" spans="1:11" x14ac:dyDescent="0.25">
      <c r="A1830" s="10">
        <v>45698</v>
      </c>
      <c r="B1830" t="s">
        <v>18</v>
      </c>
      <c r="C1830" t="s">
        <v>19</v>
      </c>
      <c r="D1830" t="s">
        <v>23</v>
      </c>
      <c r="E1830" t="s">
        <v>20</v>
      </c>
      <c r="F1830" t="s">
        <v>36</v>
      </c>
      <c r="G1830" t="s">
        <v>31</v>
      </c>
      <c r="H1830">
        <v>150000</v>
      </c>
      <c r="I1830">
        <v>8</v>
      </c>
      <c r="J1830" t="s">
        <v>37</v>
      </c>
      <c r="K1830">
        <v>120000</v>
      </c>
    </row>
    <row r="1831" spans="1:11" x14ac:dyDescent="0.25">
      <c r="A1831" s="10">
        <v>45760</v>
      </c>
      <c r="B1831" t="s">
        <v>18</v>
      </c>
      <c r="C1831" t="s">
        <v>12</v>
      </c>
      <c r="D1831" t="s">
        <v>23</v>
      </c>
      <c r="E1831" t="s">
        <v>20</v>
      </c>
      <c r="F1831" t="s">
        <v>27</v>
      </c>
      <c r="G1831" t="s">
        <v>22</v>
      </c>
      <c r="H1831">
        <v>60000</v>
      </c>
      <c r="I1831">
        <v>10</v>
      </c>
      <c r="J1831" t="s">
        <v>17</v>
      </c>
      <c r="K1831">
        <v>48000</v>
      </c>
    </row>
    <row r="1832" spans="1:11" x14ac:dyDescent="0.25">
      <c r="A1832" s="10">
        <v>45724</v>
      </c>
      <c r="B1832" t="s">
        <v>29</v>
      </c>
      <c r="C1832" t="s">
        <v>26</v>
      </c>
      <c r="D1832" t="s">
        <v>13</v>
      </c>
      <c r="E1832" t="s">
        <v>20</v>
      </c>
      <c r="F1832" t="s">
        <v>34</v>
      </c>
      <c r="G1832" t="s">
        <v>16</v>
      </c>
      <c r="H1832">
        <v>320000</v>
      </c>
      <c r="I1832">
        <v>9</v>
      </c>
      <c r="J1832" t="s">
        <v>35</v>
      </c>
      <c r="K1832">
        <v>256000</v>
      </c>
    </row>
    <row r="1833" spans="1:11" x14ac:dyDescent="0.25">
      <c r="A1833" s="10">
        <v>45743</v>
      </c>
      <c r="B1833" t="s">
        <v>11</v>
      </c>
      <c r="C1833" t="s">
        <v>12</v>
      </c>
      <c r="D1833" t="s">
        <v>13</v>
      </c>
      <c r="E1833" t="s">
        <v>20</v>
      </c>
      <c r="F1833" t="s">
        <v>40</v>
      </c>
      <c r="G1833" t="s">
        <v>31</v>
      </c>
      <c r="H1833">
        <v>250000</v>
      </c>
      <c r="I1833">
        <v>9</v>
      </c>
      <c r="J1833" t="s">
        <v>28</v>
      </c>
      <c r="K1833">
        <v>200000</v>
      </c>
    </row>
    <row r="1834" spans="1:11" x14ac:dyDescent="0.25">
      <c r="A1834" s="10">
        <v>45667</v>
      </c>
      <c r="B1834" t="s">
        <v>25</v>
      </c>
      <c r="C1834" t="s">
        <v>26</v>
      </c>
      <c r="D1834" t="s">
        <v>13</v>
      </c>
      <c r="E1834" t="s">
        <v>20</v>
      </c>
      <c r="F1834" t="s">
        <v>41</v>
      </c>
      <c r="G1834" t="s">
        <v>22</v>
      </c>
      <c r="H1834">
        <v>220000</v>
      </c>
      <c r="I1834">
        <v>7</v>
      </c>
      <c r="J1834" t="s">
        <v>35</v>
      </c>
      <c r="K1834">
        <v>176000</v>
      </c>
    </row>
    <row r="1835" spans="1:11" x14ac:dyDescent="0.25">
      <c r="A1835" s="10">
        <v>45726</v>
      </c>
      <c r="B1835" t="s">
        <v>25</v>
      </c>
      <c r="C1835" t="s">
        <v>19</v>
      </c>
      <c r="D1835" t="s">
        <v>13</v>
      </c>
      <c r="E1835" t="s">
        <v>20</v>
      </c>
      <c r="F1835" t="s">
        <v>34</v>
      </c>
      <c r="G1835" t="s">
        <v>16</v>
      </c>
      <c r="H1835">
        <v>320000</v>
      </c>
      <c r="I1835">
        <v>4</v>
      </c>
      <c r="J1835" t="s">
        <v>24</v>
      </c>
      <c r="K1835">
        <v>256000</v>
      </c>
    </row>
    <row r="1836" spans="1:11" x14ac:dyDescent="0.25">
      <c r="A1836" s="10">
        <v>45763</v>
      </c>
      <c r="B1836" t="s">
        <v>25</v>
      </c>
      <c r="C1836" t="s">
        <v>19</v>
      </c>
      <c r="D1836" t="s">
        <v>23</v>
      </c>
      <c r="E1836" t="s">
        <v>20</v>
      </c>
      <c r="F1836" t="s">
        <v>41</v>
      </c>
      <c r="G1836" t="s">
        <v>22</v>
      </c>
      <c r="H1836">
        <v>220000</v>
      </c>
      <c r="I1836">
        <v>1</v>
      </c>
      <c r="J1836" t="s">
        <v>37</v>
      </c>
      <c r="K1836">
        <v>176000</v>
      </c>
    </row>
    <row r="1837" spans="1:11" x14ac:dyDescent="0.25">
      <c r="A1837" s="10">
        <v>45716</v>
      </c>
      <c r="B1837" t="s">
        <v>11</v>
      </c>
      <c r="C1837" t="s">
        <v>19</v>
      </c>
      <c r="D1837" t="s">
        <v>13</v>
      </c>
      <c r="E1837" t="s">
        <v>20</v>
      </c>
      <c r="F1837" t="s">
        <v>21</v>
      </c>
      <c r="G1837" t="s">
        <v>22</v>
      </c>
      <c r="H1837">
        <v>30000</v>
      </c>
      <c r="I1837">
        <v>9</v>
      </c>
      <c r="J1837" t="s">
        <v>37</v>
      </c>
      <c r="K1837">
        <v>24000</v>
      </c>
    </row>
    <row r="1838" spans="1:11" x14ac:dyDescent="0.25">
      <c r="A1838" s="10">
        <v>45775</v>
      </c>
      <c r="B1838" t="s">
        <v>29</v>
      </c>
      <c r="C1838" t="s">
        <v>19</v>
      </c>
      <c r="D1838" t="s">
        <v>23</v>
      </c>
      <c r="E1838" t="s">
        <v>20</v>
      </c>
      <c r="F1838" t="s">
        <v>21</v>
      </c>
      <c r="G1838" t="s">
        <v>22</v>
      </c>
      <c r="H1838">
        <v>30000</v>
      </c>
      <c r="I1838">
        <v>8</v>
      </c>
      <c r="J1838" t="s">
        <v>37</v>
      </c>
      <c r="K1838">
        <v>24000</v>
      </c>
    </row>
    <row r="1839" spans="1:11" x14ac:dyDescent="0.25">
      <c r="A1839" s="10">
        <v>45675</v>
      </c>
      <c r="B1839" t="s">
        <v>25</v>
      </c>
      <c r="C1839" t="s">
        <v>19</v>
      </c>
      <c r="D1839" t="s">
        <v>23</v>
      </c>
      <c r="E1839" t="s">
        <v>20</v>
      </c>
      <c r="F1839" t="s">
        <v>27</v>
      </c>
      <c r="G1839" t="s">
        <v>22</v>
      </c>
      <c r="H1839">
        <v>60000</v>
      </c>
      <c r="I1839">
        <v>7</v>
      </c>
      <c r="J1839" t="s">
        <v>24</v>
      </c>
      <c r="K1839">
        <v>48000</v>
      </c>
    </row>
    <row r="1840" spans="1:11" x14ac:dyDescent="0.25">
      <c r="A1840" s="10">
        <v>45727</v>
      </c>
      <c r="B1840" t="s">
        <v>11</v>
      </c>
      <c r="C1840" t="s">
        <v>26</v>
      </c>
      <c r="D1840" t="s">
        <v>13</v>
      </c>
      <c r="E1840" t="s">
        <v>20</v>
      </c>
      <c r="F1840" t="s">
        <v>21</v>
      </c>
      <c r="G1840" t="s">
        <v>22</v>
      </c>
      <c r="H1840">
        <v>30000</v>
      </c>
      <c r="I1840">
        <v>7</v>
      </c>
      <c r="J1840" t="s">
        <v>39</v>
      </c>
      <c r="K1840">
        <v>24000</v>
      </c>
    </row>
    <row r="1841" spans="1:11" x14ac:dyDescent="0.25">
      <c r="A1841" s="10">
        <v>45658</v>
      </c>
      <c r="B1841" t="s">
        <v>11</v>
      </c>
      <c r="C1841" t="s">
        <v>12</v>
      </c>
      <c r="D1841" t="s">
        <v>13</v>
      </c>
      <c r="E1841" t="s">
        <v>20</v>
      </c>
      <c r="F1841" t="s">
        <v>30</v>
      </c>
      <c r="G1841" t="s">
        <v>31</v>
      </c>
      <c r="H1841">
        <v>300000</v>
      </c>
      <c r="I1841">
        <v>6</v>
      </c>
      <c r="J1841" t="s">
        <v>37</v>
      </c>
      <c r="K1841">
        <v>240000</v>
      </c>
    </row>
    <row r="1842" spans="1:11" x14ac:dyDescent="0.25">
      <c r="A1842" s="10">
        <v>45714</v>
      </c>
      <c r="B1842" t="s">
        <v>29</v>
      </c>
      <c r="C1842" t="s">
        <v>32</v>
      </c>
      <c r="D1842" t="s">
        <v>23</v>
      </c>
      <c r="E1842" t="s">
        <v>20</v>
      </c>
      <c r="F1842" t="s">
        <v>30</v>
      </c>
      <c r="G1842" t="s">
        <v>31</v>
      </c>
      <c r="H1842">
        <v>300000</v>
      </c>
      <c r="I1842">
        <v>4</v>
      </c>
      <c r="J1842" t="s">
        <v>39</v>
      </c>
      <c r="K1842">
        <v>240000</v>
      </c>
    </row>
    <row r="1843" spans="1:11" x14ac:dyDescent="0.25">
      <c r="A1843" s="10">
        <v>45702</v>
      </c>
      <c r="B1843" t="s">
        <v>25</v>
      </c>
      <c r="C1843" t="s">
        <v>26</v>
      </c>
      <c r="D1843" t="s">
        <v>13</v>
      </c>
      <c r="E1843" t="s">
        <v>20</v>
      </c>
      <c r="F1843" t="s">
        <v>15</v>
      </c>
      <c r="G1843" t="s">
        <v>16</v>
      </c>
      <c r="H1843">
        <v>85000</v>
      </c>
      <c r="I1843">
        <v>2</v>
      </c>
      <c r="J1843" t="s">
        <v>17</v>
      </c>
      <c r="K1843">
        <v>68000</v>
      </c>
    </row>
    <row r="1844" spans="1:11" x14ac:dyDescent="0.25">
      <c r="A1844" s="10">
        <v>45778</v>
      </c>
      <c r="B1844" t="s">
        <v>29</v>
      </c>
      <c r="C1844" t="s">
        <v>26</v>
      </c>
      <c r="D1844" t="s">
        <v>23</v>
      </c>
      <c r="E1844" t="s">
        <v>20</v>
      </c>
      <c r="F1844" t="s">
        <v>36</v>
      </c>
      <c r="G1844" t="s">
        <v>31</v>
      </c>
      <c r="H1844">
        <v>150000</v>
      </c>
      <c r="I1844">
        <v>3</v>
      </c>
      <c r="J1844" t="s">
        <v>24</v>
      </c>
      <c r="K1844">
        <v>120000</v>
      </c>
    </row>
    <row r="1845" spans="1:11" x14ac:dyDescent="0.25">
      <c r="A1845" s="10">
        <v>45745</v>
      </c>
      <c r="B1845" t="s">
        <v>11</v>
      </c>
      <c r="C1845" t="s">
        <v>32</v>
      </c>
      <c r="D1845" t="s">
        <v>23</v>
      </c>
      <c r="E1845" t="s">
        <v>20</v>
      </c>
      <c r="F1845" t="s">
        <v>40</v>
      </c>
      <c r="G1845" t="s">
        <v>31</v>
      </c>
      <c r="H1845">
        <v>250000</v>
      </c>
      <c r="I1845">
        <v>4</v>
      </c>
      <c r="J1845" t="s">
        <v>28</v>
      </c>
      <c r="K1845">
        <v>200000</v>
      </c>
    </row>
    <row r="1846" spans="1:11" x14ac:dyDescent="0.25">
      <c r="A1846" s="10">
        <v>45677</v>
      </c>
      <c r="B1846" t="s">
        <v>29</v>
      </c>
      <c r="C1846" t="s">
        <v>12</v>
      </c>
      <c r="D1846" t="s">
        <v>13</v>
      </c>
      <c r="E1846" t="s">
        <v>20</v>
      </c>
      <c r="F1846" t="s">
        <v>40</v>
      </c>
      <c r="G1846" t="s">
        <v>31</v>
      </c>
      <c r="H1846">
        <v>250000</v>
      </c>
      <c r="I1846">
        <v>7</v>
      </c>
      <c r="J1846" t="s">
        <v>17</v>
      </c>
      <c r="K1846">
        <v>200000</v>
      </c>
    </row>
    <row r="1847" spans="1:11" x14ac:dyDescent="0.25">
      <c r="A1847" s="10">
        <v>45662</v>
      </c>
      <c r="B1847" t="s">
        <v>11</v>
      </c>
      <c r="C1847" t="s">
        <v>19</v>
      </c>
      <c r="D1847" t="s">
        <v>13</v>
      </c>
      <c r="E1847" t="s">
        <v>20</v>
      </c>
      <c r="F1847" t="s">
        <v>40</v>
      </c>
      <c r="G1847" t="s">
        <v>31</v>
      </c>
      <c r="H1847">
        <v>250000</v>
      </c>
      <c r="I1847">
        <v>3</v>
      </c>
      <c r="J1847" t="s">
        <v>24</v>
      </c>
      <c r="K1847">
        <v>200000</v>
      </c>
    </row>
    <row r="1848" spans="1:11" x14ac:dyDescent="0.25">
      <c r="A1848" s="10">
        <v>45730</v>
      </c>
      <c r="B1848" t="s">
        <v>18</v>
      </c>
      <c r="C1848" t="s">
        <v>26</v>
      </c>
      <c r="D1848" t="s">
        <v>13</v>
      </c>
      <c r="E1848" t="s">
        <v>20</v>
      </c>
      <c r="F1848" t="s">
        <v>36</v>
      </c>
      <c r="G1848" t="s">
        <v>31</v>
      </c>
      <c r="H1848">
        <v>150000</v>
      </c>
      <c r="I1848">
        <v>8</v>
      </c>
      <c r="J1848" t="s">
        <v>17</v>
      </c>
      <c r="K1848">
        <v>120000</v>
      </c>
    </row>
    <row r="1849" spans="1:11" x14ac:dyDescent="0.25">
      <c r="A1849" s="10">
        <v>45702</v>
      </c>
      <c r="B1849" t="s">
        <v>18</v>
      </c>
      <c r="C1849" t="s">
        <v>26</v>
      </c>
      <c r="D1849" t="s">
        <v>23</v>
      </c>
      <c r="E1849" t="s">
        <v>20</v>
      </c>
      <c r="F1849" t="s">
        <v>15</v>
      </c>
      <c r="G1849" t="s">
        <v>16</v>
      </c>
      <c r="H1849">
        <v>85000</v>
      </c>
      <c r="I1849">
        <v>1</v>
      </c>
      <c r="J1849" t="s">
        <v>37</v>
      </c>
      <c r="K1849">
        <v>68000</v>
      </c>
    </row>
    <row r="1850" spans="1:11" x14ac:dyDescent="0.25">
      <c r="A1850" s="10">
        <v>45663</v>
      </c>
      <c r="B1850" t="s">
        <v>18</v>
      </c>
      <c r="C1850" t="s">
        <v>32</v>
      </c>
      <c r="D1850" t="s">
        <v>13</v>
      </c>
      <c r="E1850" t="s">
        <v>20</v>
      </c>
      <c r="F1850" t="s">
        <v>41</v>
      </c>
      <c r="G1850" t="s">
        <v>22</v>
      </c>
      <c r="H1850">
        <v>220000</v>
      </c>
      <c r="I1850">
        <v>6</v>
      </c>
      <c r="J1850" t="s">
        <v>17</v>
      </c>
      <c r="K1850">
        <v>176000</v>
      </c>
    </row>
    <row r="1851" spans="1:11" x14ac:dyDescent="0.25">
      <c r="A1851" s="10">
        <v>45702</v>
      </c>
      <c r="B1851" t="s">
        <v>18</v>
      </c>
      <c r="C1851" t="s">
        <v>12</v>
      </c>
      <c r="D1851" t="s">
        <v>23</v>
      </c>
      <c r="E1851" t="s">
        <v>20</v>
      </c>
      <c r="F1851" t="s">
        <v>21</v>
      </c>
      <c r="G1851" t="s">
        <v>22</v>
      </c>
      <c r="H1851">
        <v>30000</v>
      </c>
      <c r="I1851">
        <v>3</v>
      </c>
      <c r="J1851" t="s">
        <v>17</v>
      </c>
      <c r="K1851">
        <v>24000</v>
      </c>
    </row>
    <row r="1852" spans="1:11" x14ac:dyDescent="0.25">
      <c r="A1852" s="10">
        <v>45715</v>
      </c>
      <c r="B1852" t="s">
        <v>29</v>
      </c>
      <c r="C1852" t="s">
        <v>32</v>
      </c>
      <c r="D1852" t="s">
        <v>23</v>
      </c>
      <c r="E1852" t="s">
        <v>20</v>
      </c>
      <c r="F1852" t="s">
        <v>30</v>
      </c>
      <c r="G1852" t="s">
        <v>31</v>
      </c>
      <c r="H1852">
        <v>300000</v>
      </c>
      <c r="I1852">
        <v>3</v>
      </c>
      <c r="J1852" t="s">
        <v>24</v>
      </c>
      <c r="K1852">
        <v>240000</v>
      </c>
    </row>
    <row r="1853" spans="1:11" x14ac:dyDescent="0.25">
      <c r="A1853" s="10">
        <v>45773</v>
      </c>
      <c r="B1853" t="s">
        <v>18</v>
      </c>
      <c r="C1853" t="s">
        <v>26</v>
      </c>
      <c r="D1853" t="s">
        <v>13</v>
      </c>
      <c r="E1853" t="s">
        <v>20</v>
      </c>
      <c r="F1853" t="s">
        <v>40</v>
      </c>
      <c r="G1853" t="s">
        <v>31</v>
      </c>
      <c r="H1853">
        <v>250000</v>
      </c>
      <c r="I1853">
        <v>10</v>
      </c>
      <c r="J1853" t="s">
        <v>37</v>
      </c>
      <c r="K1853">
        <v>200000</v>
      </c>
    </row>
    <row r="1854" spans="1:11" x14ac:dyDescent="0.25">
      <c r="A1854" s="10">
        <v>45728</v>
      </c>
      <c r="B1854" t="s">
        <v>18</v>
      </c>
      <c r="C1854" t="s">
        <v>19</v>
      </c>
      <c r="D1854" t="s">
        <v>13</v>
      </c>
      <c r="E1854" t="s">
        <v>20</v>
      </c>
      <c r="F1854" t="s">
        <v>30</v>
      </c>
      <c r="G1854" t="s">
        <v>31</v>
      </c>
      <c r="H1854">
        <v>300000</v>
      </c>
      <c r="I1854">
        <v>4</v>
      </c>
      <c r="J1854" t="s">
        <v>35</v>
      </c>
      <c r="K1854">
        <v>240000</v>
      </c>
    </row>
    <row r="1855" spans="1:11" x14ac:dyDescent="0.25">
      <c r="A1855" s="10">
        <v>45769</v>
      </c>
      <c r="B1855" t="s">
        <v>25</v>
      </c>
      <c r="C1855" t="s">
        <v>26</v>
      </c>
      <c r="D1855" t="s">
        <v>13</v>
      </c>
      <c r="E1855" t="s">
        <v>20</v>
      </c>
      <c r="F1855" t="s">
        <v>34</v>
      </c>
      <c r="G1855" t="s">
        <v>16</v>
      </c>
      <c r="H1855">
        <v>320000</v>
      </c>
      <c r="I1855">
        <v>5</v>
      </c>
      <c r="J1855" t="s">
        <v>39</v>
      </c>
      <c r="K1855">
        <v>256000</v>
      </c>
    </row>
    <row r="1856" spans="1:11" x14ac:dyDescent="0.25">
      <c r="A1856" s="10">
        <v>45770</v>
      </c>
      <c r="B1856" t="s">
        <v>25</v>
      </c>
      <c r="C1856" t="s">
        <v>19</v>
      </c>
      <c r="D1856" t="s">
        <v>13</v>
      </c>
      <c r="E1856" t="s">
        <v>20</v>
      </c>
      <c r="F1856" t="s">
        <v>34</v>
      </c>
      <c r="G1856" t="s">
        <v>16</v>
      </c>
      <c r="H1856">
        <v>320000</v>
      </c>
      <c r="I1856">
        <v>1</v>
      </c>
      <c r="J1856" t="s">
        <v>24</v>
      </c>
      <c r="K1856">
        <v>256000</v>
      </c>
    </row>
    <row r="1857" spans="1:11" x14ac:dyDescent="0.25">
      <c r="A1857" s="10">
        <v>45677</v>
      </c>
      <c r="B1857" t="s">
        <v>29</v>
      </c>
      <c r="C1857" t="s">
        <v>12</v>
      </c>
      <c r="D1857" t="s">
        <v>13</v>
      </c>
      <c r="E1857" t="s">
        <v>20</v>
      </c>
      <c r="F1857" t="s">
        <v>38</v>
      </c>
      <c r="G1857" t="s">
        <v>31</v>
      </c>
      <c r="H1857">
        <v>420000</v>
      </c>
      <c r="I1857">
        <v>4</v>
      </c>
      <c r="J1857" t="s">
        <v>37</v>
      </c>
      <c r="K1857">
        <v>336000</v>
      </c>
    </row>
    <row r="1858" spans="1:11" x14ac:dyDescent="0.25">
      <c r="A1858" s="10">
        <v>45752</v>
      </c>
      <c r="B1858" t="s">
        <v>25</v>
      </c>
      <c r="C1858" t="s">
        <v>26</v>
      </c>
      <c r="D1858" t="s">
        <v>23</v>
      </c>
      <c r="E1858" t="s">
        <v>20</v>
      </c>
      <c r="F1858" t="s">
        <v>15</v>
      </c>
      <c r="G1858" t="s">
        <v>16</v>
      </c>
      <c r="H1858">
        <v>85000</v>
      </c>
      <c r="I1858">
        <v>5</v>
      </c>
      <c r="J1858" t="s">
        <v>28</v>
      </c>
      <c r="K1858">
        <v>68000</v>
      </c>
    </row>
    <row r="1859" spans="1:11" x14ac:dyDescent="0.25">
      <c r="A1859" s="10">
        <v>45729</v>
      </c>
      <c r="B1859" t="s">
        <v>18</v>
      </c>
      <c r="C1859" t="s">
        <v>19</v>
      </c>
      <c r="D1859" t="s">
        <v>23</v>
      </c>
      <c r="E1859" t="s">
        <v>20</v>
      </c>
      <c r="F1859" t="s">
        <v>27</v>
      </c>
      <c r="G1859" t="s">
        <v>22</v>
      </c>
      <c r="H1859">
        <v>60000</v>
      </c>
      <c r="I1859">
        <v>3</v>
      </c>
      <c r="J1859" t="s">
        <v>17</v>
      </c>
      <c r="K1859">
        <v>48000</v>
      </c>
    </row>
    <row r="1860" spans="1:11" x14ac:dyDescent="0.25">
      <c r="A1860" s="10">
        <v>45672</v>
      </c>
      <c r="B1860" t="s">
        <v>11</v>
      </c>
      <c r="C1860" t="s">
        <v>32</v>
      </c>
      <c r="D1860" t="s">
        <v>13</v>
      </c>
      <c r="E1860" t="s">
        <v>20</v>
      </c>
      <c r="F1860" t="s">
        <v>40</v>
      </c>
      <c r="G1860" t="s">
        <v>31</v>
      </c>
      <c r="H1860">
        <v>250000</v>
      </c>
      <c r="I1860">
        <v>4</v>
      </c>
      <c r="J1860" t="s">
        <v>37</v>
      </c>
      <c r="K1860">
        <v>200000</v>
      </c>
    </row>
    <row r="1861" spans="1:11" x14ac:dyDescent="0.25">
      <c r="A1861" s="10">
        <v>45747</v>
      </c>
      <c r="B1861" t="s">
        <v>18</v>
      </c>
      <c r="C1861" t="s">
        <v>12</v>
      </c>
      <c r="D1861" t="s">
        <v>13</v>
      </c>
      <c r="E1861" t="s">
        <v>20</v>
      </c>
      <c r="F1861" t="s">
        <v>38</v>
      </c>
      <c r="G1861" t="s">
        <v>31</v>
      </c>
      <c r="H1861">
        <v>420000</v>
      </c>
      <c r="I1861">
        <v>5</v>
      </c>
      <c r="J1861" t="s">
        <v>17</v>
      </c>
      <c r="K1861">
        <v>336000</v>
      </c>
    </row>
    <row r="1862" spans="1:11" x14ac:dyDescent="0.25">
      <c r="A1862" s="10">
        <v>45742</v>
      </c>
      <c r="B1862" t="s">
        <v>11</v>
      </c>
      <c r="C1862" t="s">
        <v>26</v>
      </c>
      <c r="D1862" t="s">
        <v>13</v>
      </c>
      <c r="E1862" t="s">
        <v>20</v>
      </c>
      <c r="F1862" t="s">
        <v>36</v>
      </c>
      <c r="G1862" t="s">
        <v>31</v>
      </c>
      <c r="H1862">
        <v>150000</v>
      </c>
      <c r="I1862">
        <v>5</v>
      </c>
      <c r="J1862" t="s">
        <v>28</v>
      </c>
      <c r="K1862">
        <v>120000</v>
      </c>
    </row>
    <row r="1863" spans="1:11" x14ac:dyDescent="0.25">
      <c r="A1863" s="10">
        <v>45688</v>
      </c>
      <c r="B1863" t="s">
        <v>29</v>
      </c>
      <c r="C1863" t="s">
        <v>19</v>
      </c>
      <c r="D1863" t="s">
        <v>23</v>
      </c>
      <c r="E1863" t="s">
        <v>20</v>
      </c>
      <c r="F1863" t="s">
        <v>33</v>
      </c>
      <c r="G1863" t="s">
        <v>22</v>
      </c>
      <c r="H1863">
        <v>180000</v>
      </c>
      <c r="I1863">
        <v>1</v>
      </c>
      <c r="J1863" t="s">
        <v>35</v>
      </c>
      <c r="K1863">
        <v>144000</v>
      </c>
    </row>
    <row r="1864" spans="1:11" x14ac:dyDescent="0.25">
      <c r="A1864" s="10">
        <v>45767</v>
      </c>
      <c r="B1864" t="s">
        <v>25</v>
      </c>
      <c r="C1864" t="s">
        <v>32</v>
      </c>
      <c r="D1864" t="s">
        <v>23</v>
      </c>
      <c r="E1864" t="s">
        <v>20</v>
      </c>
      <c r="F1864" t="s">
        <v>33</v>
      </c>
      <c r="G1864" t="s">
        <v>22</v>
      </c>
      <c r="H1864">
        <v>180000</v>
      </c>
      <c r="I1864">
        <v>1</v>
      </c>
      <c r="J1864" t="s">
        <v>28</v>
      </c>
      <c r="K1864">
        <v>144000</v>
      </c>
    </row>
    <row r="1865" spans="1:11" x14ac:dyDescent="0.25">
      <c r="A1865" s="10">
        <v>45760</v>
      </c>
      <c r="B1865" t="s">
        <v>11</v>
      </c>
      <c r="C1865" t="s">
        <v>19</v>
      </c>
      <c r="D1865" t="s">
        <v>13</v>
      </c>
      <c r="E1865" t="s">
        <v>20</v>
      </c>
      <c r="F1865" t="s">
        <v>40</v>
      </c>
      <c r="G1865" t="s">
        <v>31</v>
      </c>
      <c r="H1865">
        <v>250000</v>
      </c>
      <c r="I1865">
        <v>9</v>
      </c>
      <c r="J1865" t="s">
        <v>17</v>
      </c>
      <c r="K1865">
        <v>200000</v>
      </c>
    </row>
    <row r="1866" spans="1:11" x14ac:dyDescent="0.25">
      <c r="A1866" s="10">
        <v>45675</v>
      </c>
      <c r="B1866" t="s">
        <v>29</v>
      </c>
      <c r="C1866" t="s">
        <v>12</v>
      </c>
      <c r="D1866" t="s">
        <v>13</v>
      </c>
      <c r="E1866" t="s">
        <v>20</v>
      </c>
      <c r="F1866" t="s">
        <v>15</v>
      </c>
      <c r="G1866" t="s">
        <v>16</v>
      </c>
      <c r="H1866">
        <v>85000</v>
      </c>
      <c r="I1866">
        <v>4</v>
      </c>
      <c r="J1866" t="s">
        <v>35</v>
      </c>
      <c r="K1866">
        <v>68000</v>
      </c>
    </row>
    <row r="1867" spans="1:11" x14ac:dyDescent="0.25">
      <c r="A1867" s="10">
        <v>45700</v>
      </c>
      <c r="B1867" t="s">
        <v>11</v>
      </c>
      <c r="C1867" t="s">
        <v>32</v>
      </c>
      <c r="D1867" t="s">
        <v>23</v>
      </c>
      <c r="E1867" t="s">
        <v>20</v>
      </c>
      <c r="F1867" t="s">
        <v>38</v>
      </c>
      <c r="G1867" t="s">
        <v>31</v>
      </c>
      <c r="H1867">
        <v>420000</v>
      </c>
      <c r="I1867">
        <v>8</v>
      </c>
      <c r="J1867" t="s">
        <v>24</v>
      </c>
      <c r="K1867">
        <v>336000</v>
      </c>
    </row>
    <row r="1868" spans="1:11" x14ac:dyDescent="0.25">
      <c r="A1868" s="10">
        <v>45724</v>
      </c>
      <c r="B1868" t="s">
        <v>25</v>
      </c>
      <c r="C1868" t="s">
        <v>32</v>
      </c>
      <c r="D1868" t="s">
        <v>23</v>
      </c>
      <c r="E1868" t="s">
        <v>20</v>
      </c>
      <c r="F1868" t="s">
        <v>34</v>
      </c>
      <c r="G1868" t="s">
        <v>16</v>
      </c>
      <c r="H1868">
        <v>320000</v>
      </c>
      <c r="I1868">
        <v>6</v>
      </c>
      <c r="J1868" t="s">
        <v>24</v>
      </c>
      <c r="K1868">
        <v>256000</v>
      </c>
    </row>
    <row r="1869" spans="1:11" x14ac:dyDescent="0.25">
      <c r="A1869" s="10">
        <v>45736</v>
      </c>
      <c r="B1869" t="s">
        <v>29</v>
      </c>
      <c r="C1869" t="s">
        <v>19</v>
      </c>
      <c r="D1869" t="s">
        <v>13</v>
      </c>
      <c r="E1869" t="s">
        <v>20</v>
      </c>
      <c r="F1869" t="s">
        <v>36</v>
      </c>
      <c r="G1869" t="s">
        <v>31</v>
      </c>
      <c r="H1869">
        <v>150000</v>
      </c>
      <c r="I1869">
        <v>3</v>
      </c>
      <c r="J1869" t="s">
        <v>37</v>
      </c>
      <c r="K1869">
        <v>120000</v>
      </c>
    </row>
    <row r="1870" spans="1:11" x14ac:dyDescent="0.25">
      <c r="A1870" s="10">
        <v>45677</v>
      </c>
      <c r="B1870" t="s">
        <v>11</v>
      </c>
      <c r="C1870" t="s">
        <v>32</v>
      </c>
      <c r="D1870" t="s">
        <v>13</v>
      </c>
      <c r="E1870" t="s">
        <v>20</v>
      </c>
      <c r="F1870" t="s">
        <v>15</v>
      </c>
      <c r="G1870" t="s">
        <v>16</v>
      </c>
      <c r="H1870">
        <v>85000</v>
      </c>
      <c r="I1870">
        <v>3</v>
      </c>
      <c r="J1870" t="s">
        <v>28</v>
      </c>
      <c r="K1870">
        <v>68000</v>
      </c>
    </row>
    <row r="1871" spans="1:11" x14ac:dyDescent="0.25">
      <c r="A1871" s="10">
        <v>45732</v>
      </c>
      <c r="B1871" t="s">
        <v>29</v>
      </c>
      <c r="C1871" t="s">
        <v>19</v>
      </c>
      <c r="D1871" t="s">
        <v>13</v>
      </c>
      <c r="E1871" t="s">
        <v>20</v>
      </c>
      <c r="F1871" t="s">
        <v>30</v>
      </c>
      <c r="G1871" t="s">
        <v>31</v>
      </c>
      <c r="H1871">
        <v>300000</v>
      </c>
      <c r="I1871">
        <v>1</v>
      </c>
      <c r="J1871" t="s">
        <v>28</v>
      </c>
      <c r="K1871">
        <v>240000</v>
      </c>
    </row>
    <row r="1872" spans="1:11" x14ac:dyDescent="0.25">
      <c r="A1872" s="10">
        <v>45745</v>
      </c>
      <c r="B1872" t="s">
        <v>25</v>
      </c>
      <c r="C1872" t="s">
        <v>19</v>
      </c>
      <c r="D1872" t="s">
        <v>23</v>
      </c>
      <c r="E1872" t="s">
        <v>14</v>
      </c>
      <c r="F1872" t="s">
        <v>33</v>
      </c>
      <c r="G1872" t="s">
        <v>22</v>
      </c>
      <c r="H1872">
        <v>180000</v>
      </c>
      <c r="I1872">
        <v>4</v>
      </c>
      <c r="J1872" t="s">
        <v>37</v>
      </c>
      <c r="K1872">
        <v>144000</v>
      </c>
    </row>
    <row r="1873" spans="1:11" x14ac:dyDescent="0.25">
      <c r="A1873" s="10">
        <v>45728</v>
      </c>
      <c r="B1873" t="s">
        <v>11</v>
      </c>
      <c r="C1873" t="s">
        <v>19</v>
      </c>
      <c r="D1873" t="s">
        <v>13</v>
      </c>
      <c r="E1873" t="s">
        <v>14</v>
      </c>
      <c r="F1873" t="s">
        <v>38</v>
      </c>
      <c r="G1873" t="s">
        <v>31</v>
      </c>
      <c r="H1873">
        <v>420000</v>
      </c>
      <c r="I1873">
        <v>10</v>
      </c>
      <c r="J1873" t="s">
        <v>35</v>
      </c>
      <c r="K1873">
        <v>336000</v>
      </c>
    </row>
    <row r="1874" spans="1:11" x14ac:dyDescent="0.25">
      <c r="A1874" s="10">
        <v>45750</v>
      </c>
      <c r="B1874" t="s">
        <v>29</v>
      </c>
      <c r="C1874" t="s">
        <v>32</v>
      </c>
      <c r="D1874" t="s">
        <v>23</v>
      </c>
      <c r="E1874" t="s">
        <v>14</v>
      </c>
      <c r="F1874" t="s">
        <v>36</v>
      </c>
      <c r="G1874" t="s">
        <v>31</v>
      </c>
      <c r="H1874">
        <v>150000</v>
      </c>
      <c r="I1874">
        <v>4</v>
      </c>
      <c r="J1874" t="s">
        <v>39</v>
      </c>
      <c r="K1874">
        <v>120000</v>
      </c>
    </row>
    <row r="1875" spans="1:11" x14ac:dyDescent="0.25">
      <c r="A1875" s="10">
        <v>45770</v>
      </c>
      <c r="B1875" t="s">
        <v>18</v>
      </c>
      <c r="C1875" t="s">
        <v>26</v>
      </c>
      <c r="D1875" t="s">
        <v>13</v>
      </c>
      <c r="E1875" t="s">
        <v>14</v>
      </c>
      <c r="F1875" t="s">
        <v>15</v>
      </c>
      <c r="G1875" t="s">
        <v>16</v>
      </c>
      <c r="H1875">
        <v>85000</v>
      </c>
      <c r="I1875">
        <v>6</v>
      </c>
      <c r="J1875" t="s">
        <v>39</v>
      </c>
      <c r="K1875">
        <v>68000</v>
      </c>
    </row>
    <row r="1876" spans="1:11" x14ac:dyDescent="0.25">
      <c r="A1876" s="10">
        <v>45679</v>
      </c>
      <c r="B1876" t="s">
        <v>25</v>
      </c>
      <c r="C1876" t="s">
        <v>12</v>
      </c>
      <c r="D1876" t="s">
        <v>23</v>
      </c>
      <c r="E1876" t="s">
        <v>20</v>
      </c>
      <c r="F1876" t="s">
        <v>30</v>
      </c>
      <c r="G1876" t="s">
        <v>31</v>
      </c>
      <c r="H1876">
        <v>300000</v>
      </c>
      <c r="I1876">
        <v>10</v>
      </c>
      <c r="J1876" t="s">
        <v>17</v>
      </c>
      <c r="K1876">
        <v>240000</v>
      </c>
    </row>
    <row r="1877" spans="1:11" x14ac:dyDescent="0.25">
      <c r="A1877" s="10">
        <v>45778</v>
      </c>
      <c r="B1877" t="s">
        <v>18</v>
      </c>
      <c r="C1877" t="s">
        <v>19</v>
      </c>
      <c r="D1877" t="s">
        <v>23</v>
      </c>
      <c r="E1877" t="s">
        <v>20</v>
      </c>
      <c r="F1877" t="s">
        <v>36</v>
      </c>
      <c r="G1877" t="s">
        <v>31</v>
      </c>
      <c r="H1877">
        <v>150000</v>
      </c>
      <c r="I1877">
        <v>6</v>
      </c>
      <c r="J1877" t="s">
        <v>39</v>
      </c>
      <c r="K1877">
        <v>120000</v>
      </c>
    </row>
    <row r="1878" spans="1:11" x14ac:dyDescent="0.25">
      <c r="A1878" s="10">
        <v>45754</v>
      </c>
      <c r="B1878" t="s">
        <v>25</v>
      </c>
      <c r="C1878" t="s">
        <v>12</v>
      </c>
      <c r="D1878" t="s">
        <v>23</v>
      </c>
      <c r="E1878" t="s">
        <v>20</v>
      </c>
      <c r="F1878" t="s">
        <v>36</v>
      </c>
      <c r="G1878" t="s">
        <v>31</v>
      </c>
      <c r="H1878">
        <v>150000</v>
      </c>
      <c r="I1878">
        <v>1</v>
      </c>
      <c r="J1878" t="s">
        <v>39</v>
      </c>
      <c r="K1878">
        <v>120000</v>
      </c>
    </row>
    <row r="1879" spans="1:11" x14ac:dyDescent="0.25">
      <c r="A1879" s="10">
        <v>45683</v>
      </c>
      <c r="B1879" t="s">
        <v>29</v>
      </c>
      <c r="C1879" t="s">
        <v>12</v>
      </c>
      <c r="D1879" t="s">
        <v>13</v>
      </c>
      <c r="E1879" t="s">
        <v>20</v>
      </c>
      <c r="F1879" t="s">
        <v>30</v>
      </c>
      <c r="G1879" t="s">
        <v>31</v>
      </c>
      <c r="H1879">
        <v>300000</v>
      </c>
      <c r="I1879">
        <v>3</v>
      </c>
      <c r="J1879" t="s">
        <v>28</v>
      </c>
      <c r="K1879">
        <v>240000</v>
      </c>
    </row>
    <row r="1880" spans="1:11" x14ac:dyDescent="0.25">
      <c r="A1880" s="10">
        <v>45683</v>
      </c>
      <c r="B1880" t="s">
        <v>29</v>
      </c>
      <c r="C1880" t="s">
        <v>12</v>
      </c>
      <c r="D1880" t="s">
        <v>13</v>
      </c>
      <c r="E1880" t="s">
        <v>14</v>
      </c>
      <c r="F1880" t="s">
        <v>30</v>
      </c>
      <c r="G1880" t="s">
        <v>31</v>
      </c>
      <c r="H1880">
        <v>300000</v>
      </c>
      <c r="I1880">
        <v>8</v>
      </c>
      <c r="J1880" t="s">
        <v>37</v>
      </c>
      <c r="K1880">
        <v>240000</v>
      </c>
    </row>
    <row r="1881" spans="1:11" x14ac:dyDescent="0.25">
      <c r="A1881" s="10">
        <v>45659</v>
      </c>
      <c r="B1881" t="s">
        <v>18</v>
      </c>
      <c r="C1881" t="s">
        <v>12</v>
      </c>
      <c r="D1881" t="s">
        <v>23</v>
      </c>
      <c r="E1881" t="s">
        <v>14</v>
      </c>
      <c r="F1881" t="s">
        <v>30</v>
      </c>
      <c r="G1881" t="s">
        <v>31</v>
      </c>
      <c r="H1881">
        <v>300000</v>
      </c>
      <c r="I1881">
        <v>9</v>
      </c>
      <c r="J1881" t="s">
        <v>17</v>
      </c>
      <c r="K1881">
        <v>240000</v>
      </c>
    </row>
    <row r="1882" spans="1:11" x14ac:dyDescent="0.25">
      <c r="A1882" s="10">
        <v>45668</v>
      </c>
      <c r="B1882" t="s">
        <v>29</v>
      </c>
      <c r="C1882" t="s">
        <v>19</v>
      </c>
      <c r="D1882" t="s">
        <v>13</v>
      </c>
      <c r="E1882" t="s">
        <v>14</v>
      </c>
      <c r="F1882" t="s">
        <v>30</v>
      </c>
      <c r="G1882" t="s">
        <v>31</v>
      </c>
      <c r="H1882">
        <v>300000</v>
      </c>
      <c r="I1882">
        <v>2</v>
      </c>
      <c r="J1882" t="s">
        <v>35</v>
      </c>
      <c r="K1882">
        <v>240000</v>
      </c>
    </row>
    <row r="1883" spans="1:11" x14ac:dyDescent="0.25">
      <c r="A1883" s="10">
        <v>45726</v>
      </c>
      <c r="B1883" t="s">
        <v>29</v>
      </c>
      <c r="C1883" t="s">
        <v>12</v>
      </c>
      <c r="D1883" t="s">
        <v>23</v>
      </c>
      <c r="E1883" t="s">
        <v>20</v>
      </c>
      <c r="F1883" t="s">
        <v>30</v>
      </c>
      <c r="G1883" t="s">
        <v>31</v>
      </c>
      <c r="H1883">
        <v>300000</v>
      </c>
      <c r="I1883">
        <v>10</v>
      </c>
      <c r="J1883" t="s">
        <v>28</v>
      </c>
      <c r="K1883">
        <v>240000</v>
      </c>
    </row>
    <row r="1884" spans="1:11" x14ac:dyDescent="0.25">
      <c r="A1884" s="10">
        <v>45663</v>
      </c>
      <c r="B1884" t="s">
        <v>11</v>
      </c>
      <c r="C1884" t="s">
        <v>26</v>
      </c>
      <c r="D1884" t="s">
        <v>23</v>
      </c>
      <c r="E1884" t="s">
        <v>20</v>
      </c>
      <c r="F1884" t="s">
        <v>41</v>
      </c>
      <c r="G1884" t="s">
        <v>22</v>
      </c>
      <c r="H1884">
        <v>220000</v>
      </c>
      <c r="I1884">
        <v>4</v>
      </c>
      <c r="J1884" t="s">
        <v>37</v>
      </c>
      <c r="K1884">
        <v>176000</v>
      </c>
    </row>
    <row r="1885" spans="1:11" x14ac:dyDescent="0.25">
      <c r="A1885" s="10">
        <v>45772</v>
      </c>
      <c r="B1885" t="s">
        <v>29</v>
      </c>
      <c r="C1885" t="s">
        <v>19</v>
      </c>
      <c r="D1885" t="s">
        <v>23</v>
      </c>
      <c r="E1885" t="s">
        <v>14</v>
      </c>
      <c r="F1885" t="s">
        <v>15</v>
      </c>
      <c r="G1885" t="s">
        <v>16</v>
      </c>
      <c r="H1885">
        <v>85000</v>
      </c>
      <c r="I1885">
        <v>6</v>
      </c>
      <c r="J1885" t="s">
        <v>37</v>
      </c>
      <c r="K1885">
        <v>68000</v>
      </c>
    </row>
    <row r="1886" spans="1:11" x14ac:dyDescent="0.25">
      <c r="A1886" s="10">
        <v>45738</v>
      </c>
      <c r="B1886" t="s">
        <v>11</v>
      </c>
      <c r="C1886" t="s">
        <v>26</v>
      </c>
      <c r="D1886" t="s">
        <v>23</v>
      </c>
      <c r="E1886" t="s">
        <v>20</v>
      </c>
      <c r="F1886" t="s">
        <v>27</v>
      </c>
      <c r="G1886" t="s">
        <v>22</v>
      </c>
      <c r="H1886">
        <v>60000</v>
      </c>
      <c r="I1886">
        <v>4</v>
      </c>
      <c r="J1886" t="s">
        <v>28</v>
      </c>
      <c r="K1886">
        <v>48000</v>
      </c>
    </row>
    <row r="1887" spans="1:11" x14ac:dyDescent="0.25">
      <c r="A1887" s="10">
        <v>45769</v>
      </c>
      <c r="B1887" t="s">
        <v>18</v>
      </c>
      <c r="C1887" t="s">
        <v>12</v>
      </c>
      <c r="D1887" t="s">
        <v>13</v>
      </c>
      <c r="E1887" t="s">
        <v>20</v>
      </c>
      <c r="F1887" t="s">
        <v>41</v>
      </c>
      <c r="G1887" t="s">
        <v>22</v>
      </c>
      <c r="H1887">
        <v>220000</v>
      </c>
      <c r="I1887">
        <v>2</v>
      </c>
      <c r="J1887" t="s">
        <v>24</v>
      </c>
      <c r="K1887">
        <v>176000</v>
      </c>
    </row>
    <row r="1888" spans="1:11" x14ac:dyDescent="0.25">
      <c r="A1888" s="10">
        <v>45733</v>
      </c>
      <c r="B1888" t="s">
        <v>18</v>
      </c>
      <c r="C1888" t="s">
        <v>32</v>
      </c>
      <c r="D1888" t="s">
        <v>23</v>
      </c>
      <c r="E1888" t="s">
        <v>14</v>
      </c>
      <c r="F1888" t="s">
        <v>30</v>
      </c>
      <c r="G1888" t="s">
        <v>31</v>
      </c>
      <c r="H1888">
        <v>300000</v>
      </c>
      <c r="I1888">
        <v>3</v>
      </c>
      <c r="J1888" t="s">
        <v>17</v>
      </c>
      <c r="K1888">
        <v>240000</v>
      </c>
    </row>
    <row r="1889" spans="1:11" x14ac:dyDescent="0.25">
      <c r="A1889" s="10">
        <v>45759</v>
      </c>
      <c r="B1889" t="s">
        <v>25</v>
      </c>
      <c r="C1889" t="s">
        <v>12</v>
      </c>
      <c r="D1889" t="s">
        <v>23</v>
      </c>
      <c r="E1889" t="s">
        <v>14</v>
      </c>
      <c r="F1889" t="s">
        <v>41</v>
      </c>
      <c r="G1889" t="s">
        <v>22</v>
      </c>
      <c r="H1889">
        <v>220000</v>
      </c>
      <c r="I1889">
        <v>8</v>
      </c>
      <c r="J1889" t="s">
        <v>39</v>
      </c>
      <c r="K1889">
        <v>176000</v>
      </c>
    </row>
    <row r="1890" spans="1:11" x14ac:dyDescent="0.25">
      <c r="A1890" s="10">
        <v>45752</v>
      </c>
      <c r="B1890" t="s">
        <v>11</v>
      </c>
      <c r="C1890" t="s">
        <v>12</v>
      </c>
      <c r="D1890" t="s">
        <v>13</v>
      </c>
      <c r="E1890" t="s">
        <v>14</v>
      </c>
      <c r="F1890" t="s">
        <v>40</v>
      </c>
      <c r="G1890" t="s">
        <v>31</v>
      </c>
      <c r="H1890">
        <v>250000</v>
      </c>
      <c r="I1890">
        <v>8</v>
      </c>
      <c r="J1890" t="s">
        <v>37</v>
      </c>
      <c r="K1890">
        <v>200000</v>
      </c>
    </row>
    <row r="1891" spans="1:11" x14ac:dyDescent="0.25">
      <c r="A1891" s="10">
        <v>45738</v>
      </c>
      <c r="B1891" t="s">
        <v>25</v>
      </c>
      <c r="C1891" t="s">
        <v>12</v>
      </c>
      <c r="D1891" t="s">
        <v>13</v>
      </c>
      <c r="E1891" t="s">
        <v>14</v>
      </c>
      <c r="F1891" t="s">
        <v>15</v>
      </c>
      <c r="G1891" t="s">
        <v>16</v>
      </c>
      <c r="H1891">
        <v>85000</v>
      </c>
      <c r="I1891">
        <v>2</v>
      </c>
      <c r="J1891" t="s">
        <v>17</v>
      </c>
      <c r="K1891">
        <v>68000</v>
      </c>
    </row>
    <row r="1892" spans="1:11" x14ac:dyDescent="0.25">
      <c r="A1892" s="10">
        <v>45777</v>
      </c>
      <c r="B1892" t="s">
        <v>29</v>
      </c>
      <c r="C1892" t="s">
        <v>26</v>
      </c>
      <c r="D1892" t="s">
        <v>23</v>
      </c>
      <c r="E1892" t="s">
        <v>20</v>
      </c>
      <c r="F1892" t="s">
        <v>36</v>
      </c>
      <c r="G1892" t="s">
        <v>31</v>
      </c>
      <c r="H1892">
        <v>150000</v>
      </c>
      <c r="I1892">
        <v>7</v>
      </c>
      <c r="J1892" t="s">
        <v>37</v>
      </c>
      <c r="K1892">
        <v>120000</v>
      </c>
    </row>
    <row r="1893" spans="1:11" x14ac:dyDescent="0.25">
      <c r="A1893" s="10">
        <v>45730</v>
      </c>
      <c r="B1893" t="s">
        <v>25</v>
      </c>
      <c r="C1893" t="s">
        <v>26</v>
      </c>
      <c r="D1893" t="s">
        <v>13</v>
      </c>
      <c r="E1893" t="s">
        <v>14</v>
      </c>
      <c r="F1893" t="s">
        <v>21</v>
      </c>
      <c r="G1893" t="s">
        <v>22</v>
      </c>
      <c r="H1893">
        <v>30000</v>
      </c>
      <c r="I1893">
        <v>8</v>
      </c>
      <c r="J1893" t="s">
        <v>28</v>
      </c>
      <c r="K1893">
        <v>24000</v>
      </c>
    </row>
    <row r="1894" spans="1:11" x14ac:dyDescent="0.25">
      <c r="A1894" s="10">
        <v>45684</v>
      </c>
      <c r="B1894" t="s">
        <v>11</v>
      </c>
      <c r="C1894" t="s">
        <v>12</v>
      </c>
      <c r="D1894" t="s">
        <v>23</v>
      </c>
      <c r="E1894" t="s">
        <v>14</v>
      </c>
      <c r="F1894" t="s">
        <v>15</v>
      </c>
      <c r="G1894" t="s">
        <v>16</v>
      </c>
      <c r="H1894">
        <v>85000</v>
      </c>
      <c r="I1894">
        <v>2</v>
      </c>
      <c r="J1894" t="s">
        <v>37</v>
      </c>
      <c r="K1894">
        <v>68000</v>
      </c>
    </row>
    <row r="1895" spans="1:11" x14ac:dyDescent="0.25">
      <c r="A1895" s="10">
        <v>45744</v>
      </c>
      <c r="B1895" t="s">
        <v>11</v>
      </c>
      <c r="C1895" t="s">
        <v>32</v>
      </c>
      <c r="D1895" t="s">
        <v>13</v>
      </c>
      <c r="E1895" t="s">
        <v>14</v>
      </c>
      <c r="F1895" t="s">
        <v>33</v>
      </c>
      <c r="G1895" t="s">
        <v>22</v>
      </c>
      <c r="H1895">
        <v>180000</v>
      </c>
      <c r="I1895">
        <v>5</v>
      </c>
      <c r="J1895" t="s">
        <v>24</v>
      </c>
      <c r="K1895">
        <v>144000</v>
      </c>
    </row>
    <row r="1896" spans="1:11" x14ac:dyDescent="0.25">
      <c r="A1896" s="10">
        <v>45726</v>
      </c>
      <c r="B1896" t="s">
        <v>11</v>
      </c>
      <c r="C1896" t="s">
        <v>26</v>
      </c>
      <c r="D1896" t="s">
        <v>13</v>
      </c>
      <c r="E1896" t="s">
        <v>14</v>
      </c>
      <c r="F1896" t="s">
        <v>15</v>
      </c>
      <c r="G1896" t="s">
        <v>16</v>
      </c>
      <c r="H1896">
        <v>85000</v>
      </c>
      <c r="I1896">
        <v>9</v>
      </c>
      <c r="J1896" t="s">
        <v>37</v>
      </c>
      <c r="K1896">
        <v>68000</v>
      </c>
    </row>
    <row r="1897" spans="1:11" x14ac:dyDescent="0.25">
      <c r="A1897" s="10">
        <v>45664</v>
      </c>
      <c r="B1897" t="s">
        <v>11</v>
      </c>
      <c r="C1897" t="s">
        <v>32</v>
      </c>
      <c r="D1897" t="s">
        <v>23</v>
      </c>
      <c r="E1897" t="s">
        <v>14</v>
      </c>
      <c r="F1897" t="s">
        <v>38</v>
      </c>
      <c r="G1897" t="s">
        <v>31</v>
      </c>
      <c r="H1897">
        <v>420000</v>
      </c>
      <c r="I1897">
        <v>9</v>
      </c>
      <c r="J1897" t="s">
        <v>24</v>
      </c>
      <c r="K1897">
        <v>336000</v>
      </c>
    </row>
    <row r="1898" spans="1:11" x14ac:dyDescent="0.25">
      <c r="A1898" s="10">
        <v>45728</v>
      </c>
      <c r="B1898" t="s">
        <v>29</v>
      </c>
      <c r="C1898" t="s">
        <v>32</v>
      </c>
      <c r="D1898" t="s">
        <v>13</v>
      </c>
      <c r="E1898" t="s">
        <v>14</v>
      </c>
      <c r="F1898" t="s">
        <v>34</v>
      </c>
      <c r="G1898" t="s">
        <v>16</v>
      </c>
      <c r="H1898">
        <v>320000</v>
      </c>
      <c r="I1898">
        <v>5</v>
      </c>
      <c r="J1898" t="s">
        <v>17</v>
      </c>
      <c r="K1898">
        <v>256000</v>
      </c>
    </row>
    <row r="1899" spans="1:11" x14ac:dyDescent="0.25">
      <c r="A1899" s="10">
        <v>45769</v>
      </c>
      <c r="B1899" t="s">
        <v>11</v>
      </c>
      <c r="C1899" t="s">
        <v>19</v>
      </c>
      <c r="D1899" t="s">
        <v>13</v>
      </c>
      <c r="E1899" t="s">
        <v>14</v>
      </c>
      <c r="F1899" t="s">
        <v>34</v>
      </c>
      <c r="G1899" t="s">
        <v>16</v>
      </c>
      <c r="H1899">
        <v>320000</v>
      </c>
      <c r="I1899">
        <v>1</v>
      </c>
      <c r="J1899" t="s">
        <v>37</v>
      </c>
      <c r="K1899">
        <v>256000</v>
      </c>
    </row>
    <row r="1900" spans="1:11" x14ac:dyDescent="0.25">
      <c r="A1900" s="10">
        <v>45733</v>
      </c>
      <c r="B1900" t="s">
        <v>29</v>
      </c>
      <c r="C1900" t="s">
        <v>26</v>
      </c>
      <c r="D1900" t="s">
        <v>13</v>
      </c>
      <c r="E1900" t="s">
        <v>14</v>
      </c>
      <c r="F1900" t="s">
        <v>21</v>
      </c>
      <c r="G1900" t="s">
        <v>22</v>
      </c>
      <c r="H1900">
        <v>30000</v>
      </c>
      <c r="I1900">
        <v>10</v>
      </c>
      <c r="J1900" t="s">
        <v>35</v>
      </c>
      <c r="K1900">
        <v>24000</v>
      </c>
    </row>
    <row r="1901" spans="1:11" x14ac:dyDescent="0.25">
      <c r="A1901" s="10">
        <v>45702</v>
      </c>
      <c r="B1901" t="s">
        <v>18</v>
      </c>
      <c r="C1901" t="s">
        <v>12</v>
      </c>
      <c r="D1901" t="s">
        <v>13</v>
      </c>
      <c r="E1901" t="s">
        <v>20</v>
      </c>
      <c r="F1901" t="s">
        <v>33</v>
      </c>
      <c r="G1901" t="s">
        <v>22</v>
      </c>
      <c r="H1901">
        <v>180000</v>
      </c>
      <c r="I1901">
        <v>10</v>
      </c>
      <c r="J1901" t="s">
        <v>39</v>
      </c>
      <c r="K1901">
        <v>144000</v>
      </c>
    </row>
    <row r="1902" spans="1:11" x14ac:dyDescent="0.25">
      <c r="A1902" s="10">
        <v>45732</v>
      </c>
      <c r="B1902" t="s">
        <v>11</v>
      </c>
      <c r="C1902" t="s">
        <v>26</v>
      </c>
      <c r="D1902" t="s">
        <v>23</v>
      </c>
      <c r="E1902" t="s">
        <v>14</v>
      </c>
      <c r="F1902" t="s">
        <v>34</v>
      </c>
      <c r="G1902" t="s">
        <v>16</v>
      </c>
      <c r="H1902">
        <v>320000</v>
      </c>
      <c r="I1902">
        <v>9</v>
      </c>
      <c r="J1902" t="s">
        <v>28</v>
      </c>
      <c r="K1902">
        <v>256000</v>
      </c>
    </row>
    <row r="1903" spans="1:11" x14ac:dyDescent="0.25">
      <c r="A1903" s="10">
        <v>45659</v>
      </c>
      <c r="B1903" t="s">
        <v>11</v>
      </c>
      <c r="C1903" t="s">
        <v>32</v>
      </c>
      <c r="D1903" t="s">
        <v>23</v>
      </c>
      <c r="E1903" t="s">
        <v>14</v>
      </c>
      <c r="F1903" t="s">
        <v>38</v>
      </c>
      <c r="G1903" t="s">
        <v>31</v>
      </c>
      <c r="H1903">
        <v>420000</v>
      </c>
      <c r="I1903">
        <v>2</v>
      </c>
      <c r="J1903" t="s">
        <v>37</v>
      </c>
      <c r="K1903">
        <v>336000</v>
      </c>
    </row>
    <row r="1904" spans="1:11" x14ac:dyDescent="0.25">
      <c r="A1904" s="10">
        <v>45684</v>
      </c>
      <c r="B1904" t="s">
        <v>29</v>
      </c>
      <c r="C1904" t="s">
        <v>12</v>
      </c>
      <c r="D1904" t="s">
        <v>13</v>
      </c>
      <c r="E1904" t="s">
        <v>14</v>
      </c>
      <c r="F1904" t="s">
        <v>30</v>
      </c>
      <c r="G1904" t="s">
        <v>31</v>
      </c>
      <c r="H1904">
        <v>300000</v>
      </c>
      <c r="I1904">
        <v>6</v>
      </c>
      <c r="J1904" t="s">
        <v>28</v>
      </c>
      <c r="K1904">
        <v>240000</v>
      </c>
    </row>
    <row r="1905" spans="1:11" x14ac:dyDescent="0.25">
      <c r="A1905" s="10">
        <v>45684</v>
      </c>
      <c r="B1905" t="s">
        <v>29</v>
      </c>
      <c r="C1905" t="s">
        <v>26</v>
      </c>
      <c r="D1905" t="s">
        <v>23</v>
      </c>
      <c r="E1905" t="s">
        <v>20</v>
      </c>
      <c r="F1905" t="s">
        <v>21</v>
      </c>
      <c r="G1905" t="s">
        <v>22</v>
      </c>
      <c r="H1905">
        <v>30000</v>
      </c>
      <c r="I1905">
        <v>4</v>
      </c>
      <c r="J1905" t="s">
        <v>24</v>
      </c>
      <c r="K1905">
        <v>24000</v>
      </c>
    </row>
    <row r="1906" spans="1:11" x14ac:dyDescent="0.25">
      <c r="A1906" s="10">
        <v>45689</v>
      </c>
      <c r="B1906" t="s">
        <v>25</v>
      </c>
      <c r="C1906" t="s">
        <v>32</v>
      </c>
      <c r="D1906" t="s">
        <v>23</v>
      </c>
      <c r="E1906" t="s">
        <v>20</v>
      </c>
      <c r="F1906" t="s">
        <v>34</v>
      </c>
      <c r="G1906" t="s">
        <v>16</v>
      </c>
      <c r="H1906">
        <v>320000</v>
      </c>
      <c r="I1906">
        <v>7</v>
      </c>
      <c r="J1906" t="s">
        <v>28</v>
      </c>
      <c r="K1906">
        <v>256000</v>
      </c>
    </row>
    <row r="1907" spans="1:11" x14ac:dyDescent="0.25">
      <c r="A1907" s="10">
        <v>45668</v>
      </c>
      <c r="B1907" t="s">
        <v>29</v>
      </c>
      <c r="C1907" t="s">
        <v>26</v>
      </c>
      <c r="D1907" t="s">
        <v>23</v>
      </c>
      <c r="E1907" t="s">
        <v>20</v>
      </c>
      <c r="F1907" t="s">
        <v>34</v>
      </c>
      <c r="G1907" t="s">
        <v>16</v>
      </c>
      <c r="H1907">
        <v>320000</v>
      </c>
      <c r="I1907">
        <v>1</v>
      </c>
      <c r="J1907" t="s">
        <v>37</v>
      </c>
      <c r="K1907">
        <v>256000</v>
      </c>
    </row>
    <row r="1908" spans="1:11" x14ac:dyDescent="0.25">
      <c r="A1908" s="10">
        <v>45760</v>
      </c>
      <c r="B1908" t="s">
        <v>29</v>
      </c>
      <c r="C1908" t="s">
        <v>26</v>
      </c>
      <c r="D1908" t="s">
        <v>23</v>
      </c>
      <c r="E1908" t="s">
        <v>14</v>
      </c>
      <c r="F1908" t="s">
        <v>30</v>
      </c>
      <c r="G1908" t="s">
        <v>31</v>
      </c>
      <c r="H1908">
        <v>300000</v>
      </c>
      <c r="I1908">
        <v>3</v>
      </c>
      <c r="J1908" t="s">
        <v>35</v>
      </c>
      <c r="K1908">
        <v>240000</v>
      </c>
    </row>
    <row r="1909" spans="1:11" x14ac:dyDescent="0.25">
      <c r="A1909" s="10">
        <v>45692</v>
      </c>
      <c r="B1909" t="s">
        <v>29</v>
      </c>
      <c r="C1909" t="s">
        <v>19</v>
      </c>
      <c r="D1909" t="s">
        <v>23</v>
      </c>
      <c r="E1909" t="s">
        <v>14</v>
      </c>
      <c r="F1909" t="s">
        <v>21</v>
      </c>
      <c r="G1909" t="s">
        <v>22</v>
      </c>
      <c r="H1909">
        <v>30000</v>
      </c>
      <c r="I1909">
        <v>6</v>
      </c>
      <c r="J1909" t="s">
        <v>28</v>
      </c>
      <c r="K1909">
        <v>24000</v>
      </c>
    </row>
    <row r="1910" spans="1:11" x14ac:dyDescent="0.25">
      <c r="A1910" s="10">
        <v>45721</v>
      </c>
      <c r="B1910" t="s">
        <v>18</v>
      </c>
      <c r="C1910" t="s">
        <v>26</v>
      </c>
      <c r="D1910" t="s">
        <v>23</v>
      </c>
      <c r="E1910" t="s">
        <v>20</v>
      </c>
      <c r="F1910" t="s">
        <v>41</v>
      </c>
      <c r="G1910" t="s">
        <v>22</v>
      </c>
      <c r="H1910">
        <v>220000</v>
      </c>
      <c r="I1910">
        <v>1</v>
      </c>
      <c r="J1910" t="s">
        <v>28</v>
      </c>
      <c r="K1910">
        <v>176000</v>
      </c>
    </row>
    <row r="1911" spans="1:11" x14ac:dyDescent="0.25">
      <c r="A1911" s="10">
        <v>45665</v>
      </c>
      <c r="B1911" t="s">
        <v>29</v>
      </c>
      <c r="C1911" t="s">
        <v>32</v>
      </c>
      <c r="D1911" t="s">
        <v>13</v>
      </c>
      <c r="E1911" t="s">
        <v>14</v>
      </c>
      <c r="F1911" t="s">
        <v>21</v>
      </c>
      <c r="G1911" t="s">
        <v>22</v>
      </c>
      <c r="H1911">
        <v>30000</v>
      </c>
      <c r="I1911">
        <v>9</v>
      </c>
      <c r="J1911" t="s">
        <v>35</v>
      </c>
      <c r="K1911">
        <v>24000</v>
      </c>
    </row>
    <row r="1912" spans="1:11" x14ac:dyDescent="0.25">
      <c r="A1912" s="10">
        <v>45737</v>
      </c>
      <c r="B1912" t="s">
        <v>11</v>
      </c>
      <c r="C1912" t="s">
        <v>12</v>
      </c>
      <c r="D1912" t="s">
        <v>23</v>
      </c>
      <c r="E1912" t="s">
        <v>14</v>
      </c>
      <c r="F1912" t="s">
        <v>41</v>
      </c>
      <c r="G1912" t="s">
        <v>22</v>
      </c>
      <c r="H1912">
        <v>220000</v>
      </c>
      <c r="I1912">
        <v>10</v>
      </c>
      <c r="J1912" t="s">
        <v>35</v>
      </c>
      <c r="K1912">
        <v>176000</v>
      </c>
    </row>
    <row r="1913" spans="1:11" x14ac:dyDescent="0.25">
      <c r="A1913" s="10">
        <v>45754</v>
      </c>
      <c r="B1913" t="s">
        <v>18</v>
      </c>
      <c r="C1913" t="s">
        <v>26</v>
      </c>
      <c r="D1913" t="s">
        <v>13</v>
      </c>
      <c r="E1913" t="s">
        <v>14</v>
      </c>
      <c r="F1913" t="s">
        <v>41</v>
      </c>
      <c r="G1913" t="s">
        <v>22</v>
      </c>
      <c r="H1913">
        <v>220000</v>
      </c>
      <c r="I1913">
        <v>9</v>
      </c>
      <c r="J1913" t="s">
        <v>17</v>
      </c>
      <c r="K1913">
        <v>176000</v>
      </c>
    </row>
    <row r="1914" spans="1:11" x14ac:dyDescent="0.25">
      <c r="A1914" s="10">
        <v>45718</v>
      </c>
      <c r="B1914" t="s">
        <v>11</v>
      </c>
      <c r="C1914" t="s">
        <v>32</v>
      </c>
      <c r="D1914" t="s">
        <v>23</v>
      </c>
      <c r="E1914" t="s">
        <v>14</v>
      </c>
      <c r="F1914" t="s">
        <v>27</v>
      </c>
      <c r="G1914" t="s">
        <v>22</v>
      </c>
      <c r="H1914">
        <v>60000</v>
      </c>
      <c r="I1914">
        <v>4</v>
      </c>
      <c r="J1914" t="s">
        <v>24</v>
      </c>
      <c r="K1914">
        <v>48000</v>
      </c>
    </row>
    <row r="1915" spans="1:11" x14ac:dyDescent="0.25">
      <c r="A1915" s="10">
        <v>45760</v>
      </c>
      <c r="B1915" t="s">
        <v>25</v>
      </c>
      <c r="C1915" t="s">
        <v>26</v>
      </c>
      <c r="D1915" t="s">
        <v>23</v>
      </c>
      <c r="E1915" t="s">
        <v>20</v>
      </c>
      <c r="F1915" t="s">
        <v>41</v>
      </c>
      <c r="G1915" t="s">
        <v>22</v>
      </c>
      <c r="H1915">
        <v>220000</v>
      </c>
      <c r="I1915">
        <v>7</v>
      </c>
      <c r="J1915" t="s">
        <v>24</v>
      </c>
      <c r="K1915">
        <v>176000</v>
      </c>
    </row>
    <row r="1916" spans="1:11" x14ac:dyDescent="0.25">
      <c r="A1916" s="10">
        <v>45721</v>
      </c>
      <c r="B1916" t="s">
        <v>11</v>
      </c>
      <c r="C1916" t="s">
        <v>26</v>
      </c>
      <c r="D1916" t="s">
        <v>13</v>
      </c>
      <c r="E1916" t="s">
        <v>20</v>
      </c>
      <c r="F1916" t="s">
        <v>34</v>
      </c>
      <c r="G1916" t="s">
        <v>16</v>
      </c>
      <c r="H1916">
        <v>320000</v>
      </c>
      <c r="I1916">
        <v>9</v>
      </c>
      <c r="J1916" t="s">
        <v>28</v>
      </c>
      <c r="K1916">
        <v>256000</v>
      </c>
    </row>
    <row r="1917" spans="1:11" x14ac:dyDescent="0.25">
      <c r="A1917" s="10">
        <v>45771</v>
      </c>
      <c r="B1917" t="s">
        <v>11</v>
      </c>
      <c r="C1917" t="s">
        <v>19</v>
      </c>
      <c r="D1917" t="s">
        <v>23</v>
      </c>
      <c r="E1917" t="s">
        <v>20</v>
      </c>
      <c r="F1917" t="s">
        <v>15</v>
      </c>
      <c r="G1917" t="s">
        <v>16</v>
      </c>
      <c r="H1917">
        <v>85000</v>
      </c>
      <c r="I1917">
        <v>5</v>
      </c>
      <c r="J1917" t="s">
        <v>39</v>
      </c>
      <c r="K1917">
        <v>68000</v>
      </c>
    </row>
    <row r="1918" spans="1:11" x14ac:dyDescent="0.25">
      <c r="A1918" s="10">
        <v>45662</v>
      </c>
      <c r="B1918" t="s">
        <v>29</v>
      </c>
      <c r="C1918" t="s">
        <v>32</v>
      </c>
      <c r="D1918" t="s">
        <v>13</v>
      </c>
      <c r="E1918" t="s">
        <v>14</v>
      </c>
      <c r="F1918" t="s">
        <v>40</v>
      </c>
      <c r="G1918" t="s">
        <v>31</v>
      </c>
      <c r="H1918">
        <v>250000</v>
      </c>
      <c r="I1918">
        <v>10</v>
      </c>
      <c r="J1918" t="s">
        <v>37</v>
      </c>
      <c r="K1918">
        <v>200000</v>
      </c>
    </row>
    <row r="1919" spans="1:11" x14ac:dyDescent="0.25">
      <c r="A1919" s="10">
        <v>45768</v>
      </c>
      <c r="B1919" t="s">
        <v>18</v>
      </c>
      <c r="C1919" t="s">
        <v>32</v>
      </c>
      <c r="D1919" t="s">
        <v>13</v>
      </c>
      <c r="E1919" t="s">
        <v>20</v>
      </c>
      <c r="F1919" t="s">
        <v>34</v>
      </c>
      <c r="G1919" t="s">
        <v>16</v>
      </c>
      <c r="H1919">
        <v>320000</v>
      </c>
      <c r="I1919">
        <v>8</v>
      </c>
      <c r="J1919" t="s">
        <v>28</v>
      </c>
      <c r="K1919">
        <v>256000</v>
      </c>
    </row>
    <row r="1920" spans="1:11" x14ac:dyDescent="0.25">
      <c r="A1920" s="10">
        <v>45661</v>
      </c>
      <c r="B1920" t="s">
        <v>29</v>
      </c>
      <c r="C1920" t="s">
        <v>12</v>
      </c>
      <c r="D1920" t="s">
        <v>23</v>
      </c>
      <c r="E1920" t="s">
        <v>20</v>
      </c>
      <c r="F1920" t="s">
        <v>36</v>
      </c>
      <c r="G1920" t="s">
        <v>31</v>
      </c>
      <c r="H1920">
        <v>150000</v>
      </c>
      <c r="I1920">
        <v>7</v>
      </c>
      <c r="J1920" t="s">
        <v>35</v>
      </c>
      <c r="K1920">
        <v>120000</v>
      </c>
    </row>
    <row r="1921" spans="1:11" x14ac:dyDescent="0.25">
      <c r="A1921" s="10">
        <v>45662</v>
      </c>
      <c r="B1921" t="s">
        <v>29</v>
      </c>
      <c r="C1921" t="s">
        <v>26</v>
      </c>
      <c r="D1921" t="s">
        <v>13</v>
      </c>
      <c r="E1921" t="s">
        <v>20</v>
      </c>
      <c r="F1921" t="s">
        <v>33</v>
      </c>
      <c r="G1921" t="s">
        <v>22</v>
      </c>
      <c r="H1921">
        <v>180000</v>
      </c>
      <c r="I1921">
        <v>8</v>
      </c>
      <c r="J1921" t="s">
        <v>35</v>
      </c>
      <c r="K1921">
        <v>144000</v>
      </c>
    </row>
    <row r="1922" spans="1:11" x14ac:dyDescent="0.25">
      <c r="A1922" s="10">
        <v>45753</v>
      </c>
      <c r="B1922" t="s">
        <v>11</v>
      </c>
      <c r="C1922" t="s">
        <v>32</v>
      </c>
      <c r="D1922" t="s">
        <v>13</v>
      </c>
      <c r="E1922" t="s">
        <v>14</v>
      </c>
      <c r="F1922" t="s">
        <v>34</v>
      </c>
      <c r="G1922" t="s">
        <v>16</v>
      </c>
      <c r="H1922">
        <v>320000</v>
      </c>
      <c r="I1922">
        <v>10</v>
      </c>
      <c r="J1922" t="s">
        <v>28</v>
      </c>
      <c r="K1922">
        <v>256000</v>
      </c>
    </row>
    <row r="1923" spans="1:11" x14ac:dyDescent="0.25">
      <c r="A1923" s="10">
        <v>45693</v>
      </c>
      <c r="B1923" t="s">
        <v>29</v>
      </c>
      <c r="C1923" t="s">
        <v>12</v>
      </c>
      <c r="D1923" t="s">
        <v>23</v>
      </c>
      <c r="E1923" t="s">
        <v>20</v>
      </c>
      <c r="F1923" t="s">
        <v>36</v>
      </c>
      <c r="G1923" t="s">
        <v>31</v>
      </c>
      <c r="H1923">
        <v>150000</v>
      </c>
      <c r="I1923">
        <v>7</v>
      </c>
      <c r="J1923" t="s">
        <v>39</v>
      </c>
      <c r="K1923">
        <v>120000</v>
      </c>
    </row>
    <row r="1924" spans="1:11" x14ac:dyDescent="0.25">
      <c r="A1924" s="10">
        <v>45734</v>
      </c>
      <c r="B1924" t="s">
        <v>25</v>
      </c>
      <c r="C1924" t="s">
        <v>19</v>
      </c>
      <c r="D1924" t="s">
        <v>23</v>
      </c>
      <c r="E1924" t="s">
        <v>20</v>
      </c>
      <c r="F1924" t="s">
        <v>41</v>
      </c>
      <c r="G1924" t="s">
        <v>22</v>
      </c>
      <c r="H1924">
        <v>220000</v>
      </c>
      <c r="I1924">
        <v>1</v>
      </c>
      <c r="J1924" t="s">
        <v>24</v>
      </c>
      <c r="K1924">
        <v>176000</v>
      </c>
    </row>
    <row r="1925" spans="1:11" x14ac:dyDescent="0.25">
      <c r="A1925" s="10">
        <v>45687</v>
      </c>
      <c r="B1925" t="s">
        <v>29</v>
      </c>
      <c r="C1925" t="s">
        <v>32</v>
      </c>
      <c r="D1925" t="s">
        <v>23</v>
      </c>
      <c r="E1925" t="s">
        <v>14</v>
      </c>
      <c r="F1925" t="s">
        <v>41</v>
      </c>
      <c r="G1925" t="s">
        <v>22</v>
      </c>
      <c r="H1925">
        <v>220000</v>
      </c>
      <c r="I1925">
        <v>7</v>
      </c>
      <c r="J1925" t="s">
        <v>24</v>
      </c>
      <c r="K1925">
        <v>176000</v>
      </c>
    </row>
    <row r="1926" spans="1:11" x14ac:dyDescent="0.25">
      <c r="A1926" s="10">
        <v>45716</v>
      </c>
      <c r="B1926" t="s">
        <v>25</v>
      </c>
      <c r="C1926" t="s">
        <v>32</v>
      </c>
      <c r="D1926" t="s">
        <v>23</v>
      </c>
      <c r="E1926" t="s">
        <v>20</v>
      </c>
      <c r="F1926" t="s">
        <v>36</v>
      </c>
      <c r="G1926" t="s">
        <v>31</v>
      </c>
      <c r="H1926">
        <v>150000</v>
      </c>
      <c r="I1926">
        <v>6</v>
      </c>
      <c r="J1926" t="s">
        <v>24</v>
      </c>
      <c r="K1926">
        <v>120000</v>
      </c>
    </row>
    <row r="1927" spans="1:11" x14ac:dyDescent="0.25">
      <c r="A1927" s="10">
        <v>45694</v>
      </c>
      <c r="B1927" t="s">
        <v>18</v>
      </c>
      <c r="C1927" t="s">
        <v>12</v>
      </c>
      <c r="D1927" t="s">
        <v>13</v>
      </c>
      <c r="E1927" t="s">
        <v>14</v>
      </c>
      <c r="F1927" t="s">
        <v>30</v>
      </c>
      <c r="G1927" t="s">
        <v>31</v>
      </c>
      <c r="H1927">
        <v>300000</v>
      </c>
      <c r="I1927">
        <v>8</v>
      </c>
      <c r="J1927" t="s">
        <v>28</v>
      </c>
      <c r="K1927">
        <v>240000</v>
      </c>
    </row>
    <row r="1928" spans="1:11" x14ac:dyDescent="0.25">
      <c r="A1928" s="10">
        <v>45672</v>
      </c>
      <c r="B1928" t="s">
        <v>18</v>
      </c>
      <c r="C1928" t="s">
        <v>32</v>
      </c>
      <c r="D1928" t="s">
        <v>23</v>
      </c>
      <c r="E1928" t="s">
        <v>20</v>
      </c>
      <c r="F1928" t="s">
        <v>38</v>
      </c>
      <c r="G1928" t="s">
        <v>31</v>
      </c>
      <c r="H1928">
        <v>420000</v>
      </c>
      <c r="I1928">
        <v>10</v>
      </c>
      <c r="J1928" t="s">
        <v>39</v>
      </c>
      <c r="K1928">
        <v>336000</v>
      </c>
    </row>
    <row r="1929" spans="1:11" x14ac:dyDescent="0.25">
      <c r="A1929" s="10">
        <v>45771</v>
      </c>
      <c r="B1929" t="s">
        <v>29</v>
      </c>
      <c r="C1929" t="s">
        <v>19</v>
      </c>
      <c r="D1929" t="s">
        <v>13</v>
      </c>
      <c r="E1929" t="s">
        <v>20</v>
      </c>
      <c r="F1929" t="s">
        <v>21</v>
      </c>
      <c r="G1929" t="s">
        <v>22</v>
      </c>
      <c r="H1929">
        <v>30000</v>
      </c>
      <c r="I1929">
        <v>1</v>
      </c>
      <c r="J1929" t="s">
        <v>24</v>
      </c>
      <c r="K1929">
        <v>24000</v>
      </c>
    </row>
    <row r="1930" spans="1:11" x14ac:dyDescent="0.25">
      <c r="A1930" s="10">
        <v>45674</v>
      </c>
      <c r="B1930" t="s">
        <v>18</v>
      </c>
      <c r="C1930" t="s">
        <v>12</v>
      </c>
      <c r="D1930" t="s">
        <v>23</v>
      </c>
      <c r="E1930" t="s">
        <v>14</v>
      </c>
      <c r="F1930" t="s">
        <v>38</v>
      </c>
      <c r="G1930" t="s">
        <v>31</v>
      </c>
      <c r="H1930">
        <v>420000</v>
      </c>
      <c r="I1930">
        <v>7</v>
      </c>
      <c r="J1930" t="s">
        <v>17</v>
      </c>
      <c r="K1930">
        <v>336000</v>
      </c>
    </row>
    <row r="1931" spans="1:11" x14ac:dyDescent="0.25">
      <c r="A1931" s="10">
        <v>45690</v>
      </c>
      <c r="B1931" t="s">
        <v>29</v>
      </c>
      <c r="C1931" t="s">
        <v>12</v>
      </c>
      <c r="D1931" t="s">
        <v>23</v>
      </c>
      <c r="E1931" t="s">
        <v>20</v>
      </c>
      <c r="F1931" t="s">
        <v>33</v>
      </c>
      <c r="G1931" t="s">
        <v>22</v>
      </c>
      <c r="H1931">
        <v>180000</v>
      </c>
      <c r="I1931">
        <v>6</v>
      </c>
      <c r="J1931" t="s">
        <v>35</v>
      </c>
      <c r="K1931">
        <v>144000</v>
      </c>
    </row>
    <row r="1932" spans="1:11" x14ac:dyDescent="0.25">
      <c r="A1932" s="10">
        <v>45740</v>
      </c>
      <c r="B1932" t="s">
        <v>25</v>
      </c>
      <c r="C1932" t="s">
        <v>26</v>
      </c>
      <c r="D1932" t="s">
        <v>13</v>
      </c>
      <c r="E1932" t="s">
        <v>14</v>
      </c>
      <c r="F1932" t="s">
        <v>21</v>
      </c>
      <c r="G1932" t="s">
        <v>22</v>
      </c>
      <c r="H1932">
        <v>30000</v>
      </c>
      <c r="I1932">
        <v>10</v>
      </c>
      <c r="J1932" t="s">
        <v>39</v>
      </c>
      <c r="K1932">
        <v>24000</v>
      </c>
    </row>
    <row r="1933" spans="1:11" x14ac:dyDescent="0.25">
      <c r="A1933" s="10">
        <v>45689</v>
      </c>
      <c r="B1933" t="s">
        <v>11</v>
      </c>
      <c r="C1933" t="s">
        <v>12</v>
      </c>
      <c r="D1933" t="s">
        <v>13</v>
      </c>
      <c r="E1933" t="s">
        <v>20</v>
      </c>
      <c r="F1933" t="s">
        <v>41</v>
      </c>
      <c r="G1933" t="s">
        <v>22</v>
      </c>
      <c r="H1933">
        <v>220000</v>
      </c>
      <c r="I1933">
        <v>1</v>
      </c>
      <c r="J1933" t="s">
        <v>39</v>
      </c>
      <c r="K1933">
        <v>176000</v>
      </c>
    </row>
    <row r="1934" spans="1:11" x14ac:dyDescent="0.25">
      <c r="A1934" s="10">
        <v>45749</v>
      </c>
      <c r="B1934" t="s">
        <v>25</v>
      </c>
      <c r="C1934" t="s">
        <v>26</v>
      </c>
      <c r="D1934" t="s">
        <v>13</v>
      </c>
      <c r="E1934" t="s">
        <v>14</v>
      </c>
      <c r="F1934" t="s">
        <v>34</v>
      </c>
      <c r="G1934" t="s">
        <v>16</v>
      </c>
      <c r="H1934">
        <v>320000</v>
      </c>
      <c r="I1934">
        <v>6</v>
      </c>
      <c r="J1934" t="s">
        <v>35</v>
      </c>
      <c r="K1934">
        <v>256000</v>
      </c>
    </row>
    <row r="1935" spans="1:11" x14ac:dyDescent="0.25">
      <c r="A1935" s="10">
        <v>45744</v>
      </c>
      <c r="B1935" t="s">
        <v>25</v>
      </c>
      <c r="C1935" t="s">
        <v>32</v>
      </c>
      <c r="D1935" t="s">
        <v>23</v>
      </c>
      <c r="E1935" t="s">
        <v>20</v>
      </c>
      <c r="F1935" t="s">
        <v>27</v>
      </c>
      <c r="G1935" t="s">
        <v>22</v>
      </c>
      <c r="H1935">
        <v>60000</v>
      </c>
      <c r="I1935">
        <v>10</v>
      </c>
      <c r="J1935" t="s">
        <v>24</v>
      </c>
      <c r="K1935">
        <v>48000</v>
      </c>
    </row>
    <row r="1936" spans="1:11" x14ac:dyDescent="0.25">
      <c r="A1936" s="10">
        <v>45757</v>
      </c>
      <c r="B1936" t="s">
        <v>11</v>
      </c>
      <c r="C1936" t="s">
        <v>32</v>
      </c>
      <c r="D1936" t="s">
        <v>13</v>
      </c>
      <c r="E1936" t="s">
        <v>14</v>
      </c>
      <c r="F1936" t="s">
        <v>15</v>
      </c>
      <c r="G1936" t="s">
        <v>16</v>
      </c>
      <c r="H1936">
        <v>85000</v>
      </c>
      <c r="I1936">
        <v>7</v>
      </c>
      <c r="J1936" t="s">
        <v>39</v>
      </c>
      <c r="K1936">
        <v>68000</v>
      </c>
    </row>
    <row r="1937" spans="1:11" x14ac:dyDescent="0.25">
      <c r="A1937" s="10">
        <v>45748</v>
      </c>
      <c r="B1937" t="s">
        <v>18</v>
      </c>
      <c r="C1937" t="s">
        <v>32</v>
      </c>
      <c r="D1937" t="s">
        <v>23</v>
      </c>
      <c r="E1937" t="s">
        <v>14</v>
      </c>
      <c r="F1937" t="s">
        <v>40</v>
      </c>
      <c r="G1937" t="s">
        <v>31</v>
      </c>
      <c r="H1937">
        <v>250000</v>
      </c>
      <c r="I1937">
        <v>1</v>
      </c>
      <c r="J1937" t="s">
        <v>39</v>
      </c>
      <c r="K1937">
        <v>200000</v>
      </c>
    </row>
    <row r="1938" spans="1:11" x14ac:dyDescent="0.25">
      <c r="A1938" s="10">
        <v>45766</v>
      </c>
      <c r="B1938" t="s">
        <v>29</v>
      </c>
      <c r="C1938" t="s">
        <v>32</v>
      </c>
      <c r="D1938" t="s">
        <v>23</v>
      </c>
      <c r="E1938" t="s">
        <v>20</v>
      </c>
      <c r="F1938" t="s">
        <v>41</v>
      </c>
      <c r="G1938" t="s">
        <v>22</v>
      </c>
      <c r="H1938">
        <v>220000</v>
      </c>
      <c r="I1938">
        <v>8</v>
      </c>
      <c r="J1938" t="s">
        <v>24</v>
      </c>
      <c r="K1938">
        <v>176000</v>
      </c>
    </row>
    <row r="1939" spans="1:11" x14ac:dyDescent="0.25">
      <c r="A1939" s="10">
        <v>45707</v>
      </c>
      <c r="B1939" t="s">
        <v>29</v>
      </c>
      <c r="C1939" t="s">
        <v>19</v>
      </c>
      <c r="D1939" t="s">
        <v>13</v>
      </c>
      <c r="E1939" t="s">
        <v>14</v>
      </c>
      <c r="F1939" t="s">
        <v>40</v>
      </c>
      <c r="G1939" t="s">
        <v>31</v>
      </c>
      <c r="H1939">
        <v>250000</v>
      </c>
      <c r="I1939">
        <v>6</v>
      </c>
      <c r="J1939" t="s">
        <v>35</v>
      </c>
      <c r="K1939">
        <v>200000</v>
      </c>
    </row>
    <row r="1940" spans="1:11" x14ac:dyDescent="0.25">
      <c r="A1940" s="10">
        <v>45731</v>
      </c>
      <c r="B1940" t="s">
        <v>29</v>
      </c>
      <c r="C1940" t="s">
        <v>32</v>
      </c>
      <c r="D1940" t="s">
        <v>13</v>
      </c>
      <c r="E1940" t="s">
        <v>14</v>
      </c>
      <c r="F1940" t="s">
        <v>15</v>
      </c>
      <c r="G1940" t="s">
        <v>16</v>
      </c>
      <c r="H1940">
        <v>85000</v>
      </c>
      <c r="I1940">
        <v>7</v>
      </c>
      <c r="J1940" t="s">
        <v>35</v>
      </c>
      <c r="K1940">
        <v>68000</v>
      </c>
    </row>
    <row r="1941" spans="1:11" x14ac:dyDescent="0.25">
      <c r="A1941" s="10">
        <v>45704</v>
      </c>
      <c r="B1941" t="s">
        <v>25</v>
      </c>
      <c r="C1941" t="s">
        <v>26</v>
      </c>
      <c r="D1941" t="s">
        <v>13</v>
      </c>
      <c r="E1941" t="s">
        <v>20</v>
      </c>
      <c r="F1941" t="s">
        <v>15</v>
      </c>
      <c r="G1941" t="s">
        <v>16</v>
      </c>
      <c r="H1941">
        <v>85000</v>
      </c>
      <c r="I1941">
        <v>4</v>
      </c>
      <c r="J1941" t="s">
        <v>28</v>
      </c>
      <c r="K1941">
        <v>68000</v>
      </c>
    </row>
    <row r="1942" spans="1:11" x14ac:dyDescent="0.25">
      <c r="A1942" s="10">
        <v>45691</v>
      </c>
      <c r="B1942" t="s">
        <v>18</v>
      </c>
      <c r="C1942" t="s">
        <v>32</v>
      </c>
      <c r="D1942" t="s">
        <v>23</v>
      </c>
      <c r="E1942" t="s">
        <v>20</v>
      </c>
      <c r="F1942" t="s">
        <v>38</v>
      </c>
      <c r="G1942" t="s">
        <v>31</v>
      </c>
      <c r="H1942">
        <v>420000</v>
      </c>
      <c r="I1942">
        <v>6</v>
      </c>
      <c r="J1942" t="s">
        <v>17</v>
      </c>
      <c r="K1942">
        <v>336000</v>
      </c>
    </row>
    <row r="1943" spans="1:11" x14ac:dyDescent="0.25">
      <c r="A1943" s="10">
        <v>45694</v>
      </c>
      <c r="B1943" t="s">
        <v>18</v>
      </c>
      <c r="C1943" t="s">
        <v>12</v>
      </c>
      <c r="D1943" t="s">
        <v>23</v>
      </c>
      <c r="E1943" t="s">
        <v>20</v>
      </c>
      <c r="F1943" t="s">
        <v>40</v>
      </c>
      <c r="G1943" t="s">
        <v>31</v>
      </c>
      <c r="H1943">
        <v>250000</v>
      </c>
      <c r="I1943">
        <v>4</v>
      </c>
      <c r="J1943" t="s">
        <v>28</v>
      </c>
      <c r="K1943">
        <v>200000</v>
      </c>
    </row>
    <row r="1944" spans="1:11" x14ac:dyDescent="0.25">
      <c r="A1944" s="10">
        <v>45734</v>
      </c>
      <c r="B1944" t="s">
        <v>11</v>
      </c>
      <c r="C1944" t="s">
        <v>12</v>
      </c>
      <c r="D1944" t="s">
        <v>13</v>
      </c>
      <c r="E1944" t="s">
        <v>20</v>
      </c>
      <c r="F1944" t="s">
        <v>21</v>
      </c>
      <c r="G1944" t="s">
        <v>22</v>
      </c>
      <c r="H1944">
        <v>30000</v>
      </c>
      <c r="I1944">
        <v>3</v>
      </c>
      <c r="J1944" t="s">
        <v>37</v>
      </c>
      <c r="K1944">
        <v>24000</v>
      </c>
    </row>
    <row r="1945" spans="1:11" x14ac:dyDescent="0.25">
      <c r="A1945" s="10">
        <v>45664</v>
      </c>
      <c r="B1945" t="s">
        <v>29</v>
      </c>
      <c r="C1945" t="s">
        <v>32</v>
      </c>
      <c r="D1945" t="s">
        <v>23</v>
      </c>
      <c r="E1945" t="s">
        <v>14</v>
      </c>
      <c r="F1945" t="s">
        <v>34</v>
      </c>
      <c r="G1945" t="s">
        <v>16</v>
      </c>
      <c r="H1945">
        <v>320000</v>
      </c>
      <c r="I1945">
        <v>9</v>
      </c>
      <c r="J1945" t="s">
        <v>35</v>
      </c>
      <c r="K1945">
        <v>256000</v>
      </c>
    </row>
    <row r="1946" spans="1:11" x14ac:dyDescent="0.25">
      <c r="A1946" s="10">
        <v>45676</v>
      </c>
      <c r="B1946" t="s">
        <v>29</v>
      </c>
      <c r="C1946" t="s">
        <v>12</v>
      </c>
      <c r="D1946" t="s">
        <v>13</v>
      </c>
      <c r="E1946" t="s">
        <v>20</v>
      </c>
      <c r="F1946" t="s">
        <v>41</v>
      </c>
      <c r="G1946" t="s">
        <v>22</v>
      </c>
      <c r="H1946">
        <v>220000</v>
      </c>
      <c r="I1946">
        <v>7</v>
      </c>
      <c r="J1946" t="s">
        <v>28</v>
      </c>
      <c r="K1946">
        <v>176000</v>
      </c>
    </row>
    <row r="1947" spans="1:11" x14ac:dyDescent="0.25">
      <c r="A1947" s="10">
        <v>45743</v>
      </c>
      <c r="B1947" t="s">
        <v>25</v>
      </c>
      <c r="C1947" t="s">
        <v>19</v>
      </c>
      <c r="D1947" t="s">
        <v>23</v>
      </c>
      <c r="E1947" t="s">
        <v>14</v>
      </c>
      <c r="F1947" t="s">
        <v>36</v>
      </c>
      <c r="G1947" t="s">
        <v>31</v>
      </c>
      <c r="H1947">
        <v>150000</v>
      </c>
      <c r="I1947">
        <v>5</v>
      </c>
      <c r="J1947" t="s">
        <v>17</v>
      </c>
      <c r="K1947">
        <v>120000</v>
      </c>
    </row>
    <row r="1948" spans="1:11" x14ac:dyDescent="0.25">
      <c r="A1948" s="10">
        <v>45727</v>
      </c>
      <c r="B1948" t="s">
        <v>25</v>
      </c>
      <c r="C1948" t="s">
        <v>12</v>
      </c>
      <c r="D1948" t="s">
        <v>23</v>
      </c>
      <c r="E1948" t="s">
        <v>20</v>
      </c>
      <c r="F1948" t="s">
        <v>15</v>
      </c>
      <c r="G1948" t="s">
        <v>16</v>
      </c>
      <c r="H1948">
        <v>85000</v>
      </c>
      <c r="I1948">
        <v>9</v>
      </c>
      <c r="J1948" t="s">
        <v>35</v>
      </c>
      <c r="K1948">
        <v>68000</v>
      </c>
    </row>
    <row r="1949" spans="1:11" x14ac:dyDescent="0.25">
      <c r="A1949" s="10">
        <v>45683</v>
      </c>
      <c r="B1949" t="s">
        <v>29</v>
      </c>
      <c r="C1949" t="s">
        <v>32</v>
      </c>
      <c r="D1949" t="s">
        <v>23</v>
      </c>
      <c r="E1949" t="s">
        <v>14</v>
      </c>
      <c r="F1949" t="s">
        <v>40</v>
      </c>
      <c r="G1949" t="s">
        <v>31</v>
      </c>
      <c r="H1949">
        <v>250000</v>
      </c>
      <c r="I1949">
        <v>10</v>
      </c>
      <c r="J1949" t="s">
        <v>17</v>
      </c>
      <c r="K1949">
        <v>200000</v>
      </c>
    </row>
    <row r="1950" spans="1:11" x14ac:dyDescent="0.25">
      <c r="A1950" s="10">
        <v>45757</v>
      </c>
      <c r="B1950" t="s">
        <v>18</v>
      </c>
      <c r="C1950" t="s">
        <v>12</v>
      </c>
      <c r="D1950" t="s">
        <v>23</v>
      </c>
      <c r="E1950" t="s">
        <v>14</v>
      </c>
      <c r="F1950" t="s">
        <v>15</v>
      </c>
      <c r="G1950" t="s">
        <v>16</v>
      </c>
      <c r="H1950">
        <v>85000</v>
      </c>
      <c r="I1950">
        <v>7</v>
      </c>
      <c r="J1950" t="s">
        <v>24</v>
      </c>
      <c r="K1950">
        <v>68000</v>
      </c>
    </row>
    <row r="1951" spans="1:11" x14ac:dyDescent="0.25">
      <c r="A1951" s="10">
        <v>45718</v>
      </c>
      <c r="B1951" t="s">
        <v>18</v>
      </c>
      <c r="C1951" t="s">
        <v>19</v>
      </c>
      <c r="D1951" t="s">
        <v>13</v>
      </c>
      <c r="E1951" t="s">
        <v>14</v>
      </c>
      <c r="F1951" t="s">
        <v>30</v>
      </c>
      <c r="G1951" t="s">
        <v>31</v>
      </c>
      <c r="H1951">
        <v>300000</v>
      </c>
      <c r="I1951">
        <v>6</v>
      </c>
      <c r="J1951" t="s">
        <v>37</v>
      </c>
      <c r="K1951">
        <v>240000</v>
      </c>
    </row>
    <row r="1952" spans="1:11" x14ac:dyDescent="0.25">
      <c r="A1952" s="10">
        <v>45736</v>
      </c>
      <c r="B1952" t="s">
        <v>11</v>
      </c>
      <c r="C1952" t="s">
        <v>12</v>
      </c>
      <c r="D1952" t="s">
        <v>13</v>
      </c>
      <c r="E1952" t="s">
        <v>20</v>
      </c>
      <c r="F1952" t="s">
        <v>30</v>
      </c>
      <c r="G1952" t="s">
        <v>31</v>
      </c>
      <c r="H1952">
        <v>300000</v>
      </c>
      <c r="I1952">
        <v>10</v>
      </c>
      <c r="J1952" t="s">
        <v>24</v>
      </c>
      <c r="K1952">
        <v>240000</v>
      </c>
    </row>
    <row r="1953" spans="1:11" x14ac:dyDescent="0.25">
      <c r="A1953" s="10">
        <v>45746</v>
      </c>
      <c r="B1953" t="s">
        <v>18</v>
      </c>
      <c r="C1953" t="s">
        <v>19</v>
      </c>
      <c r="D1953" t="s">
        <v>23</v>
      </c>
      <c r="E1953" t="s">
        <v>14</v>
      </c>
      <c r="F1953" t="s">
        <v>33</v>
      </c>
      <c r="G1953" t="s">
        <v>22</v>
      </c>
      <c r="H1953">
        <v>180000</v>
      </c>
      <c r="I1953">
        <v>1</v>
      </c>
      <c r="J1953" t="s">
        <v>28</v>
      </c>
      <c r="K1953">
        <v>144000</v>
      </c>
    </row>
    <row r="1954" spans="1:11" x14ac:dyDescent="0.25">
      <c r="A1954" s="10">
        <v>45664</v>
      </c>
      <c r="B1954" t="s">
        <v>25</v>
      </c>
      <c r="C1954" t="s">
        <v>32</v>
      </c>
      <c r="D1954" t="s">
        <v>13</v>
      </c>
      <c r="E1954" t="s">
        <v>14</v>
      </c>
      <c r="F1954" t="s">
        <v>36</v>
      </c>
      <c r="G1954" t="s">
        <v>31</v>
      </c>
      <c r="H1954">
        <v>150000</v>
      </c>
      <c r="I1954">
        <v>7</v>
      </c>
      <c r="J1954" t="s">
        <v>37</v>
      </c>
      <c r="K1954">
        <v>120000</v>
      </c>
    </row>
    <row r="1955" spans="1:11" x14ac:dyDescent="0.25">
      <c r="A1955" s="10">
        <v>45723</v>
      </c>
      <c r="B1955" t="s">
        <v>29</v>
      </c>
      <c r="C1955" t="s">
        <v>12</v>
      </c>
      <c r="D1955" t="s">
        <v>13</v>
      </c>
      <c r="E1955" t="s">
        <v>14</v>
      </c>
      <c r="F1955" t="s">
        <v>41</v>
      </c>
      <c r="G1955" t="s">
        <v>22</v>
      </c>
      <c r="H1955">
        <v>220000</v>
      </c>
      <c r="I1955">
        <v>5</v>
      </c>
      <c r="J1955" t="s">
        <v>24</v>
      </c>
      <c r="K1955">
        <v>176000</v>
      </c>
    </row>
    <row r="1956" spans="1:11" x14ac:dyDescent="0.25">
      <c r="A1956" s="10">
        <v>45689</v>
      </c>
      <c r="B1956" t="s">
        <v>18</v>
      </c>
      <c r="C1956" t="s">
        <v>12</v>
      </c>
      <c r="D1956" t="s">
        <v>13</v>
      </c>
      <c r="E1956" t="s">
        <v>14</v>
      </c>
      <c r="F1956" t="s">
        <v>38</v>
      </c>
      <c r="G1956" t="s">
        <v>31</v>
      </c>
      <c r="H1956">
        <v>420000</v>
      </c>
      <c r="I1956">
        <v>2</v>
      </c>
      <c r="J1956" t="s">
        <v>37</v>
      </c>
      <c r="K1956">
        <v>336000</v>
      </c>
    </row>
    <row r="1957" spans="1:11" x14ac:dyDescent="0.25">
      <c r="A1957" s="10">
        <v>45682</v>
      </c>
      <c r="B1957" t="s">
        <v>11</v>
      </c>
      <c r="C1957" t="s">
        <v>26</v>
      </c>
      <c r="D1957" t="s">
        <v>13</v>
      </c>
      <c r="E1957" t="s">
        <v>14</v>
      </c>
      <c r="F1957" t="s">
        <v>33</v>
      </c>
      <c r="G1957" t="s">
        <v>22</v>
      </c>
      <c r="H1957">
        <v>180000</v>
      </c>
      <c r="I1957">
        <v>9</v>
      </c>
      <c r="J1957" t="s">
        <v>35</v>
      </c>
      <c r="K1957">
        <v>144000</v>
      </c>
    </row>
    <row r="1958" spans="1:11" x14ac:dyDescent="0.25">
      <c r="A1958" s="10">
        <v>45671</v>
      </c>
      <c r="B1958" t="s">
        <v>29</v>
      </c>
      <c r="C1958" t="s">
        <v>32</v>
      </c>
      <c r="D1958" t="s">
        <v>13</v>
      </c>
      <c r="E1958" t="s">
        <v>14</v>
      </c>
      <c r="F1958" t="s">
        <v>41</v>
      </c>
      <c r="G1958" t="s">
        <v>22</v>
      </c>
      <c r="H1958">
        <v>220000</v>
      </c>
      <c r="I1958">
        <v>5</v>
      </c>
      <c r="J1958" t="s">
        <v>35</v>
      </c>
      <c r="K1958">
        <v>176000</v>
      </c>
    </row>
    <row r="1959" spans="1:11" x14ac:dyDescent="0.25">
      <c r="A1959" s="10">
        <v>45756</v>
      </c>
      <c r="B1959" t="s">
        <v>29</v>
      </c>
      <c r="C1959" t="s">
        <v>26</v>
      </c>
      <c r="D1959" t="s">
        <v>13</v>
      </c>
      <c r="E1959" t="s">
        <v>14</v>
      </c>
      <c r="F1959" t="s">
        <v>33</v>
      </c>
      <c r="G1959" t="s">
        <v>22</v>
      </c>
      <c r="H1959">
        <v>180000</v>
      </c>
      <c r="I1959">
        <v>1</v>
      </c>
      <c r="J1959" t="s">
        <v>39</v>
      </c>
      <c r="K1959">
        <v>144000</v>
      </c>
    </row>
    <row r="1960" spans="1:11" x14ac:dyDescent="0.25">
      <c r="A1960" s="10">
        <v>45757</v>
      </c>
      <c r="B1960" t="s">
        <v>18</v>
      </c>
      <c r="C1960" t="s">
        <v>26</v>
      </c>
      <c r="D1960" t="s">
        <v>23</v>
      </c>
      <c r="E1960" t="s">
        <v>20</v>
      </c>
      <c r="F1960" t="s">
        <v>27</v>
      </c>
      <c r="G1960" t="s">
        <v>22</v>
      </c>
      <c r="H1960">
        <v>60000</v>
      </c>
      <c r="I1960">
        <v>2</v>
      </c>
      <c r="J1960" t="s">
        <v>39</v>
      </c>
      <c r="K1960">
        <v>48000</v>
      </c>
    </row>
    <row r="1961" spans="1:11" x14ac:dyDescent="0.25">
      <c r="A1961" s="10">
        <v>45727</v>
      </c>
      <c r="B1961" t="s">
        <v>29</v>
      </c>
      <c r="C1961" t="s">
        <v>26</v>
      </c>
      <c r="D1961" t="s">
        <v>13</v>
      </c>
      <c r="E1961" t="s">
        <v>14</v>
      </c>
      <c r="F1961" t="s">
        <v>30</v>
      </c>
      <c r="G1961" t="s">
        <v>31</v>
      </c>
      <c r="H1961">
        <v>300000</v>
      </c>
      <c r="I1961">
        <v>5</v>
      </c>
      <c r="J1961" t="s">
        <v>24</v>
      </c>
      <c r="K1961">
        <v>240000</v>
      </c>
    </row>
    <row r="1962" spans="1:11" x14ac:dyDescent="0.25">
      <c r="A1962" s="10">
        <v>45674</v>
      </c>
      <c r="B1962" t="s">
        <v>29</v>
      </c>
      <c r="C1962" t="s">
        <v>26</v>
      </c>
      <c r="D1962" t="s">
        <v>13</v>
      </c>
      <c r="E1962" t="s">
        <v>20</v>
      </c>
      <c r="F1962" t="s">
        <v>30</v>
      </c>
      <c r="G1962" t="s">
        <v>31</v>
      </c>
      <c r="H1962">
        <v>300000</v>
      </c>
      <c r="I1962">
        <v>9</v>
      </c>
      <c r="J1962" t="s">
        <v>37</v>
      </c>
      <c r="K1962">
        <v>240000</v>
      </c>
    </row>
    <row r="1963" spans="1:11" x14ac:dyDescent="0.25">
      <c r="A1963" s="10">
        <v>45729</v>
      </c>
      <c r="B1963" t="s">
        <v>25</v>
      </c>
      <c r="C1963" t="s">
        <v>32</v>
      </c>
      <c r="D1963" t="s">
        <v>13</v>
      </c>
      <c r="E1963" t="s">
        <v>14</v>
      </c>
      <c r="F1963" t="s">
        <v>41</v>
      </c>
      <c r="G1963" t="s">
        <v>22</v>
      </c>
      <c r="H1963">
        <v>220000</v>
      </c>
      <c r="I1963">
        <v>1</v>
      </c>
      <c r="J1963" t="s">
        <v>37</v>
      </c>
      <c r="K1963">
        <v>176000</v>
      </c>
    </row>
    <row r="1964" spans="1:11" x14ac:dyDescent="0.25">
      <c r="A1964" s="10">
        <v>45736</v>
      </c>
      <c r="B1964" t="s">
        <v>11</v>
      </c>
      <c r="C1964" t="s">
        <v>32</v>
      </c>
      <c r="D1964" t="s">
        <v>23</v>
      </c>
      <c r="E1964" t="s">
        <v>20</v>
      </c>
      <c r="F1964" t="s">
        <v>21</v>
      </c>
      <c r="G1964" t="s">
        <v>22</v>
      </c>
      <c r="H1964">
        <v>30000</v>
      </c>
      <c r="I1964">
        <v>5</v>
      </c>
      <c r="J1964" t="s">
        <v>37</v>
      </c>
      <c r="K1964">
        <v>24000</v>
      </c>
    </row>
    <row r="1965" spans="1:11" x14ac:dyDescent="0.25">
      <c r="A1965" s="10">
        <v>45747</v>
      </c>
      <c r="B1965" t="s">
        <v>25</v>
      </c>
      <c r="C1965" t="s">
        <v>12</v>
      </c>
      <c r="D1965" t="s">
        <v>23</v>
      </c>
      <c r="E1965" t="s">
        <v>14</v>
      </c>
      <c r="F1965" t="s">
        <v>33</v>
      </c>
      <c r="G1965" t="s">
        <v>22</v>
      </c>
      <c r="H1965">
        <v>180000</v>
      </c>
      <c r="I1965">
        <v>1</v>
      </c>
      <c r="J1965" t="s">
        <v>17</v>
      </c>
      <c r="K1965">
        <v>144000</v>
      </c>
    </row>
    <row r="1966" spans="1:11" x14ac:dyDescent="0.25">
      <c r="A1966" s="10">
        <v>45777</v>
      </c>
      <c r="B1966" t="s">
        <v>29</v>
      </c>
      <c r="C1966" t="s">
        <v>26</v>
      </c>
      <c r="D1966" t="s">
        <v>13</v>
      </c>
      <c r="E1966" t="s">
        <v>14</v>
      </c>
      <c r="F1966" t="s">
        <v>30</v>
      </c>
      <c r="G1966" t="s">
        <v>31</v>
      </c>
      <c r="H1966">
        <v>300000</v>
      </c>
      <c r="I1966">
        <v>6</v>
      </c>
      <c r="J1966" t="s">
        <v>37</v>
      </c>
      <c r="K1966">
        <v>240000</v>
      </c>
    </row>
    <row r="1967" spans="1:11" x14ac:dyDescent="0.25">
      <c r="A1967" s="10">
        <v>45658</v>
      </c>
      <c r="B1967" t="s">
        <v>11</v>
      </c>
      <c r="C1967" t="s">
        <v>26</v>
      </c>
      <c r="D1967" t="s">
        <v>13</v>
      </c>
      <c r="E1967" t="s">
        <v>20</v>
      </c>
      <c r="F1967" t="s">
        <v>41</v>
      </c>
      <c r="G1967" t="s">
        <v>22</v>
      </c>
      <c r="H1967">
        <v>220000</v>
      </c>
      <c r="I1967">
        <v>3</v>
      </c>
      <c r="J1967" t="s">
        <v>39</v>
      </c>
      <c r="K1967">
        <v>176000</v>
      </c>
    </row>
    <row r="1968" spans="1:11" x14ac:dyDescent="0.25">
      <c r="A1968" s="10">
        <v>45750</v>
      </c>
      <c r="B1968" t="s">
        <v>29</v>
      </c>
      <c r="C1968" t="s">
        <v>12</v>
      </c>
      <c r="D1968" t="s">
        <v>13</v>
      </c>
      <c r="E1968" t="s">
        <v>20</v>
      </c>
      <c r="F1968" t="s">
        <v>34</v>
      </c>
      <c r="G1968" t="s">
        <v>16</v>
      </c>
      <c r="H1968">
        <v>320000</v>
      </c>
      <c r="I1968">
        <v>5</v>
      </c>
      <c r="J1968" t="s">
        <v>35</v>
      </c>
      <c r="K1968">
        <v>256000</v>
      </c>
    </row>
    <row r="1969" spans="1:11" x14ac:dyDescent="0.25">
      <c r="A1969" s="10">
        <v>45718</v>
      </c>
      <c r="B1969" t="s">
        <v>25</v>
      </c>
      <c r="C1969" t="s">
        <v>26</v>
      </c>
      <c r="D1969" t="s">
        <v>13</v>
      </c>
      <c r="E1969" t="s">
        <v>14</v>
      </c>
      <c r="F1969" t="s">
        <v>36</v>
      </c>
      <c r="G1969" t="s">
        <v>31</v>
      </c>
      <c r="H1969">
        <v>150000</v>
      </c>
      <c r="I1969">
        <v>2</v>
      </c>
      <c r="J1969" t="s">
        <v>35</v>
      </c>
      <c r="K1969">
        <v>120000</v>
      </c>
    </row>
    <row r="1970" spans="1:11" x14ac:dyDescent="0.25">
      <c r="A1970" s="10">
        <v>45706</v>
      </c>
      <c r="B1970" t="s">
        <v>11</v>
      </c>
      <c r="C1970" t="s">
        <v>12</v>
      </c>
      <c r="D1970" t="s">
        <v>13</v>
      </c>
      <c r="E1970" t="s">
        <v>14</v>
      </c>
      <c r="F1970" t="s">
        <v>33</v>
      </c>
      <c r="G1970" t="s">
        <v>22</v>
      </c>
      <c r="H1970">
        <v>180000</v>
      </c>
      <c r="I1970">
        <v>1</v>
      </c>
      <c r="J1970" t="s">
        <v>24</v>
      </c>
      <c r="K1970">
        <v>144000</v>
      </c>
    </row>
    <row r="1971" spans="1:11" x14ac:dyDescent="0.25">
      <c r="A1971" s="10">
        <v>45764</v>
      </c>
      <c r="B1971" t="s">
        <v>11</v>
      </c>
      <c r="C1971" t="s">
        <v>19</v>
      </c>
      <c r="D1971" t="s">
        <v>23</v>
      </c>
      <c r="E1971" t="s">
        <v>20</v>
      </c>
      <c r="F1971" t="s">
        <v>21</v>
      </c>
      <c r="G1971" t="s">
        <v>22</v>
      </c>
      <c r="H1971">
        <v>30000</v>
      </c>
      <c r="I1971">
        <v>10</v>
      </c>
      <c r="J1971" t="s">
        <v>37</v>
      </c>
      <c r="K1971">
        <v>24000</v>
      </c>
    </row>
    <row r="1972" spans="1:11" x14ac:dyDescent="0.25">
      <c r="A1972" s="10">
        <v>45660</v>
      </c>
      <c r="B1972" t="s">
        <v>29</v>
      </c>
      <c r="C1972" t="s">
        <v>19</v>
      </c>
      <c r="D1972" t="s">
        <v>13</v>
      </c>
      <c r="E1972" t="s">
        <v>20</v>
      </c>
      <c r="F1972" t="s">
        <v>36</v>
      </c>
      <c r="G1972" t="s">
        <v>31</v>
      </c>
      <c r="H1972">
        <v>150000</v>
      </c>
      <c r="I1972">
        <v>4</v>
      </c>
      <c r="J1972" t="s">
        <v>24</v>
      </c>
      <c r="K1972">
        <v>120000</v>
      </c>
    </row>
    <row r="1973" spans="1:11" x14ac:dyDescent="0.25">
      <c r="A1973" s="10">
        <v>45658</v>
      </c>
      <c r="B1973" t="s">
        <v>29</v>
      </c>
      <c r="C1973" t="s">
        <v>26</v>
      </c>
      <c r="D1973" t="s">
        <v>13</v>
      </c>
      <c r="E1973" t="s">
        <v>14</v>
      </c>
      <c r="F1973" t="s">
        <v>21</v>
      </c>
      <c r="G1973" t="s">
        <v>22</v>
      </c>
      <c r="H1973">
        <v>30000</v>
      </c>
      <c r="I1973">
        <v>1</v>
      </c>
      <c r="J1973" t="s">
        <v>24</v>
      </c>
      <c r="K1973">
        <v>24000</v>
      </c>
    </row>
    <row r="1974" spans="1:11" x14ac:dyDescent="0.25">
      <c r="A1974" s="10">
        <v>45742</v>
      </c>
      <c r="B1974" t="s">
        <v>29</v>
      </c>
      <c r="C1974" t="s">
        <v>19</v>
      </c>
      <c r="D1974" t="s">
        <v>13</v>
      </c>
      <c r="E1974" t="s">
        <v>14</v>
      </c>
      <c r="F1974" t="s">
        <v>21</v>
      </c>
      <c r="G1974" t="s">
        <v>22</v>
      </c>
      <c r="H1974">
        <v>30000</v>
      </c>
      <c r="I1974">
        <v>6</v>
      </c>
      <c r="J1974" t="s">
        <v>35</v>
      </c>
      <c r="K1974">
        <v>24000</v>
      </c>
    </row>
    <row r="1975" spans="1:11" x14ac:dyDescent="0.25">
      <c r="A1975" s="10">
        <v>45764</v>
      </c>
      <c r="B1975" t="s">
        <v>25</v>
      </c>
      <c r="C1975" t="s">
        <v>12</v>
      </c>
      <c r="D1975" t="s">
        <v>23</v>
      </c>
      <c r="E1975" t="s">
        <v>14</v>
      </c>
      <c r="F1975" t="s">
        <v>33</v>
      </c>
      <c r="G1975" t="s">
        <v>22</v>
      </c>
      <c r="H1975">
        <v>180000</v>
      </c>
      <c r="I1975">
        <v>7</v>
      </c>
      <c r="J1975" t="s">
        <v>17</v>
      </c>
      <c r="K1975">
        <v>144000</v>
      </c>
    </row>
    <row r="1976" spans="1:11" x14ac:dyDescent="0.25">
      <c r="A1976" s="10">
        <v>45684</v>
      </c>
      <c r="B1976" t="s">
        <v>25</v>
      </c>
      <c r="C1976" t="s">
        <v>32</v>
      </c>
      <c r="D1976" t="s">
        <v>13</v>
      </c>
      <c r="E1976" t="s">
        <v>14</v>
      </c>
      <c r="F1976" t="s">
        <v>27</v>
      </c>
      <c r="G1976" t="s">
        <v>22</v>
      </c>
      <c r="H1976">
        <v>60000</v>
      </c>
      <c r="I1976">
        <v>8</v>
      </c>
      <c r="J1976" t="s">
        <v>39</v>
      </c>
      <c r="K1976">
        <v>48000</v>
      </c>
    </row>
    <row r="1977" spans="1:11" x14ac:dyDescent="0.25">
      <c r="A1977" s="10">
        <v>45768</v>
      </c>
      <c r="B1977" t="s">
        <v>25</v>
      </c>
      <c r="C1977" t="s">
        <v>19</v>
      </c>
      <c r="D1977" t="s">
        <v>13</v>
      </c>
      <c r="E1977" t="s">
        <v>14</v>
      </c>
      <c r="F1977" t="s">
        <v>27</v>
      </c>
      <c r="G1977" t="s">
        <v>22</v>
      </c>
      <c r="H1977">
        <v>60000</v>
      </c>
      <c r="I1977">
        <v>2</v>
      </c>
      <c r="J1977" t="s">
        <v>37</v>
      </c>
      <c r="K1977">
        <v>48000</v>
      </c>
    </row>
    <row r="1978" spans="1:11" x14ac:dyDescent="0.25">
      <c r="A1978" s="10">
        <v>45705</v>
      </c>
      <c r="B1978" t="s">
        <v>25</v>
      </c>
      <c r="C1978" t="s">
        <v>26</v>
      </c>
      <c r="D1978" t="s">
        <v>13</v>
      </c>
      <c r="E1978" t="s">
        <v>20</v>
      </c>
      <c r="F1978" t="s">
        <v>15</v>
      </c>
      <c r="G1978" t="s">
        <v>16</v>
      </c>
      <c r="H1978">
        <v>85000</v>
      </c>
      <c r="I1978">
        <v>1</v>
      </c>
      <c r="J1978" t="s">
        <v>35</v>
      </c>
      <c r="K1978">
        <v>68000</v>
      </c>
    </row>
    <row r="1979" spans="1:11" x14ac:dyDescent="0.25">
      <c r="A1979" s="10">
        <v>45750</v>
      </c>
      <c r="B1979" t="s">
        <v>29</v>
      </c>
      <c r="C1979" t="s">
        <v>26</v>
      </c>
      <c r="D1979" t="s">
        <v>23</v>
      </c>
      <c r="E1979" t="s">
        <v>14</v>
      </c>
      <c r="F1979" t="s">
        <v>21</v>
      </c>
      <c r="G1979" t="s">
        <v>22</v>
      </c>
      <c r="H1979">
        <v>30000</v>
      </c>
      <c r="I1979">
        <v>8</v>
      </c>
      <c r="J1979" t="s">
        <v>37</v>
      </c>
      <c r="K1979">
        <v>24000</v>
      </c>
    </row>
    <row r="1980" spans="1:11" x14ac:dyDescent="0.25">
      <c r="A1980" s="10">
        <v>45716</v>
      </c>
      <c r="B1980" t="s">
        <v>29</v>
      </c>
      <c r="C1980" t="s">
        <v>32</v>
      </c>
      <c r="D1980" t="s">
        <v>13</v>
      </c>
      <c r="E1980" t="s">
        <v>20</v>
      </c>
      <c r="F1980" t="s">
        <v>27</v>
      </c>
      <c r="G1980" t="s">
        <v>22</v>
      </c>
      <c r="H1980">
        <v>60000</v>
      </c>
      <c r="I1980">
        <v>10</v>
      </c>
      <c r="J1980" t="s">
        <v>37</v>
      </c>
      <c r="K1980">
        <v>48000</v>
      </c>
    </row>
    <row r="1981" spans="1:11" x14ac:dyDescent="0.25">
      <c r="A1981" s="10">
        <v>45751</v>
      </c>
      <c r="B1981" t="s">
        <v>11</v>
      </c>
      <c r="C1981" t="s">
        <v>12</v>
      </c>
      <c r="D1981" t="s">
        <v>23</v>
      </c>
      <c r="E1981" t="s">
        <v>20</v>
      </c>
      <c r="F1981" t="s">
        <v>36</v>
      </c>
      <c r="G1981" t="s">
        <v>31</v>
      </c>
      <c r="H1981">
        <v>150000</v>
      </c>
      <c r="I1981">
        <v>1</v>
      </c>
      <c r="J1981" t="s">
        <v>17</v>
      </c>
      <c r="K1981">
        <v>120000</v>
      </c>
    </row>
    <row r="1982" spans="1:11" x14ac:dyDescent="0.25">
      <c r="A1982" s="10">
        <v>45747</v>
      </c>
      <c r="B1982" t="s">
        <v>25</v>
      </c>
      <c r="C1982" t="s">
        <v>12</v>
      </c>
      <c r="D1982" t="s">
        <v>23</v>
      </c>
      <c r="E1982" t="s">
        <v>20</v>
      </c>
      <c r="F1982" t="s">
        <v>27</v>
      </c>
      <c r="G1982" t="s">
        <v>22</v>
      </c>
      <c r="H1982">
        <v>60000</v>
      </c>
      <c r="I1982">
        <v>9</v>
      </c>
      <c r="J1982" t="s">
        <v>39</v>
      </c>
      <c r="K1982">
        <v>48000</v>
      </c>
    </row>
    <row r="1983" spans="1:11" x14ac:dyDescent="0.25">
      <c r="A1983" s="10">
        <v>45758</v>
      </c>
      <c r="B1983" t="s">
        <v>29</v>
      </c>
      <c r="C1983" t="s">
        <v>32</v>
      </c>
      <c r="D1983" t="s">
        <v>13</v>
      </c>
      <c r="E1983" t="s">
        <v>14</v>
      </c>
      <c r="F1983" t="s">
        <v>27</v>
      </c>
      <c r="G1983" t="s">
        <v>22</v>
      </c>
      <c r="H1983">
        <v>60000</v>
      </c>
      <c r="I1983">
        <v>5</v>
      </c>
      <c r="J1983" t="s">
        <v>39</v>
      </c>
      <c r="K1983">
        <v>48000</v>
      </c>
    </row>
    <row r="1984" spans="1:11" x14ac:dyDescent="0.25">
      <c r="A1984" s="10">
        <v>45769</v>
      </c>
      <c r="B1984" t="s">
        <v>18</v>
      </c>
      <c r="C1984" t="s">
        <v>12</v>
      </c>
      <c r="D1984" t="s">
        <v>13</v>
      </c>
      <c r="E1984" t="s">
        <v>20</v>
      </c>
      <c r="F1984" t="s">
        <v>41</v>
      </c>
      <c r="G1984" t="s">
        <v>22</v>
      </c>
      <c r="H1984">
        <v>220000</v>
      </c>
      <c r="I1984">
        <v>8</v>
      </c>
      <c r="J1984" t="s">
        <v>17</v>
      </c>
      <c r="K1984">
        <v>176000</v>
      </c>
    </row>
    <row r="1985" spans="1:11" x14ac:dyDescent="0.25">
      <c r="A1985" s="10">
        <v>45706</v>
      </c>
      <c r="B1985" t="s">
        <v>11</v>
      </c>
      <c r="C1985" t="s">
        <v>12</v>
      </c>
      <c r="D1985" t="s">
        <v>13</v>
      </c>
      <c r="E1985" t="s">
        <v>20</v>
      </c>
      <c r="F1985" t="s">
        <v>15</v>
      </c>
      <c r="G1985" t="s">
        <v>16</v>
      </c>
      <c r="H1985">
        <v>85000</v>
      </c>
      <c r="I1985">
        <v>2</v>
      </c>
      <c r="J1985" t="s">
        <v>37</v>
      </c>
      <c r="K1985">
        <v>68000</v>
      </c>
    </row>
    <row r="1986" spans="1:11" x14ac:dyDescent="0.25">
      <c r="A1986" s="10">
        <v>45774</v>
      </c>
      <c r="B1986" t="s">
        <v>25</v>
      </c>
      <c r="C1986" t="s">
        <v>32</v>
      </c>
      <c r="D1986" t="s">
        <v>13</v>
      </c>
      <c r="E1986" t="s">
        <v>20</v>
      </c>
      <c r="F1986" t="s">
        <v>34</v>
      </c>
      <c r="G1986" t="s">
        <v>16</v>
      </c>
      <c r="H1986">
        <v>320000</v>
      </c>
      <c r="I1986">
        <v>7</v>
      </c>
      <c r="J1986" t="s">
        <v>37</v>
      </c>
      <c r="K1986">
        <v>256000</v>
      </c>
    </row>
    <row r="1987" spans="1:11" x14ac:dyDescent="0.25">
      <c r="A1987" s="10">
        <v>45698</v>
      </c>
      <c r="B1987" t="s">
        <v>25</v>
      </c>
      <c r="C1987" t="s">
        <v>32</v>
      </c>
      <c r="D1987" t="s">
        <v>13</v>
      </c>
      <c r="E1987" t="s">
        <v>14</v>
      </c>
      <c r="F1987" t="s">
        <v>40</v>
      </c>
      <c r="G1987" t="s">
        <v>31</v>
      </c>
      <c r="H1987">
        <v>250000</v>
      </c>
      <c r="I1987">
        <v>4</v>
      </c>
      <c r="J1987" t="s">
        <v>17</v>
      </c>
      <c r="K1987">
        <v>200000</v>
      </c>
    </row>
    <row r="1988" spans="1:11" x14ac:dyDescent="0.25">
      <c r="A1988" s="10">
        <v>45773</v>
      </c>
      <c r="B1988" t="s">
        <v>18</v>
      </c>
      <c r="C1988" t="s">
        <v>12</v>
      </c>
      <c r="D1988" t="s">
        <v>23</v>
      </c>
      <c r="E1988" t="s">
        <v>20</v>
      </c>
      <c r="F1988" t="s">
        <v>36</v>
      </c>
      <c r="G1988" t="s">
        <v>31</v>
      </c>
      <c r="H1988">
        <v>150000</v>
      </c>
      <c r="I1988">
        <v>6</v>
      </c>
      <c r="J1988" t="s">
        <v>24</v>
      </c>
      <c r="K1988">
        <v>120000</v>
      </c>
    </row>
    <row r="1989" spans="1:11" x14ac:dyDescent="0.25">
      <c r="A1989" s="10">
        <v>45738</v>
      </c>
      <c r="B1989" t="s">
        <v>29</v>
      </c>
      <c r="C1989" t="s">
        <v>32</v>
      </c>
      <c r="D1989" t="s">
        <v>13</v>
      </c>
      <c r="E1989" t="s">
        <v>14</v>
      </c>
      <c r="F1989" t="s">
        <v>30</v>
      </c>
      <c r="G1989" t="s">
        <v>31</v>
      </c>
      <c r="H1989">
        <v>300000</v>
      </c>
      <c r="I1989">
        <v>8</v>
      </c>
      <c r="J1989" t="s">
        <v>24</v>
      </c>
      <c r="K1989">
        <v>240000</v>
      </c>
    </row>
    <row r="1990" spans="1:11" x14ac:dyDescent="0.25">
      <c r="A1990" s="10">
        <v>45724</v>
      </c>
      <c r="B1990" t="s">
        <v>11</v>
      </c>
      <c r="C1990" t="s">
        <v>19</v>
      </c>
      <c r="D1990" t="s">
        <v>13</v>
      </c>
      <c r="E1990" t="s">
        <v>20</v>
      </c>
      <c r="F1990" t="s">
        <v>30</v>
      </c>
      <c r="G1990" t="s">
        <v>31</v>
      </c>
      <c r="H1990">
        <v>300000</v>
      </c>
      <c r="I1990">
        <v>10</v>
      </c>
      <c r="J1990" t="s">
        <v>17</v>
      </c>
      <c r="K1990">
        <v>240000</v>
      </c>
    </row>
    <row r="1991" spans="1:11" x14ac:dyDescent="0.25">
      <c r="A1991" s="10">
        <v>45758</v>
      </c>
      <c r="B1991" t="s">
        <v>29</v>
      </c>
      <c r="C1991" t="s">
        <v>26</v>
      </c>
      <c r="D1991" t="s">
        <v>23</v>
      </c>
      <c r="E1991" t="s">
        <v>20</v>
      </c>
      <c r="F1991" t="s">
        <v>34</v>
      </c>
      <c r="G1991" t="s">
        <v>16</v>
      </c>
      <c r="H1991">
        <v>320000</v>
      </c>
      <c r="I1991">
        <v>1</v>
      </c>
      <c r="J1991" t="s">
        <v>28</v>
      </c>
      <c r="K1991">
        <v>256000</v>
      </c>
    </row>
    <row r="1992" spans="1:11" x14ac:dyDescent="0.25">
      <c r="A1992" s="10">
        <v>45764</v>
      </c>
      <c r="B1992" t="s">
        <v>25</v>
      </c>
      <c r="C1992" t="s">
        <v>19</v>
      </c>
      <c r="D1992" t="s">
        <v>23</v>
      </c>
      <c r="E1992" t="s">
        <v>20</v>
      </c>
      <c r="F1992" t="s">
        <v>34</v>
      </c>
      <c r="G1992" t="s">
        <v>16</v>
      </c>
      <c r="H1992">
        <v>320000</v>
      </c>
      <c r="I1992">
        <v>3</v>
      </c>
      <c r="J1992" t="s">
        <v>28</v>
      </c>
      <c r="K1992">
        <v>256000</v>
      </c>
    </row>
    <row r="1993" spans="1:11" x14ac:dyDescent="0.25">
      <c r="A1993" s="10">
        <v>45721</v>
      </c>
      <c r="B1993" t="s">
        <v>11</v>
      </c>
      <c r="C1993" t="s">
        <v>12</v>
      </c>
      <c r="D1993" t="s">
        <v>23</v>
      </c>
      <c r="E1993" t="s">
        <v>14</v>
      </c>
      <c r="F1993" t="s">
        <v>36</v>
      </c>
      <c r="G1993" t="s">
        <v>31</v>
      </c>
      <c r="H1993">
        <v>150000</v>
      </c>
      <c r="I1993">
        <v>6</v>
      </c>
      <c r="J1993" t="s">
        <v>35</v>
      </c>
      <c r="K1993">
        <v>120000</v>
      </c>
    </row>
    <row r="1994" spans="1:11" x14ac:dyDescent="0.25">
      <c r="A1994" s="10">
        <v>45686</v>
      </c>
      <c r="B1994" t="s">
        <v>18</v>
      </c>
      <c r="C1994" t="s">
        <v>19</v>
      </c>
      <c r="D1994" t="s">
        <v>13</v>
      </c>
      <c r="E1994" t="s">
        <v>14</v>
      </c>
      <c r="F1994" t="s">
        <v>33</v>
      </c>
      <c r="G1994" t="s">
        <v>22</v>
      </c>
      <c r="H1994">
        <v>180000</v>
      </c>
      <c r="I1994">
        <v>9</v>
      </c>
      <c r="J1994" t="s">
        <v>39</v>
      </c>
      <c r="K1994">
        <v>144000</v>
      </c>
    </row>
    <row r="1995" spans="1:11" x14ac:dyDescent="0.25">
      <c r="A1995" s="10">
        <v>45747</v>
      </c>
      <c r="B1995" t="s">
        <v>25</v>
      </c>
      <c r="C1995" t="s">
        <v>32</v>
      </c>
      <c r="D1995" t="s">
        <v>13</v>
      </c>
      <c r="E1995" t="s">
        <v>14</v>
      </c>
      <c r="F1995" t="s">
        <v>27</v>
      </c>
      <c r="G1995" t="s">
        <v>22</v>
      </c>
      <c r="H1995">
        <v>60000</v>
      </c>
      <c r="I1995">
        <v>2</v>
      </c>
      <c r="J1995" t="s">
        <v>35</v>
      </c>
      <c r="K1995">
        <v>48000</v>
      </c>
    </row>
    <row r="1996" spans="1:11" x14ac:dyDescent="0.25">
      <c r="A1996" s="10">
        <v>45699</v>
      </c>
      <c r="B1996" t="s">
        <v>18</v>
      </c>
      <c r="C1996" t="s">
        <v>26</v>
      </c>
      <c r="D1996" t="s">
        <v>13</v>
      </c>
      <c r="E1996" t="s">
        <v>20</v>
      </c>
      <c r="F1996" t="s">
        <v>36</v>
      </c>
      <c r="G1996" t="s">
        <v>31</v>
      </c>
      <c r="H1996">
        <v>150000</v>
      </c>
      <c r="I1996">
        <v>5</v>
      </c>
      <c r="J1996" t="s">
        <v>35</v>
      </c>
      <c r="K1996">
        <v>120000</v>
      </c>
    </row>
    <row r="1997" spans="1:11" x14ac:dyDescent="0.25">
      <c r="A1997" s="10">
        <v>45758</v>
      </c>
      <c r="B1997" t="s">
        <v>18</v>
      </c>
      <c r="C1997" t="s">
        <v>26</v>
      </c>
      <c r="D1997" t="s">
        <v>13</v>
      </c>
      <c r="E1997" t="s">
        <v>20</v>
      </c>
      <c r="F1997" t="s">
        <v>33</v>
      </c>
      <c r="G1997" t="s">
        <v>22</v>
      </c>
      <c r="H1997">
        <v>180000</v>
      </c>
      <c r="I1997">
        <v>10</v>
      </c>
      <c r="J1997" t="s">
        <v>35</v>
      </c>
      <c r="K1997">
        <v>144000</v>
      </c>
    </row>
    <row r="1998" spans="1:11" x14ac:dyDescent="0.25">
      <c r="A1998" s="10">
        <v>45693</v>
      </c>
      <c r="B1998" t="s">
        <v>11</v>
      </c>
      <c r="C1998" t="s">
        <v>12</v>
      </c>
      <c r="D1998" t="s">
        <v>13</v>
      </c>
      <c r="E1998" t="s">
        <v>14</v>
      </c>
      <c r="F1998" t="s">
        <v>15</v>
      </c>
      <c r="G1998" t="s">
        <v>16</v>
      </c>
      <c r="H1998">
        <v>85000</v>
      </c>
      <c r="I1998">
        <v>7</v>
      </c>
      <c r="J1998" t="s">
        <v>37</v>
      </c>
      <c r="K1998">
        <v>68000</v>
      </c>
    </row>
    <row r="1999" spans="1:11" x14ac:dyDescent="0.25">
      <c r="A1999" s="10">
        <v>45676</v>
      </c>
      <c r="B1999" t="s">
        <v>18</v>
      </c>
      <c r="C1999" t="s">
        <v>32</v>
      </c>
      <c r="D1999" t="s">
        <v>23</v>
      </c>
      <c r="E1999" t="s">
        <v>20</v>
      </c>
      <c r="F1999" t="s">
        <v>38</v>
      </c>
      <c r="G1999" t="s">
        <v>31</v>
      </c>
      <c r="H1999">
        <v>420000</v>
      </c>
      <c r="I1999">
        <v>3</v>
      </c>
      <c r="J1999" t="s">
        <v>24</v>
      </c>
      <c r="K1999">
        <v>336000</v>
      </c>
    </row>
    <row r="2000" spans="1:11" x14ac:dyDescent="0.25">
      <c r="A2000" s="10">
        <v>45718</v>
      </c>
      <c r="B2000" t="s">
        <v>18</v>
      </c>
      <c r="C2000" t="s">
        <v>32</v>
      </c>
      <c r="D2000" t="s">
        <v>23</v>
      </c>
      <c r="E2000" t="s">
        <v>14</v>
      </c>
      <c r="F2000" t="s">
        <v>30</v>
      </c>
      <c r="G2000" t="s">
        <v>31</v>
      </c>
      <c r="H2000">
        <v>300000</v>
      </c>
      <c r="I2000">
        <v>2</v>
      </c>
      <c r="J2000" t="s">
        <v>37</v>
      </c>
      <c r="K2000">
        <v>240000</v>
      </c>
    </row>
    <row r="2001" spans="1:11" x14ac:dyDescent="0.25">
      <c r="A2001" s="10">
        <v>45750</v>
      </c>
      <c r="B2001" t="s">
        <v>18</v>
      </c>
      <c r="C2001" t="s">
        <v>19</v>
      </c>
      <c r="D2001" t="s">
        <v>23</v>
      </c>
      <c r="E2001" t="s">
        <v>14</v>
      </c>
      <c r="F2001" t="s">
        <v>40</v>
      </c>
      <c r="G2001" t="s">
        <v>31</v>
      </c>
      <c r="H2001">
        <v>250000</v>
      </c>
      <c r="I2001">
        <v>3</v>
      </c>
      <c r="J2001" t="s">
        <v>37</v>
      </c>
      <c r="K2001">
        <v>200000</v>
      </c>
    </row>
    <row r="2002" spans="1:11" x14ac:dyDescent="0.25">
      <c r="A2002" s="10">
        <v>45702</v>
      </c>
      <c r="B2002" t="s">
        <v>18</v>
      </c>
      <c r="C2002" t="s">
        <v>12</v>
      </c>
      <c r="D2002" t="s">
        <v>13</v>
      </c>
      <c r="E2002" t="s">
        <v>20</v>
      </c>
      <c r="F2002" t="s">
        <v>36</v>
      </c>
      <c r="G2002" t="s">
        <v>31</v>
      </c>
      <c r="H2002">
        <v>150000</v>
      </c>
      <c r="I2002">
        <v>7</v>
      </c>
      <c r="J2002" t="s">
        <v>24</v>
      </c>
      <c r="K2002">
        <v>120000</v>
      </c>
    </row>
    <row r="2003" spans="1:11" x14ac:dyDescent="0.25">
      <c r="A2003" s="10">
        <v>45756</v>
      </c>
      <c r="B2003" t="s">
        <v>11</v>
      </c>
      <c r="C2003" t="s">
        <v>12</v>
      </c>
      <c r="D2003" t="s">
        <v>23</v>
      </c>
      <c r="E2003" t="s">
        <v>14</v>
      </c>
      <c r="F2003" t="s">
        <v>38</v>
      </c>
      <c r="G2003" t="s">
        <v>31</v>
      </c>
      <c r="H2003">
        <v>420000</v>
      </c>
      <c r="I2003">
        <v>7</v>
      </c>
      <c r="J2003" t="s">
        <v>35</v>
      </c>
      <c r="K2003">
        <v>336000</v>
      </c>
    </row>
    <row r="2004" spans="1:11" x14ac:dyDescent="0.25">
      <c r="A2004" s="10">
        <v>45700</v>
      </c>
      <c r="B2004" t="s">
        <v>25</v>
      </c>
      <c r="C2004" t="s">
        <v>19</v>
      </c>
      <c r="D2004" t="s">
        <v>13</v>
      </c>
      <c r="E2004" t="s">
        <v>20</v>
      </c>
      <c r="F2004" t="s">
        <v>33</v>
      </c>
      <c r="G2004" t="s">
        <v>22</v>
      </c>
      <c r="H2004">
        <v>180000</v>
      </c>
      <c r="I2004">
        <v>7</v>
      </c>
      <c r="J2004" t="s">
        <v>28</v>
      </c>
      <c r="K2004">
        <v>144000</v>
      </c>
    </row>
    <row r="2005" spans="1:11" x14ac:dyDescent="0.25">
      <c r="A2005" s="10">
        <v>45670</v>
      </c>
      <c r="B2005" t="s">
        <v>11</v>
      </c>
      <c r="C2005" t="s">
        <v>12</v>
      </c>
      <c r="D2005" t="s">
        <v>13</v>
      </c>
      <c r="E2005" t="s">
        <v>20</v>
      </c>
      <c r="F2005" t="s">
        <v>34</v>
      </c>
      <c r="G2005" t="s">
        <v>16</v>
      </c>
      <c r="H2005">
        <v>320000</v>
      </c>
      <c r="I2005">
        <v>2</v>
      </c>
      <c r="J2005" t="s">
        <v>39</v>
      </c>
      <c r="K2005">
        <v>256000</v>
      </c>
    </row>
    <row r="2006" spans="1:11" x14ac:dyDescent="0.25">
      <c r="A2006" s="10">
        <v>45736</v>
      </c>
      <c r="B2006" t="s">
        <v>29</v>
      </c>
      <c r="C2006" t="s">
        <v>12</v>
      </c>
      <c r="D2006" t="s">
        <v>23</v>
      </c>
      <c r="E2006" t="s">
        <v>20</v>
      </c>
      <c r="F2006" t="s">
        <v>34</v>
      </c>
      <c r="G2006" t="s">
        <v>16</v>
      </c>
      <c r="H2006">
        <v>320000</v>
      </c>
      <c r="I2006">
        <v>6</v>
      </c>
      <c r="J2006" t="s">
        <v>39</v>
      </c>
      <c r="K2006">
        <v>256000</v>
      </c>
    </row>
    <row r="2007" spans="1:11" x14ac:dyDescent="0.25">
      <c r="A2007" s="10">
        <v>45730</v>
      </c>
      <c r="B2007" t="s">
        <v>18</v>
      </c>
      <c r="C2007" t="s">
        <v>26</v>
      </c>
      <c r="D2007" t="s">
        <v>23</v>
      </c>
      <c r="E2007" t="s">
        <v>14</v>
      </c>
      <c r="F2007" t="s">
        <v>21</v>
      </c>
      <c r="G2007" t="s">
        <v>22</v>
      </c>
      <c r="H2007">
        <v>30000</v>
      </c>
      <c r="I2007">
        <v>3</v>
      </c>
      <c r="J2007" t="s">
        <v>37</v>
      </c>
      <c r="K2007">
        <v>24000</v>
      </c>
    </row>
    <row r="2008" spans="1:11" x14ac:dyDescent="0.25">
      <c r="A2008" s="10">
        <v>45678</v>
      </c>
      <c r="B2008" t="s">
        <v>29</v>
      </c>
      <c r="C2008" t="s">
        <v>12</v>
      </c>
      <c r="D2008" t="s">
        <v>13</v>
      </c>
      <c r="E2008" t="s">
        <v>14</v>
      </c>
      <c r="F2008" t="s">
        <v>38</v>
      </c>
      <c r="G2008" t="s">
        <v>31</v>
      </c>
      <c r="H2008">
        <v>420000</v>
      </c>
      <c r="I2008">
        <v>3</v>
      </c>
      <c r="J2008" t="s">
        <v>17</v>
      </c>
      <c r="K2008">
        <v>336000</v>
      </c>
    </row>
    <row r="2009" spans="1:11" x14ac:dyDescent="0.25">
      <c r="A2009" s="10">
        <v>45754</v>
      </c>
      <c r="B2009" t="s">
        <v>25</v>
      </c>
      <c r="C2009" t="s">
        <v>19</v>
      </c>
      <c r="D2009" t="s">
        <v>13</v>
      </c>
      <c r="E2009" t="s">
        <v>20</v>
      </c>
      <c r="F2009" t="s">
        <v>21</v>
      </c>
      <c r="G2009" t="s">
        <v>22</v>
      </c>
      <c r="H2009">
        <v>30000</v>
      </c>
      <c r="I2009">
        <v>9</v>
      </c>
      <c r="J2009" t="s">
        <v>35</v>
      </c>
      <c r="K2009">
        <v>24000</v>
      </c>
    </row>
    <row r="2010" spans="1:11" x14ac:dyDescent="0.25">
      <c r="A2010" s="10">
        <v>45765</v>
      </c>
      <c r="B2010" t="s">
        <v>18</v>
      </c>
      <c r="C2010" t="s">
        <v>12</v>
      </c>
      <c r="D2010" t="s">
        <v>23</v>
      </c>
      <c r="E2010" t="s">
        <v>20</v>
      </c>
      <c r="F2010" t="s">
        <v>34</v>
      </c>
      <c r="G2010" t="s">
        <v>16</v>
      </c>
      <c r="H2010">
        <v>320000</v>
      </c>
      <c r="I2010">
        <v>4</v>
      </c>
      <c r="J2010" t="s">
        <v>17</v>
      </c>
      <c r="K2010">
        <v>256000</v>
      </c>
    </row>
    <row r="2011" spans="1:11" x14ac:dyDescent="0.25">
      <c r="A2011" s="10">
        <v>45750</v>
      </c>
      <c r="B2011" t="s">
        <v>29</v>
      </c>
      <c r="C2011" t="s">
        <v>32</v>
      </c>
      <c r="D2011" t="s">
        <v>23</v>
      </c>
      <c r="E2011" t="s">
        <v>20</v>
      </c>
      <c r="F2011" t="s">
        <v>36</v>
      </c>
      <c r="G2011" t="s">
        <v>31</v>
      </c>
      <c r="H2011">
        <v>150000</v>
      </c>
      <c r="I2011">
        <v>5</v>
      </c>
      <c r="J2011" t="s">
        <v>24</v>
      </c>
      <c r="K2011">
        <v>120000</v>
      </c>
    </row>
    <row r="2012" spans="1:11" x14ac:dyDescent="0.25">
      <c r="A2012" s="10">
        <v>45702</v>
      </c>
      <c r="B2012" t="s">
        <v>25</v>
      </c>
      <c r="C2012" t="s">
        <v>12</v>
      </c>
      <c r="D2012" t="s">
        <v>23</v>
      </c>
      <c r="E2012" t="s">
        <v>20</v>
      </c>
      <c r="F2012" t="s">
        <v>15</v>
      </c>
      <c r="G2012" t="s">
        <v>16</v>
      </c>
      <c r="H2012">
        <v>85000</v>
      </c>
      <c r="I2012">
        <v>8</v>
      </c>
      <c r="J2012" t="s">
        <v>35</v>
      </c>
      <c r="K2012">
        <v>68000</v>
      </c>
    </row>
    <row r="2013" spans="1:11" x14ac:dyDescent="0.25">
      <c r="A2013" s="10">
        <v>45760</v>
      </c>
      <c r="B2013" t="s">
        <v>29</v>
      </c>
      <c r="C2013" t="s">
        <v>32</v>
      </c>
      <c r="D2013" t="s">
        <v>13</v>
      </c>
      <c r="E2013" t="s">
        <v>20</v>
      </c>
      <c r="F2013" t="s">
        <v>27</v>
      </c>
      <c r="G2013" t="s">
        <v>22</v>
      </c>
      <c r="H2013">
        <v>60000</v>
      </c>
      <c r="I2013">
        <v>1</v>
      </c>
      <c r="J2013" t="s">
        <v>17</v>
      </c>
      <c r="K2013">
        <v>48000</v>
      </c>
    </row>
    <row r="2014" spans="1:11" x14ac:dyDescent="0.25">
      <c r="A2014" s="10">
        <v>45747</v>
      </c>
      <c r="B2014" t="s">
        <v>25</v>
      </c>
      <c r="C2014" t="s">
        <v>19</v>
      </c>
      <c r="D2014" t="s">
        <v>13</v>
      </c>
      <c r="E2014" t="s">
        <v>14</v>
      </c>
      <c r="F2014" t="s">
        <v>41</v>
      </c>
      <c r="G2014" t="s">
        <v>22</v>
      </c>
      <c r="H2014">
        <v>220000</v>
      </c>
      <c r="I2014">
        <v>3</v>
      </c>
      <c r="J2014" t="s">
        <v>28</v>
      </c>
      <c r="K2014">
        <v>176000</v>
      </c>
    </row>
    <row r="2015" spans="1:11" x14ac:dyDescent="0.25">
      <c r="A2015" s="10">
        <v>45699</v>
      </c>
      <c r="B2015" t="s">
        <v>11</v>
      </c>
      <c r="C2015" t="s">
        <v>32</v>
      </c>
      <c r="D2015" t="s">
        <v>23</v>
      </c>
      <c r="E2015" t="s">
        <v>14</v>
      </c>
      <c r="F2015" t="s">
        <v>33</v>
      </c>
      <c r="G2015" t="s">
        <v>22</v>
      </c>
      <c r="H2015">
        <v>180000</v>
      </c>
      <c r="I2015">
        <v>2</v>
      </c>
      <c r="J2015" t="s">
        <v>37</v>
      </c>
      <c r="K2015">
        <v>144000</v>
      </c>
    </row>
    <row r="2016" spans="1:11" x14ac:dyDescent="0.25">
      <c r="A2016" s="10">
        <v>45733</v>
      </c>
      <c r="B2016" t="s">
        <v>25</v>
      </c>
      <c r="C2016" t="s">
        <v>12</v>
      </c>
      <c r="D2016" t="s">
        <v>23</v>
      </c>
      <c r="E2016" t="s">
        <v>14</v>
      </c>
      <c r="F2016" t="s">
        <v>40</v>
      </c>
      <c r="G2016" t="s">
        <v>31</v>
      </c>
      <c r="H2016">
        <v>250000</v>
      </c>
      <c r="I2016">
        <v>9</v>
      </c>
      <c r="J2016" t="s">
        <v>24</v>
      </c>
      <c r="K2016">
        <v>200000</v>
      </c>
    </row>
    <row r="2017" spans="1:11" x14ac:dyDescent="0.25">
      <c r="A2017" s="10">
        <v>45769</v>
      </c>
      <c r="B2017" t="s">
        <v>11</v>
      </c>
      <c r="C2017" t="s">
        <v>12</v>
      </c>
      <c r="D2017" t="s">
        <v>23</v>
      </c>
      <c r="E2017" t="s">
        <v>14</v>
      </c>
      <c r="F2017" t="s">
        <v>30</v>
      </c>
      <c r="G2017" t="s">
        <v>31</v>
      </c>
      <c r="H2017">
        <v>300000</v>
      </c>
      <c r="I2017">
        <v>8</v>
      </c>
      <c r="J2017" t="s">
        <v>37</v>
      </c>
      <c r="K2017">
        <v>240000</v>
      </c>
    </row>
    <row r="2018" spans="1:11" x14ac:dyDescent="0.25">
      <c r="A2018" s="10">
        <v>45775</v>
      </c>
      <c r="B2018" t="s">
        <v>11</v>
      </c>
      <c r="C2018" t="s">
        <v>19</v>
      </c>
      <c r="D2018" t="s">
        <v>13</v>
      </c>
      <c r="E2018" t="s">
        <v>14</v>
      </c>
      <c r="F2018" t="s">
        <v>36</v>
      </c>
      <c r="G2018" t="s">
        <v>31</v>
      </c>
      <c r="H2018">
        <v>150000</v>
      </c>
      <c r="I2018">
        <v>6</v>
      </c>
      <c r="J2018" t="s">
        <v>17</v>
      </c>
      <c r="K2018">
        <v>120000</v>
      </c>
    </row>
    <row r="2019" spans="1:11" x14ac:dyDescent="0.25">
      <c r="A2019" s="10">
        <v>45701</v>
      </c>
      <c r="B2019" t="s">
        <v>29</v>
      </c>
      <c r="C2019" t="s">
        <v>32</v>
      </c>
      <c r="D2019" t="s">
        <v>23</v>
      </c>
      <c r="E2019" t="s">
        <v>20</v>
      </c>
      <c r="F2019" t="s">
        <v>15</v>
      </c>
      <c r="G2019" t="s">
        <v>16</v>
      </c>
      <c r="H2019">
        <v>85000</v>
      </c>
      <c r="I2019">
        <v>9</v>
      </c>
      <c r="J2019" t="s">
        <v>28</v>
      </c>
      <c r="K2019">
        <v>68000</v>
      </c>
    </row>
    <row r="2020" spans="1:11" x14ac:dyDescent="0.25">
      <c r="A2020" s="10">
        <v>45701</v>
      </c>
      <c r="B2020" t="s">
        <v>29</v>
      </c>
      <c r="C2020" t="s">
        <v>26</v>
      </c>
      <c r="D2020" t="s">
        <v>23</v>
      </c>
      <c r="E2020" t="s">
        <v>14</v>
      </c>
      <c r="F2020" t="s">
        <v>27</v>
      </c>
      <c r="G2020" t="s">
        <v>22</v>
      </c>
      <c r="H2020">
        <v>60000</v>
      </c>
      <c r="I2020">
        <v>3</v>
      </c>
      <c r="J2020" t="s">
        <v>24</v>
      </c>
      <c r="K2020">
        <v>48000</v>
      </c>
    </row>
    <row r="2021" spans="1:11" x14ac:dyDescent="0.25">
      <c r="A2021" s="10">
        <v>45754</v>
      </c>
      <c r="B2021" t="s">
        <v>25</v>
      </c>
      <c r="C2021" t="s">
        <v>32</v>
      </c>
      <c r="D2021" t="s">
        <v>13</v>
      </c>
      <c r="E2021" t="s">
        <v>20</v>
      </c>
      <c r="F2021" t="s">
        <v>38</v>
      </c>
      <c r="G2021" t="s">
        <v>31</v>
      </c>
      <c r="H2021">
        <v>420000</v>
      </c>
      <c r="I2021">
        <v>7</v>
      </c>
      <c r="J2021" t="s">
        <v>35</v>
      </c>
      <c r="K2021">
        <v>336000</v>
      </c>
    </row>
    <row r="2022" spans="1:11" x14ac:dyDescent="0.25">
      <c r="A2022" s="10">
        <v>45750</v>
      </c>
      <c r="B2022" t="s">
        <v>25</v>
      </c>
      <c r="C2022" t="s">
        <v>12</v>
      </c>
      <c r="D2022" t="s">
        <v>23</v>
      </c>
      <c r="E2022" t="s">
        <v>14</v>
      </c>
      <c r="F2022" t="s">
        <v>15</v>
      </c>
      <c r="G2022" t="s">
        <v>16</v>
      </c>
      <c r="H2022">
        <v>85000</v>
      </c>
      <c r="I2022">
        <v>5</v>
      </c>
      <c r="J2022" t="s">
        <v>24</v>
      </c>
      <c r="K2022">
        <v>68000</v>
      </c>
    </row>
    <row r="2023" spans="1:11" x14ac:dyDescent="0.25">
      <c r="A2023" s="10">
        <v>45718</v>
      </c>
      <c r="B2023" t="s">
        <v>18</v>
      </c>
      <c r="C2023" t="s">
        <v>12</v>
      </c>
      <c r="D2023" t="s">
        <v>23</v>
      </c>
      <c r="E2023" t="s">
        <v>14</v>
      </c>
      <c r="F2023" t="s">
        <v>27</v>
      </c>
      <c r="G2023" t="s">
        <v>22</v>
      </c>
      <c r="H2023">
        <v>60000</v>
      </c>
      <c r="I2023">
        <v>7</v>
      </c>
      <c r="J2023" t="s">
        <v>24</v>
      </c>
      <c r="K2023">
        <v>48000</v>
      </c>
    </row>
    <row r="2024" spans="1:11" x14ac:dyDescent="0.25">
      <c r="A2024" s="10">
        <v>45687</v>
      </c>
      <c r="B2024" t="s">
        <v>18</v>
      </c>
      <c r="C2024" t="s">
        <v>32</v>
      </c>
      <c r="D2024" t="s">
        <v>13</v>
      </c>
      <c r="E2024" t="s">
        <v>14</v>
      </c>
      <c r="F2024" t="s">
        <v>33</v>
      </c>
      <c r="G2024" t="s">
        <v>22</v>
      </c>
      <c r="H2024">
        <v>180000</v>
      </c>
      <c r="I2024">
        <v>2</v>
      </c>
      <c r="J2024" t="s">
        <v>35</v>
      </c>
      <c r="K2024">
        <v>144000</v>
      </c>
    </row>
    <row r="2025" spans="1:11" x14ac:dyDescent="0.25">
      <c r="A2025" s="10">
        <v>45678</v>
      </c>
      <c r="B2025" t="s">
        <v>11</v>
      </c>
      <c r="C2025" t="s">
        <v>12</v>
      </c>
      <c r="D2025" t="s">
        <v>23</v>
      </c>
      <c r="E2025" t="s">
        <v>20</v>
      </c>
      <c r="F2025" t="s">
        <v>40</v>
      </c>
      <c r="G2025" t="s">
        <v>31</v>
      </c>
      <c r="H2025">
        <v>250000</v>
      </c>
      <c r="I2025">
        <v>3</v>
      </c>
      <c r="J2025" t="s">
        <v>37</v>
      </c>
      <c r="K2025">
        <v>200000</v>
      </c>
    </row>
    <row r="2026" spans="1:11" x14ac:dyDescent="0.25">
      <c r="A2026" s="10">
        <v>45673</v>
      </c>
      <c r="B2026" t="s">
        <v>18</v>
      </c>
      <c r="C2026" t="s">
        <v>26</v>
      </c>
      <c r="D2026" t="s">
        <v>23</v>
      </c>
      <c r="E2026" t="s">
        <v>14</v>
      </c>
      <c r="F2026" t="s">
        <v>33</v>
      </c>
      <c r="G2026" t="s">
        <v>22</v>
      </c>
      <c r="H2026">
        <v>180000</v>
      </c>
      <c r="I2026">
        <v>6</v>
      </c>
      <c r="J2026" t="s">
        <v>39</v>
      </c>
      <c r="K2026">
        <v>144000</v>
      </c>
    </row>
    <row r="2027" spans="1:11" x14ac:dyDescent="0.25">
      <c r="A2027" s="10">
        <v>45749</v>
      </c>
      <c r="B2027" t="s">
        <v>18</v>
      </c>
      <c r="C2027" t="s">
        <v>32</v>
      </c>
      <c r="D2027" t="s">
        <v>13</v>
      </c>
      <c r="E2027" t="s">
        <v>20</v>
      </c>
      <c r="F2027" t="s">
        <v>15</v>
      </c>
      <c r="G2027" t="s">
        <v>16</v>
      </c>
      <c r="H2027">
        <v>85000</v>
      </c>
      <c r="I2027">
        <v>2</v>
      </c>
      <c r="J2027" t="s">
        <v>39</v>
      </c>
      <c r="K2027">
        <v>68000</v>
      </c>
    </row>
    <row r="2028" spans="1:11" x14ac:dyDescent="0.25">
      <c r="A2028" s="10">
        <v>45702</v>
      </c>
      <c r="B2028" t="s">
        <v>29</v>
      </c>
      <c r="C2028" t="s">
        <v>32</v>
      </c>
      <c r="D2028" t="s">
        <v>23</v>
      </c>
      <c r="E2028" t="s">
        <v>20</v>
      </c>
      <c r="F2028" t="s">
        <v>40</v>
      </c>
      <c r="G2028" t="s">
        <v>31</v>
      </c>
      <c r="H2028">
        <v>250000</v>
      </c>
      <c r="I2028">
        <v>5</v>
      </c>
      <c r="J2028" t="s">
        <v>28</v>
      </c>
      <c r="K2028">
        <v>200000</v>
      </c>
    </row>
    <row r="2029" spans="1:11" x14ac:dyDescent="0.25">
      <c r="A2029" s="10">
        <v>45697</v>
      </c>
      <c r="B2029" t="s">
        <v>11</v>
      </c>
      <c r="C2029" t="s">
        <v>12</v>
      </c>
      <c r="D2029" t="s">
        <v>23</v>
      </c>
      <c r="E2029" t="s">
        <v>20</v>
      </c>
      <c r="F2029" t="s">
        <v>41</v>
      </c>
      <c r="G2029" t="s">
        <v>22</v>
      </c>
      <c r="H2029">
        <v>220000</v>
      </c>
      <c r="I2029">
        <v>2</v>
      </c>
      <c r="J2029" t="s">
        <v>37</v>
      </c>
      <c r="K2029">
        <v>176000</v>
      </c>
    </row>
    <row r="2030" spans="1:11" x14ac:dyDescent="0.25">
      <c r="A2030" s="10">
        <v>45761</v>
      </c>
      <c r="B2030" t="s">
        <v>25</v>
      </c>
      <c r="C2030" t="s">
        <v>32</v>
      </c>
      <c r="D2030" t="s">
        <v>13</v>
      </c>
      <c r="E2030" t="s">
        <v>14</v>
      </c>
      <c r="F2030" t="s">
        <v>21</v>
      </c>
      <c r="G2030" t="s">
        <v>22</v>
      </c>
      <c r="H2030">
        <v>30000</v>
      </c>
      <c r="I2030">
        <v>2</v>
      </c>
      <c r="J2030" t="s">
        <v>24</v>
      </c>
      <c r="K2030">
        <v>24000</v>
      </c>
    </row>
    <row r="2031" spans="1:11" x14ac:dyDescent="0.25">
      <c r="A2031" s="10">
        <v>45738</v>
      </c>
      <c r="B2031" t="s">
        <v>18</v>
      </c>
      <c r="C2031" t="s">
        <v>26</v>
      </c>
      <c r="D2031" t="s">
        <v>23</v>
      </c>
      <c r="E2031" t="s">
        <v>20</v>
      </c>
      <c r="F2031" t="s">
        <v>38</v>
      </c>
      <c r="G2031" t="s">
        <v>31</v>
      </c>
      <c r="H2031">
        <v>420000</v>
      </c>
      <c r="I2031">
        <v>10</v>
      </c>
      <c r="J2031" t="s">
        <v>37</v>
      </c>
      <c r="K2031">
        <v>336000</v>
      </c>
    </row>
    <row r="2032" spans="1:11" x14ac:dyDescent="0.25">
      <c r="A2032" s="10">
        <v>45698</v>
      </c>
      <c r="B2032" t="s">
        <v>29</v>
      </c>
      <c r="C2032" t="s">
        <v>32</v>
      </c>
      <c r="D2032" t="s">
        <v>23</v>
      </c>
      <c r="E2032" t="s">
        <v>14</v>
      </c>
      <c r="F2032" t="s">
        <v>41</v>
      </c>
      <c r="G2032" t="s">
        <v>22</v>
      </c>
      <c r="H2032">
        <v>220000</v>
      </c>
      <c r="I2032">
        <v>2</v>
      </c>
      <c r="J2032" t="s">
        <v>35</v>
      </c>
      <c r="K2032">
        <v>176000</v>
      </c>
    </row>
    <row r="2033" spans="1:11" x14ac:dyDescent="0.25">
      <c r="A2033" s="10">
        <v>45694</v>
      </c>
      <c r="B2033" t="s">
        <v>25</v>
      </c>
      <c r="C2033" t="s">
        <v>26</v>
      </c>
      <c r="D2033" t="s">
        <v>23</v>
      </c>
      <c r="E2033" t="s">
        <v>20</v>
      </c>
      <c r="F2033" t="s">
        <v>41</v>
      </c>
      <c r="G2033" t="s">
        <v>22</v>
      </c>
      <c r="H2033">
        <v>220000</v>
      </c>
      <c r="I2033">
        <v>10</v>
      </c>
      <c r="J2033" t="s">
        <v>24</v>
      </c>
      <c r="K2033">
        <v>176000</v>
      </c>
    </row>
    <row r="2034" spans="1:11" x14ac:dyDescent="0.25">
      <c r="A2034" s="10">
        <v>45715</v>
      </c>
      <c r="B2034" t="s">
        <v>11</v>
      </c>
      <c r="C2034" t="s">
        <v>19</v>
      </c>
      <c r="D2034" t="s">
        <v>23</v>
      </c>
      <c r="E2034" t="s">
        <v>20</v>
      </c>
      <c r="F2034" t="s">
        <v>34</v>
      </c>
      <c r="G2034" t="s">
        <v>16</v>
      </c>
      <c r="H2034">
        <v>320000</v>
      </c>
      <c r="I2034">
        <v>6</v>
      </c>
      <c r="J2034" t="s">
        <v>35</v>
      </c>
      <c r="K2034">
        <v>256000</v>
      </c>
    </row>
    <row r="2035" spans="1:11" x14ac:dyDescent="0.25">
      <c r="A2035" s="10">
        <v>45726</v>
      </c>
      <c r="B2035" t="s">
        <v>29</v>
      </c>
      <c r="C2035" t="s">
        <v>12</v>
      </c>
      <c r="D2035" t="s">
        <v>23</v>
      </c>
      <c r="E2035" t="s">
        <v>20</v>
      </c>
      <c r="F2035" t="s">
        <v>38</v>
      </c>
      <c r="G2035" t="s">
        <v>31</v>
      </c>
      <c r="H2035">
        <v>420000</v>
      </c>
      <c r="I2035">
        <v>8</v>
      </c>
      <c r="J2035" t="s">
        <v>35</v>
      </c>
      <c r="K2035">
        <v>336000</v>
      </c>
    </row>
    <row r="2036" spans="1:11" x14ac:dyDescent="0.25">
      <c r="A2036" s="10">
        <v>45760</v>
      </c>
      <c r="B2036" t="s">
        <v>18</v>
      </c>
      <c r="C2036" t="s">
        <v>32</v>
      </c>
      <c r="D2036" t="s">
        <v>13</v>
      </c>
      <c r="E2036" t="s">
        <v>20</v>
      </c>
      <c r="F2036" t="s">
        <v>41</v>
      </c>
      <c r="G2036" t="s">
        <v>22</v>
      </c>
      <c r="H2036">
        <v>220000</v>
      </c>
      <c r="I2036">
        <v>9</v>
      </c>
      <c r="J2036" t="s">
        <v>35</v>
      </c>
      <c r="K2036">
        <v>176000</v>
      </c>
    </row>
    <row r="2037" spans="1:11" x14ac:dyDescent="0.25">
      <c r="A2037" s="10">
        <v>45715</v>
      </c>
      <c r="B2037" t="s">
        <v>29</v>
      </c>
      <c r="C2037" t="s">
        <v>19</v>
      </c>
      <c r="D2037" t="s">
        <v>23</v>
      </c>
      <c r="E2037" t="s">
        <v>14</v>
      </c>
      <c r="F2037" t="s">
        <v>41</v>
      </c>
      <c r="G2037" t="s">
        <v>22</v>
      </c>
      <c r="H2037">
        <v>220000</v>
      </c>
      <c r="I2037">
        <v>2</v>
      </c>
      <c r="J2037" t="s">
        <v>39</v>
      </c>
      <c r="K2037">
        <v>176000</v>
      </c>
    </row>
    <row r="2038" spans="1:11" x14ac:dyDescent="0.25">
      <c r="A2038" s="10">
        <v>45722</v>
      </c>
      <c r="B2038" t="s">
        <v>25</v>
      </c>
      <c r="C2038" t="s">
        <v>32</v>
      </c>
      <c r="D2038" t="s">
        <v>13</v>
      </c>
      <c r="E2038" t="s">
        <v>14</v>
      </c>
      <c r="F2038" t="s">
        <v>36</v>
      </c>
      <c r="G2038" t="s">
        <v>31</v>
      </c>
      <c r="H2038">
        <v>150000</v>
      </c>
      <c r="I2038">
        <v>4</v>
      </c>
      <c r="J2038" t="s">
        <v>37</v>
      </c>
      <c r="K2038">
        <v>120000</v>
      </c>
    </row>
    <row r="2039" spans="1:11" x14ac:dyDescent="0.25">
      <c r="A2039" s="10">
        <v>45712</v>
      </c>
      <c r="B2039" t="s">
        <v>18</v>
      </c>
      <c r="C2039" t="s">
        <v>26</v>
      </c>
      <c r="D2039" t="s">
        <v>13</v>
      </c>
      <c r="E2039" t="s">
        <v>20</v>
      </c>
      <c r="F2039" t="s">
        <v>30</v>
      </c>
      <c r="G2039" t="s">
        <v>31</v>
      </c>
      <c r="H2039">
        <v>300000</v>
      </c>
      <c r="I2039">
        <v>7</v>
      </c>
      <c r="J2039" t="s">
        <v>39</v>
      </c>
      <c r="K2039">
        <v>240000</v>
      </c>
    </row>
    <row r="2040" spans="1:11" x14ac:dyDescent="0.25">
      <c r="A2040" s="10">
        <v>45667</v>
      </c>
      <c r="B2040" t="s">
        <v>25</v>
      </c>
      <c r="C2040" t="s">
        <v>19</v>
      </c>
      <c r="D2040" t="s">
        <v>23</v>
      </c>
      <c r="E2040" t="s">
        <v>14</v>
      </c>
      <c r="F2040" t="s">
        <v>38</v>
      </c>
      <c r="G2040" t="s">
        <v>31</v>
      </c>
      <c r="H2040">
        <v>420000</v>
      </c>
      <c r="I2040">
        <v>4</v>
      </c>
      <c r="J2040" t="s">
        <v>39</v>
      </c>
      <c r="K2040">
        <v>336000</v>
      </c>
    </row>
    <row r="2041" spans="1:11" x14ac:dyDescent="0.25">
      <c r="A2041" s="10">
        <v>45705</v>
      </c>
      <c r="B2041" t="s">
        <v>11</v>
      </c>
      <c r="C2041" t="s">
        <v>26</v>
      </c>
      <c r="D2041" t="s">
        <v>23</v>
      </c>
      <c r="E2041" t="s">
        <v>20</v>
      </c>
      <c r="F2041" t="s">
        <v>27</v>
      </c>
      <c r="G2041" t="s">
        <v>22</v>
      </c>
      <c r="H2041">
        <v>60000</v>
      </c>
      <c r="I2041">
        <v>4</v>
      </c>
      <c r="J2041" t="s">
        <v>37</v>
      </c>
      <c r="K2041">
        <v>48000</v>
      </c>
    </row>
    <row r="2042" spans="1:11" x14ac:dyDescent="0.25">
      <c r="A2042" s="10">
        <v>45693</v>
      </c>
      <c r="B2042" t="s">
        <v>29</v>
      </c>
      <c r="C2042" t="s">
        <v>26</v>
      </c>
      <c r="D2042" t="s">
        <v>13</v>
      </c>
      <c r="E2042" t="s">
        <v>14</v>
      </c>
      <c r="F2042" t="s">
        <v>33</v>
      </c>
      <c r="G2042" t="s">
        <v>22</v>
      </c>
      <c r="H2042">
        <v>180000</v>
      </c>
      <c r="I2042">
        <v>6</v>
      </c>
      <c r="J2042" t="s">
        <v>17</v>
      </c>
      <c r="K2042">
        <v>144000</v>
      </c>
    </row>
    <row r="2043" spans="1:11" x14ac:dyDescent="0.25">
      <c r="A2043" s="10">
        <v>45690</v>
      </c>
      <c r="B2043" t="s">
        <v>25</v>
      </c>
      <c r="C2043" t="s">
        <v>26</v>
      </c>
      <c r="D2043" t="s">
        <v>23</v>
      </c>
      <c r="E2043" t="s">
        <v>14</v>
      </c>
      <c r="F2043" t="s">
        <v>30</v>
      </c>
      <c r="G2043" t="s">
        <v>31</v>
      </c>
      <c r="H2043">
        <v>300000</v>
      </c>
      <c r="I2043">
        <v>8</v>
      </c>
      <c r="J2043" t="s">
        <v>35</v>
      </c>
      <c r="K2043">
        <v>240000</v>
      </c>
    </row>
    <row r="2044" spans="1:11" x14ac:dyDescent="0.25">
      <c r="A2044" s="10">
        <v>45712</v>
      </c>
      <c r="B2044" t="s">
        <v>11</v>
      </c>
      <c r="C2044" t="s">
        <v>12</v>
      </c>
      <c r="D2044" t="s">
        <v>13</v>
      </c>
      <c r="E2044" t="s">
        <v>20</v>
      </c>
      <c r="F2044" t="s">
        <v>34</v>
      </c>
      <c r="G2044" t="s">
        <v>16</v>
      </c>
      <c r="H2044">
        <v>320000</v>
      </c>
      <c r="I2044">
        <v>10</v>
      </c>
      <c r="J2044" t="s">
        <v>17</v>
      </c>
      <c r="K2044">
        <v>256000</v>
      </c>
    </row>
    <row r="2045" spans="1:11" x14ac:dyDescent="0.25">
      <c r="A2045" s="10">
        <v>45745</v>
      </c>
      <c r="B2045" t="s">
        <v>11</v>
      </c>
      <c r="C2045" t="s">
        <v>19</v>
      </c>
      <c r="D2045" t="s">
        <v>13</v>
      </c>
      <c r="E2045" t="s">
        <v>20</v>
      </c>
      <c r="F2045" t="s">
        <v>21</v>
      </c>
      <c r="G2045" t="s">
        <v>22</v>
      </c>
      <c r="H2045">
        <v>30000</v>
      </c>
      <c r="I2045">
        <v>1</v>
      </c>
      <c r="J2045" t="s">
        <v>17</v>
      </c>
      <c r="K2045">
        <v>24000</v>
      </c>
    </row>
    <row r="2046" spans="1:11" x14ac:dyDescent="0.25">
      <c r="A2046" s="10">
        <v>45664</v>
      </c>
      <c r="B2046" t="s">
        <v>18</v>
      </c>
      <c r="C2046" t="s">
        <v>19</v>
      </c>
      <c r="D2046" t="s">
        <v>23</v>
      </c>
      <c r="E2046" t="s">
        <v>20</v>
      </c>
      <c r="F2046" t="s">
        <v>15</v>
      </c>
      <c r="G2046" t="s">
        <v>16</v>
      </c>
      <c r="H2046">
        <v>85000</v>
      </c>
      <c r="I2046">
        <v>2</v>
      </c>
      <c r="J2046" t="s">
        <v>35</v>
      </c>
      <c r="K2046">
        <v>68000</v>
      </c>
    </row>
    <row r="2047" spans="1:11" x14ac:dyDescent="0.25">
      <c r="A2047" s="10">
        <v>45772</v>
      </c>
      <c r="B2047" t="s">
        <v>11</v>
      </c>
      <c r="C2047" t="s">
        <v>12</v>
      </c>
      <c r="D2047" t="s">
        <v>23</v>
      </c>
      <c r="E2047" t="s">
        <v>14</v>
      </c>
      <c r="F2047" t="s">
        <v>15</v>
      </c>
      <c r="G2047" t="s">
        <v>16</v>
      </c>
      <c r="H2047">
        <v>85000</v>
      </c>
      <c r="I2047">
        <v>5</v>
      </c>
      <c r="J2047" t="s">
        <v>37</v>
      </c>
      <c r="K2047">
        <v>68000</v>
      </c>
    </row>
    <row r="2048" spans="1:11" x14ac:dyDescent="0.25">
      <c r="A2048" s="10">
        <v>45689</v>
      </c>
      <c r="B2048" t="s">
        <v>25</v>
      </c>
      <c r="C2048" t="s">
        <v>12</v>
      </c>
      <c r="D2048" t="s">
        <v>13</v>
      </c>
      <c r="E2048" t="s">
        <v>20</v>
      </c>
      <c r="F2048" t="s">
        <v>40</v>
      </c>
      <c r="G2048" t="s">
        <v>31</v>
      </c>
      <c r="H2048">
        <v>250000</v>
      </c>
      <c r="I2048">
        <v>8</v>
      </c>
      <c r="J2048" t="s">
        <v>37</v>
      </c>
      <c r="K2048">
        <v>200000</v>
      </c>
    </row>
    <row r="2049" spans="1:11" x14ac:dyDescent="0.25">
      <c r="A2049" s="10">
        <v>45693</v>
      </c>
      <c r="B2049" t="s">
        <v>29</v>
      </c>
      <c r="C2049" t="s">
        <v>26</v>
      </c>
      <c r="D2049" t="s">
        <v>23</v>
      </c>
      <c r="E2049" t="s">
        <v>14</v>
      </c>
      <c r="F2049" t="s">
        <v>30</v>
      </c>
      <c r="G2049" t="s">
        <v>31</v>
      </c>
      <c r="H2049">
        <v>300000</v>
      </c>
      <c r="I2049">
        <v>8</v>
      </c>
      <c r="J2049" t="s">
        <v>35</v>
      </c>
      <c r="K2049">
        <v>240000</v>
      </c>
    </row>
    <row r="2050" spans="1:11" x14ac:dyDescent="0.25">
      <c r="A2050" s="10">
        <v>45766</v>
      </c>
      <c r="B2050" t="s">
        <v>11</v>
      </c>
      <c r="C2050" t="s">
        <v>19</v>
      </c>
      <c r="D2050" t="s">
        <v>23</v>
      </c>
      <c r="E2050" t="s">
        <v>20</v>
      </c>
      <c r="F2050" t="s">
        <v>33</v>
      </c>
      <c r="G2050" t="s">
        <v>22</v>
      </c>
      <c r="H2050">
        <v>180000</v>
      </c>
      <c r="I2050">
        <v>9</v>
      </c>
      <c r="J2050" t="s">
        <v>28</v>
      </c>
      <c r="K2050">
        <v>144000</v>
      </c>
    </row>
    <row r="2051" spans="1:11" x14ac:dyDescent="0.25">
      <c r="A2051" s="10">
        <v>45765</v>
      </c>
      <c r="B2051" t="s">
        <v>29</v>
      </c>
      <c r="C2051" t="s">
        <v>32</v>
      </c>
      <c r="D2051" t="s">
        <v>23</v>
      </c>
      <c r="E2051" t="s">
        <v>14</v>
      </c>
      <c r="F2051" t="s">
        <v>27</v>
      </c>
      <c r="G2051" t="s">
        <v>22</v>
      </c>
      <c r="H2051">
        <v>60000</v>
      </c>
      <c r="I2051">
        <v>4</v>
      </c>
      <c r="J2051" t="s">
        <v>35</v>
      </c>
      <c r="K2051">
        <v>48000</v>
      </c>
    </row>
    <row r="2052" spans="1:11" x14ac:dyDescent="0.25">
      <c r="A2052" s="10">
        <v>45679</v>
      </c>
      <c r="B2052" t="s">
        <v>25</v>
      </c>
      <c r="C2052" t="s">
        <v>12</v>
      </c>
      <c r="D2052" t="s">
        <v>13</v>
      </c>
      <c r="E2052" t="s">
        <v>20</v>
      </c>
      <c r="F2052" t="s">
        <v>27</v>
      </c>
      <c r="G2052" t="s">
        <v>22</v>
      </c>
      <c r="H2052">
        <v>60000</v>
      </c>
      <c r="I2052">
        <v>3</v>
      </c>
      <c r="J2052" t="s">
        <v>35</v>
      </c>
      <c r="K2052">
        <v>48000</v>
      </c>
    </row>
    <row r="2053" spans="1:11" x14ac:dyDescent="0.25">
      <c r="A2053" s="10">
        <v>45763</v>
      </c>
      <c r="B2053" t="s">
        <v>25</v>
      </c>
      <c r="C2053" t="s">
        <v>12</v>
      </c>
      <c r="D2053" t="s">
        <v>13</v>
      </c>
      <c r="E2053" t="s">
        <v>14</v>
      </c>
      <c r="F2053" t="s">
        <v>41</v>
      </c>
      <c r="G2053" t="s">
        <v>22</v>
      </c>
      <c r="H2053">
        <v>220000</v>
      </c>
      <c r="I2053">
        <v>6</v>
      </c>
      <c r="J2053" t="s">
        <v>37</v>
      </c>
      <c r="K2053">
        <v>176000</v>
      </c>
    </row>
    <row r="2054" spans="1:11" x14ac:dyDescent="0.25">
      <c r="A2054" s="10">
        <v>45725</v>
      </c>
      <c r="B2054" t="s">
        <v>18</v>
      </c>
      <c r="C2054" t="s">
        <v>26</v>
      </c>
      <c r="D2054" t="s">
        <v>13</v>
      </c>
      <c r="E2054" t="s">
        <v>20</v>
      </c>
      <c r="F2054" t="s">
        <v>34</v>
      </c>
      <c r="G2054" t="s">
        <v>16</v>
      </c>
      <c r="H2054">
        <v>320000</v>
      </c>
      <c r="I2054">
        <v>9</v>
      </c>
      <c r="J2054" t="s">
        <v>35</v>
      </c>
      <c r="K2054">
        <v>256000</v>
      </c>
    </row>
    <row r="2055" spans="1:11" x14ac:dyDescent="0.25">
      <c r="A2055" s="10">
        <v>45676</v>
      </c>
      <c r="B2055" t="s">
        <v>25</v>
      </c>
      <c r="C2055" t="s">
        <v>26</v>
      </c>
      <c r="D2055" t="s">
        <v>13</v>
      </c>
      <c r="E2055" t="s">
        <v>20</v>
      </c>
      <c r="F2055" t="s">
        <v>38</v>
      </c>
      <c r="G2055" t="s">
        <v>31</v>
      </c>
      <c r="H2055">
        <v>420000</v>
      </c>
      <c r="I2055">
        <v>3</v>
      </c>
      <c r="J2055" t="s">
        <v>24</v>
      </c>
      <c r="K2055">
        <v>336000</v>
      </c>
    </row>
    <row r="2056" spans="1:11" x14ac:dyDescent="0.25">
      <c r="A2056" s="10">
        <v>45775</v>
      </c>
      <c r="B2056" t="s">
        <v>18</v>
      </c>
      <c r="C2056" t="s">
        <v>32</v>
      </c>
      <c r="D2056" t="s">
        <v>23</v>
      </c>
      <c r="E2056" t="s">
        <v>20</v>
      </c>
      <c r="F2056" t="s">
        <v>33</v>
      </c>
      <c r="G2056" t="s">
        <v>22</v>
      </c>
      <c r="H2056">
        <v>180000</v>
      </c>
      <c r="I2056">
        <v>9</v>
      </c>
      <c r="J2056" t="s">
        <v>17</v>
      </c>
      <c r="K2056">
        <v>144000</v>
      </c>
    </row>
    <row r="2057" spans="1:11" x14ac:dyDescent="0.25">
      <c r="A2057" s="10">
        <v>45738</v>
      </c>
      <c r="B2057" t="s">
        <v>25</v>
      </c>
      <c r="C2057" t="s">
        <v>32</v>
      </c>
      <c r="D2057" t="s">
        <v>23</v>
      </c>
      <c r="E2057" t="s">
        <v>20</v>
      </c>
      <c r="F2057" t="s">
        <v>27</v>
      </c>
      <c r="G2057" t="s">
        <v>22</v>
      </c>
      <c r="H2057">
        <v>60000</v>
      </c>
      <c r="I2057">
        <v>1</v>
      </c>
      <c r="J2057" t="s">
        <v>17</v>
      </c>
      <c r="K2057">
        <v>48000</v>
      </c>
    </row>
    <row r="2058" spans="1:11" x14ac:dyDescent="0.25">
      <c r="A2058" s="10">
        <v>45729</v>
      </c>
      <c r="B2058" t="s">
        <v>11</v>
      </c>
      <c r="C2058" t="s">
        <v>26</v>
      </c>
      <c r="D2058" t="s">
        <v>23</v>
      </c>
      <c r="E2058" t="s">
        <v>20</v>
      </c>
      <c r="F2058" t="s">
        <v>40</v>
      </c>
      <c r="G2058" t="s">
        <v>31</v>
      </c>
      <c r="H2058">
        <v>250000</v>
      </c>
      <c r="I2058">
        <v>5</v>
      </c>
      <c r="J2058" t="s">
        <v>35</v>
      </c>
      <c r="K2058">
        <v>200000</v>
      </c>
    </row>
    <row r="2059" spans="1:11" x14ac:dyDescent="0.25">
      <c r="A2059" s="10">
        <v>45772</v>
      </c>
      <c r="B2059" t="s">
        <v>11</v>
      </c>
      <c r="C2059" t="s">
        <v>12</v>
      </c>
      <c r="D2059" t="s">
        <v>23</v>
      </c>
      <c r="E2059" t="s">
        <v>20</v>
      </c>
      <c r="F2059" t="s">
        <v>21</v>
      </c>
      <c r="G2059" t="s">
        <v>22</v>
      </c>
      <c r="H2059">
        <v>30000</v>
      </c>
      <c r="I2059">
        <v>8</v>
      </c>
      <c r="J2059" t="s">
        <v>17</v>
      </c>
      <c r="K2059">
        <v>24000</v>
      </c>
    </row>
    <row r="2060" spans="1:11" x14ac:dyDescent="0.25">
      <c r="A2060" s="10">
        <v>45689</v>
      </c>
      <c r="B2060" t="s">
        <v>29</v>
      </c>
      <c r="C2060" t="s">
        <v>12</v>
      </c>
      <c r="D2060" t="s">
        <v>13</v>
      </c>
      <c r="E2060" t="s">
        <v>14</v>
      </c>
      <c r="F2060" t="s">
        <v>33</v>
      </c>
      <c r="G2060" t="s">
        <v>22</v>
      </c>
      <c r="H2060">
        <v>180000</v>
      </c>
      <c r="I2060">
        <v>6</v>
      </c>
      <c r="J2060" t="s">
        <v>17</v>
      </c>
      <c r="K2060">
        <v>144000</v>
      </c>
    </row>
    <row r="2061" spans="1:11" x14ac:dyDescent="0.25">
      <c r="A2061" s="10">
        <v>45775</v>
      </c>
      <c r="B2061" t="s">
        <v>18</v>
      </c>
      <c r="C2061" t="s">
        <v>26</v>
      </c>
      <c r="D2061" t="s">
        <v>13</v>
      </c>
      <c r="E2061" t="s">
        <v>20</v>
      </c>
      <c r="F2061" t="s">
        <v>27</v>
      </c>
      <c r="G2061" t="s">
        <v>22</v>
      </c>
      <c r="H2061">
        <v>60000</v>
      </c>
      <c r="I2061">
        <v>1</v>
      </c>
      <c r="J2061" t="s">
        <v>28</v>
      </c>
      <c r="K2061">
        <v>48000</v>
      </c>
    </row>
    <row r="2062" spans="1:11" x14ac:dyDescent="0.25">
      <c r="A2062" s="10">
        <v>45774</v>
      </c>
      <c r="B2062" t="s">
        <v>18</v>
      </c>
      <c r="C2062" t="s">
        <v>26</v>
      </c>
      <c r="D2062" t="s">
        <v>13</v>
      </c>
      <c r="E2062" t="s">
        <v>14</v>
      </c>
      <c r="F2062" t="s">
        <v>36</v>
      </c>
      <c r="G2062" t="s">
        <v>31</v>
      </c>
      <c r="H2062">
        <v>150000</v>
      </c>
      <c r="I2062">
        <v>5</v>
      </c>
      <c r="J2062" t="s">
        <v>39</v>
      </c>
      <c r="K2062">
        <v>120000</v>
      </c>
    </row>
    <row r="2063" spans="1:11" x14ac:dyDescent="0.25">
      <c r="A2063" s="10">
        <v>45728</v>
      </c>
      <c r="B2063" t="s">
        <v>29</v>
      </c>
      <c r="C2063" t="s">
        <v>19</v>
      </c>
      <c r="D2063" t="s">
        <v>23</v>
      </c>
      <c r="E2063" t="s">
        <v>20</v>
      </c>
      <c r="F2063" t="s">
        <v>15</v>
      </c>
      <c r="G2063" t="s">
        <v>16</v>
      </c>
      <c r="H2063">
        <v>85000</v>
      </c>
      <c r="I2063">
        <v>1</v>
      </c>
      <c r="J2063" t="s">
        <v>39</v>
      </c>
      <c r="K2063">
        <v>68000</v>
      </c>
    </row>
    <row r="2064" spans="1:11" x14ac:dyDescent="0.25">
      <c r="A2064" s="10">
        <v>45677</v>
      </c>
      <c r="B2064" t="s">
        <v>25</v>
      </c>
      <c r="C2064" t="s">
        <v>19</v>
      </c>
      <c r="D2064" t="s">
        <v>23</v>
      </c>
      <c r="E2064" t="s">
        <v>20</v>
      </c>
      <c r="F2064" t="s">
        <v>36</v>
      </c>
      <c r="G2064" t="s">
        <v>31</v>
      </c>
      <c r="H2064">
        <v>150000</v>
      </c>
      <c r="I2064">
        <v>7</v>
      </c>
      <c r="J2064" t="s">
        <v>35</v>
      </c>
      <c r="K2064">
        <v>120000</v>
      </c>
    </row>
    <row r="2065" spans="1:11" x14ac:dyDescent="0.25">
      <c r="A2065" s="10">
        <v>45674</v>
      </c>
      <c r="B2065" t="s">
        <v>29</v>
      </c>
      <c r="C2065" t="s">
        <v>26</v>
      </c>
      <c r="D2065" t="s">
        <v>23</v>
      </c>
      <c r="E2065" t="s">
        <v>20</v>
      </c>
      <c r="F2065" t="s">
        <v>33</v>
      </c>
      <c r="G2065" t="s">
        <v>22</v>
      </c>
      <c r="H2065">
        <v>180000</v>
      </c>
      <c r="I2065">
        <v>4</v>
      </c>
      <c r="J2065" t="s">
        <v>17</v>
      </c>
      <c r="K2065">
        <v>144000</v>
      </c>
    </row>
    <row r="2066" spans="1:11" x14ac:dyDescent="0.25">
      <c r="A2066" s="10">
        <v>45672</v>
      </c>
      <c r="B2066" t="s">
        <v>29</v>
      </c>
      <c r="C2066" t="s">
        <v>26</v>
      </c>
      <c r="D2066" t="s">
        <v>23</v>
      </c>
      <c r="E2066" t="s">
        <v>20</v>
      </c>
      <c r="F2066" t="s">
        <v>15</v>
      </c>
      <c r="G2066" t="s">
        <v>16</v>
      </c>
      <c r="H2066">
        <v>85000</v>
      </c>
      <c r="I2066">
        <v>8</v>
      </c>
      <c r="J2066" t="s">
        <v>17</v>
      </c>
      <c r="K2066">
        <v>68000</v>
      </c>
    </row>
    <row r="2067" spans="1:11" x14ac:dyDescent="0.25">
      <c r="A2067" s="10">
        <v>45741</v>
      </c>
      <c r="B2067" t="s">
        <v>29</v>
      </c>
      <c r="C2067" t="s">
        <v>32</v>
      </c>
      <c r="D2067" t="s">
        <v>23</v>
      </c>
      <c r="E2067" t="s">
        <v>20</v>
      </c>
      <c r="F2067" t="s">
        <v>34</v>
      </c>
      <c r="G2067" t="s">
        <v>16</v>
      </c>
      <c r="H2067">
        <v>320000</v>
      </c>
      <c r="I2067">
        <v>4</v>
      </c>
      <c r="J2067" t="s">
        <v>24</v>
      </c>
      <c r="K2067">
        <v>256000</v>
      </c>
    </row>
    <row r="2068" spans="1:11" x14ac:dyDescent="0.25">
      <c r="A2068" s="10">
        <v>45746</v>
      </c>
      <c r="B2068" t="s">
        <v>11</v>
      </c>
      <c r="C2068" t="s">
        <v>26</v>
      </c>
      <c r="D2068" t="s">
        <v>13</v>
      </c>
      <c r="E2068" t="s">
        <v>20</v>
      </c>
      <c r="F2068" t="s">
        <v>40</v>
      </c>
      <c r="G2068" t="s">
        <v>31</v>
      </c>
      <c r="H2068">
        <v>250000</v>
      </c>
      <c r="I2068">
        <v>6</v>
      </c>
      <c r="J2068" t="s">
        <v>35</v>
      </c>
      <c r="K2068">
        <v>200000</v>
      </c>
    </row>
    <row r="2069" spans="1:11" x14ac:dyDescent="0.25">
      <c r="A2069" s="10">
        <v>45736</v>
      </c>
      <c r="B2069" t="s">
        <v>11</v>
      </c>
      <c r="C2069" t="s">
        <v>26</v>
      </c>
      <c r="D2069" t="s">
        <v>13</v>
      </c>
      <c r="E2069" t="s">
        <v>20</v>
      </c>
      <c r="F2069" t="s">
        <v>41</v>
      </c>
      <c r="G2069" t="s">
        <v>22</v>
      </c>
      <c r="H2069">
        <v>220000</v>
      </c>
      <c r="I2069">
        <v>5</v>
      </c>
      <c r="J2069" t="s">
        <v>28</v>
      </c>
      <c r="K2069">
        <v>176000</v>
      </c>
    </row>
    <row r="2070" spans="1:11" x14ac:dyDescent="0.25">
      <c r="A2070" s="10">
        <v>45706</v>
      </c>
      <c r="B2070" t="s">
        <v>25</v>
      </c>
      <c r="C2070" t="s">
        <v>19</v>
      </c>
      <c r="D2070" t="s">
        <v>23</v>
      </c>
      <c r="E2070" t="s">
        <v>20</v>
      </c>
      <c r="F2070" t="s">
        <v>30</v>
      </c>
      <c r="G2070" t="s">
        <v>31</v>
      </c>
      <c r="H2070">
        <v>300000</v>
      </c>
      <c r="I2070">
        <v>8</v>
      </c>
      <c r="J2070" t="s">
        <v>37</v>
      </c>
      <c r="K2070">
        <v>240000</v>
      </c>
    </row>
    <row r="2071" spans="1:11" x14ac:dyDescent="0.25">
      <c r="A2071" s="10">
        <v>45744</v>
      </c>
      <c r="B2071" t="s">
        <v>25</v>
      </c>
      <c r="C2071" t="s">
        <v>32</v>
      </c>
      <c r="D2071" t="s">
        <v>13</v>
      </c>
      <c r="E2071" t="s">
        <v>20</v>
      </c>
      <c r="F2071" t="s">
        <v>27</v>
      </c>
      <c r="G2071" t="s">
        <v>22</v>
      </c>
      <c r="H2071">
        <v>60000</v>
      </c>
      <c r="I2071">
        <v>10</v>
      </c>
      <c r="J2071" t="s">
        <v>28</v>
      </c>
      <c r="K2071">
        <v>48000</v>
      </c>
    </row>
    <row r="2072" spans="1:11" x14ac:dyDescent="0.25">
      <c r="A2072" s="10">
        <v>45663</v>
      </c>
      <c r="B2072" t="s">
        <v>25</v>
      </c>
      <c r="C2072" t="s">
        <v>19</v>
      </c>
      <c r="D2072" t="s">
        <v>13</v>
      </c>
      <c r="E2072" t="s">
        <v>20</v>
      </c>
      <c r="F2072" t="s">
        <v>33</v>
      </c>
      <c r="G2072" t="s">
        <v>22</v>
      </c>
      <c r="H2072">
        <v>180000</v>
      </c>
      <c r="I2072">
        <v>6</v>
      </c>
      <c r="J2072" t="s">
        <v>39</v>
      </c>
      <c r="K2072">
        <v>144000</v>
      </c>
    </row>
    <row r="2073" spans="1:11" x14ac:dyDescent="0.25">
      <c r="A2073" s="10">
        <v>45767</v>
      </c>
      <c r="B2073" t="s">
        <v>25</v>
      </c>
      <c r="C2073" t="s">
        <v>26</v>
      </c>
      <c r="D2073" t="s">
        <v>23</v>
      </c>
      <c r="E2073" t="s">
        <v>20</v>
      </c>
      <c r="F2073" t="s">
        <v>27</v>
      </c>
      <c r="G2073" t="s">
        <v>22</v>
      </c>
      <c r="H2073">
        <v>60000</v>
      </c>
      <c r="I2073">
        <v>3</v>
      </c>
      <c r="J2073" t="s">
        <v>37</v>
      </c>
      <c r="K2073">
        <v>48000</v>
      </c>
    </row>
    <row r="2074" spans="1:11" x14ac:dyDescent="0.25">
      <c r="A2074" s="10">
        <v>45686</v>
      </c>
      <c r="B2074" t="s">
        <v>25</v>
      </c>
      <c r="C2074" t="s">
        <v>26</v>
      </c>
      <c r="D2074" t="s">
        <v>13</v>
      </c>
      <c r="E2074" t="s">
        <v>20</v>
      </c>
      <c r="F2074" t="s">
        <v>21</v>
      </c>
      <c r="G2074" t="s">
        <v>22</v>
      </c>
      <c r="H2074">
        <v>30000</v>
      </c>
      <c r="I2074">
        <v>4</v>
      </c>
      <c r="J2074" t="s">
        <v>24</v>
      </c>
      <c r="K2074">
        <v>24000</v>
      </c>
    </row>
    <row r="2075" spans="1:11" x14ac:dyDescent="0.25">
      <c r="A2075" s="10">
        <v>45755</v>
      </c>
      <c r="B2075" t="s">
        <v>18</v>
      </c>
      <c r="C2075" t="s">
        <v>12</v>
      </c>
      <c r="D2075" t="s">
        <v>23</v>
      </c>
      <c r="E2075" t="s">
        <v>20</v>
      </c>
      <c r="F2075" t="s">
        <v>27</v>
      </c>
      <c r="G2075" t="s">
        <v>22</v>
      </c>
      <c r="H2075">
        <v>60000</v>
      </c>
      <c r="I2075">
        <v>4</v>
      </c>
      <c r="J2075" t="s">
        <v>37</v>
      </c>
      <c r="K2075">
        <v>48000</v>
      </c>
    </row>
    <row r="2076" spans="1:11" x14ac:dyDescent="0.25">
      <c r="A2076" s="10">
        <v>45718</v>
      </c>
      <c r="B2076" t="s">
        <v>11</v>
      </c>
      <c r="C2076" t="s">
        <v>26</v>
      </c>
      <c r="D2076" t="s">
        <v>23</v>
      </c>
      <c r="E2076" t="s">
        <v>20</v>
      </c>
      <c r="F2076" t="s">
        <v>33</v>
      </c>
      <c r="G2076" t="s">
        <v>22</v>
      </c>
      <c r="H2076">
        <v>180000</v>
      </c>
      <c r="I2076">
        <v>5</v>
      </c>
      <c r="J2076" t="s">
        <v>28</v>
      </c>
      <c r="K2076">
        <v>144000</v>
      </c>
    </row>
    <row r="2077" spans="1:11" x14ac:dyDescent="0.25">
      <c r="A2077" s="10">
        <v>45684</v>
      </c>
      <c r="B2077" t="s">
        <v>29</v>
      </c>
      <c r="C2077" t="s">
        <v>12</v>
      </c>
      <c r="D2077" t="s">
        <v>13</v>
      </c>
      <c r="E2077" t="s">
        <v>20</v>
      </c>
      <c r="F2077" t="s">
        <v>15</v>
      </c>
      <c r="G2077" t="s">
        <v>16</v>
      </c>
      <c r="H2077">
        <v>85000</v>
      </c>
      <c r="I2077">
        <v>9</v>
      </c>
      <c r="J2077" t="s">
        <v>24</v>
      </c>
      <c r="K2077">
        <v>68000</v>
      </c>
    </row>
    <row r="2078" spans="1:11" x14ac:dyDescent="0.25">
      <c r="A2078" s="10">
        <v>45746</v>
      </c>
      <c r="B2078" t="s">
        <v>11</v>
      </c>
      <c r="C2078" t="s">
        <v>32</v>
      </c>
      <c r="D2078" t="s">
        <v>13</v>
      </c>
      <c r="E2078" t="s">
        <v>20</v>
      </c>
      <c r="F2078" t="s">
        <v>15</v>
      </c>
      <c r="G2078" t="s">
        <v>16</v>
      </c>
      <c r="H2078">
        <v>85000</v>
      </c>
      <c r="I2078">
        <v>9</v>
      </c>
      <c r="J2078" t="s">
        <v>37</v>
      </c>
      <c r="K2078">
        <v>68000</v>
      </c>
    </row>
    <row r="2079" spans="1:11" x14ac:dyDescent="0.25">
      <c r="A2079" s="10">
        <v>45688</v>
      </c>
      <c r="B2079" t="s">
        <v>29</v>
      </c>
      <c r="C2079" t="s">
        <v>12</v>
      </c>
      <c r="D2079" t="s">
        <v>23</v>
      </c>
      <c r="E2079" t="s">
        <v>20</v>
      </c>
      <c r="F2079" t="s">
        <v>33</v>
      </c>
      <c r="G2079" t="s">
        <v>22</v>
      </c>
      <c r="H2079">
        <v>180000</v>
      </c>
      <c r="I2079">
        <v>8</v>
      </c>
      <c r="J2079" t="s">
        <v>39</v>
      </c>
      <c r="K2079">
        <v>144000</v>
      </c>
    </row>
    <row r="2080" spans="1:11" x14ac:dyDescent="0.25">
      <c r="A2080" s="10">
        <v>45667</v>
      </c>
      <c r="B2080" t="s">
        <v>29</v>
      </c>
      <c r="C2080" t="s">
        <v>19</v>
      </c>
      <c r="D2080" t="s">
        <v>23</v>
      </c>
      <c r="E2080" t="s">
        <v>20</v>
      </c>
      <c r="F2080" t="s">
        <v>36</v>
      </c>
      <c r="G2080" t="s">
        <v>31</v>
      </c>
      <c r="H2080">
        <v>150000</v>
      </c>
      <c r="I2080">
        <v>2</v>
      </c>
      <c r="J2080" t="s">
        <v>39</v>
      </c>
      <c r="K2080">
        <v>120000</v>
      </c>
    </row>
    <row r="2081" spans="1:11" x14ac:dyDescent="0.25">
      <c r="A2081" s="10">
        <v>45663</v>
      </c>
      <c r="B2081" t="s">
        <v>18</v>
      </c>
      <c r="C2081" t="s">
        <v>26</v>
      </c>
      <c r="D2081" t="s">
        <v>23</v>
      </c>
      <c r="E2081" t="s">
        <v>20</v>
      </c>
      <c r="F2081" t="s">
        <v>21</v>
      </c>
      <c r="G2081" t="s">
        <v>22</v>
      </c>
      <c r="H2081">
        <v>30000</v>
      </c>
      <c r="I2081">
        <v>3</v>
      </c>
      <c r="J2081" t="s">
        <v>17</v>
      </c>
      <c r="K2081">
        <v>24000</v>
      </c>
    </row>
    <row r="2082" spans="1:11" x14ac:dyDescent="0.25">
      <c r="A2082" s="10">
        <v>45746</v>
      </c>
      <c r="B2082" t="s">
        <v>29</v>
      </c>
      <c r="C2082" t="s">
        <v>12</v>
      </c>
      <c r="D2082" t="s">
        <v>23</v>
      </c>
      <c r="E2082" t="s">
        <v>20</v>
      </c>
      <c r="F2082" t="s">
        <v>21</v>
      </c>
      <c r="G2082" t="s">
        <v>22</v>
      </c>
      <c r="H2082">
        <v>30000</v>
      </c>
      <c r="I2082">
        <v>5</v>
      </c>
      <c r="J2082" t="s">
        <v>24</v>
      </c>
      <c r="K2082">
        <v>24000</v>
      </c>
    </row>
    <row r="2083" spans="1:11" x14ac:dyDescent="0.25">
      <c r="A2083" s="10">
        <v>45772</v>
      </c>
      <c r="B2083" t="s">
        <v>18</v>
      </c>
      <c r="C2083" t="s">
        <v>19</v>
      </c>
      <c r="D2083" t="s">
        <v>23</v>
      </c>
      <c r="E2083" t="s">
        <v>20</v>
      </c>
      <c r="F2083" t="s">
        <v>21</v>
      </c>
      <c r="G2083" t="s">
        <v>22</v>
      </c>
      <c r="H2083">
        <v>30000</v>
      </c>
      <c r="I2083">
        <v>7</v>
      </c>
      <c r="J2083" t="s">
        <v>39</v>
      </c>
      <c r="K2083">
        <v>24000</v>
      </c>
    </row>
    <row r="2084" spans="1:11" x14ac:dyDescent="0.25">
      <c r="A2084" s="10">
        <v>45755</v>
      </c>
      <c r="B2084" t="s">
        <v>18</v>
      </c>
      <c r="C2084" t="s">
        <v>12</v>
      </c>
      <c r="D2084" t="s">
        <v>13</v>
      </c>
      <c r="E2084" t="s">
        <v>20</v>
      </c>
      <c r="F2084" t="s">
        <v>33</v>
      </c>
      <c r="G2084" t="s">
        <v>22</v>
      </c>
      <c r="H2084">
        <v>180000</v>
      </c>
      <c r="I2084">
        <v>4</v>
      </c>
      <c r="J2084" t="s">
        <v>17</v>
      </c>
      <c r="K2084">
        <v>144000</v>
      </c>
    </row>
    <row r="2085" spans="1:11" x14ac:dyDescent="0.25">
      <c r="A2085" s="10">
        <v>45695</v>
      </c>
      <c r="B2085" t="s">
        <v>18</v>
      </c>
      <c r="C2085" t="s">
        <v>12</v>
      </c>
      <c r="D2085" t="s">
        <v>23</v>
      </c>
      <c r="E2085" t="s">
        <v>20</v>
      </c>
      <c r="F2085" t="s">
        <v>33</v>
      </c>
      <c r="G2085" t="s">
        <v>22</v>
      </c>
      <c r="H2085">
        <v>180000</v>
      </c>
      <c r="I2085">
        <v>1</v>
      </c>
      <c r="J2085" t="s">
        <v>35</v>
      </c>
      <c r="K2085">
        <v>144000</v>
      </c>
    </row>
    <row r="2086" spans="1:11" x14ac:dyDescent="0.25">
      <c r="A2086" s="10">
        <v>45737</v>
      </c>
      <c r="B2086" t="s">
        <v>25</v>
      </c>
      <c r="C2086" t="s">
        <v>19</v>
      </c>
      <c r="D2086" t="s">
        <v>13</v>
      </c>
      <c r="E2086" t="s">
        <v>20</v>
      </c>
      <c r="F2086" t="s">
        <v>27</v>
      </c>
      <c r="G2086" t="s">
        <v>22</v>
      </c>
      <c r="H2086">
        <v>60000</v>
      </c>
      <c r="I2086">
        <v>10</v>
      </c>
      <c r="J2086" t="s">
        <v>37</v>
      </c>
      <c r="K2086">
        <v>48000</v>
      </c>
    </row>
    <row r="2087" spans="1:11" x14ac:dyDescent="0.25">
      <c r="A2087" s="10">
        <v>45719</v>
      </c>
      <c r="B2087" t="s">
        <v>29</v>
      </c>
      <c r="C2087" t="s">
        <v>19</v>
      </c>
      <c r="D2087" t="s">
        <v>13</v>
      </c>
      <c r="E2087" t="s">
        <v>20</v>
      </c>
      <c r="F2087" t="s">
        <v>40</v>
      </c>
      <c r="G2087" t="s">
        <v>31</v>
      </c>
      <c r="H2087">
        <v>250000</v>
      </c>
      <c r="I2087">
        <v>8</v>
      </c>
      <c r="J2087" t="s">
        <v>28</v>
      </c>
      <c r="K2087">
        <v>200000</v>
      </c>
    </row>
    <row r="2088" spans="1:11" x14ac:dyDescent="0.25">
      <c r="A2088" s="10">
        <v>45673</v>
      </c>
      <c r="B2088" t="s">
        <v>29</v>
      </c>
      <c r="C2088" t="s">
        <v>26</v>
      </c>
      <c r="D2088" t="s">
        <v>13</v>
      </c>
      <c r="E2088" t="s">
        <v>20</v>
      </c>
      <c r="F2088" t="s">
        <v>21</v>
      </c>
      <c r="G2088" t="s">
        <v>22</v>
      </c>
      <c r="H2088">
        <v>30000</v>
      </c>
      <c r="I2088">
        <v>8</v>
      </c>
      <c r="J2088" t="s">
        <v>37</v>
      </c>
      <c r="K2088">
        <v>24000</v>
      </c>
    </row>
    <row r="2089" spans="1:11" x14ac:dyDescent="0.25">
      <c r="A2089" s="10">
        <v>45742</v>
      </c>
      <c r="B2089" t="s">
        <v>29</v>
      </c>
      <c r="C2089" t="s">
        <v>12</v>
      </c>
      <c r="D2089" t="s">
        <v>23</v>
      </c>
      <c r="E2089" t="s">
        <v>14</v>
      </c>
      <c r="F2089" t="s">
        <v>33</v>
      </c>
      <c r="G2089" t="s">
        <v>22</v>
      </c>
      <c r="H2089">
        <v>180000</v>
      </c>
      <c r="I2089">
        <v>4</v>
      </c>
      <c r="J2089" t="s">
        <v>28</v>
      </c>
      <c r="K2089">
        <v>144000</v>
      </c>
    </row>
    <row r="2090" spans="1:11" x14ac:dyDescent="0.25">
      <c r="A2090" s="10">
        <v>45695</v>
      </c>
      <c r="B2090" t="s">
        <v>18</v>
      </c>
      <c r="C2090" t="s">
        <v>19</v>
      </c>
      <c r="D2090" t="s">
        <v>23</v>
      </c>
      <c r="E2090" t="s">
        <v>14</v>
      </c>
      <c r="F2090" t="s">
        <v>36</v>
      </c>
      <c r="G2090" t="s">
        <v>31</v>
      </c>
      <c r="H2090">
        <v>150000</v>
      </c>
      <c r="I2090">
        <v>1</v>
      </c>
      <c r="J2090" t="s">
        <v>28</v>
      </c>
      <c r="K2090">
        <v>120000</v>
      </c>
    </row>
    <row r="2091" spans="1:11" x14ac:dyDescent="0.25">
      <c r="A2091" s="10">
        <v>45756</v>
      </c>
      <c r="B2091" t="s">
        <v>29</v>
      </c>
      <c r="C2091" t="s">
        <v>32</v>
      </c>
      <c r="D2091" t="s">
        <v>13</v>
      </c>
      <c r="E2091" t="s">
        <v>20</v>
      </c>
      <c r="F2091" t="s">
        <v>30</v>
      </c>
      <c r="G2091" t="s">
        <v>31</v>
      </c>
      <c r="H2091">
        <v>300000</v>
      </c>
      <c r="I2091">
        <v>3</v>
      </c>
      <c r="J2091" t="s">
        <v>17</v>
      </c>
      <c r="K2091">
        <v>240000</v>
      </c>
    </row>
    <row r="2092" spans="1:11" x14ac:dyDescent="0.25">
      <c r="A2092" s="10">
        <v>45755</v>
      </c>
      <c r="B2092" t="s">
        <v>11</v>
      </c>
      <c r="C2092" t="s">
        <v>26</v>
      </c>
      <c r="D2092" t="s">
        <v>13</v>
      </c>
      <c r="E2092" t="s">
        <v>14</v>
      </c>
      <c r="F2092" t="s">
        <v>34</v>
      </c>
      <c r="G2092" t="s">
        <v>16</v>
      </c>
      <c r="H2092">
        <v>320000</v>
      </c>
      <c r="I2092">
        <v>5</v>
      </c>
      <c r="J2092" t="s">
        <v>17</v>
      </c>
      <c r="K2092">
        <v>256000</v>
      </c>
    </row>
    <row r="2093" spans="1:11" x14ac:dyDescent="0.25">
      <c r="A2093" s="10">
        <v>45711</v>
      </c>
      <c r="B2093" t="s">
        <v>11</v>
      </c>
      <c r="C2093" t="s">
        <v>32</v>
      </c>
      <c r="D2093" t="s">
        <v>23</v>
      </c>
      <c r="E2093" t="s">
        <v>14</v>
      </c>
      <c r="F2093" t="s">
        <v>30</v>
      </c>
      <c r="G2093" t="s">
        <v>31</v>
      </c>
      <c r="H2093">
        <v>300000</v>
      </c>
      <c r="I2093">
        <v>1</v>
      </c>
      <c r="J2093" t="s">
        <v>24</v>
      </c>
      <c r="K2093">
        <v>240000</v>
      </c>
    </row>
    <row r="2094" spans="1:11" x14ac:dyDescent="0.25">
      <c r="A2094" s="10">
        <v>45713</v>
      </c>
      <c r="B2094" t="s">
        <v>11</v>
      </c>
      <c r="C2094" t="s">
        <v>19</v>
      </c>
      <c r="D2094" t="s">
        <v>23</v>
      </c>
      <c r="E2094" t="s">
        <v>14</v>
      </c>
      <c r="F2094" t="s">
        <v>36</v>
      </c>
      <c r="G2094" t="s">
        <v>31</v>
      </c>
      <c r="H2094">
        <v>150000</v>
      </c>
      <c r="I2094">
        <v>4</v>
      </c>
      <c r="J2094" t="s">
        <v>28</v>
      </c>
      <c r="K2094">
        <v>120000</v>
      </c>
    </row>
    <row r="2095" spans="1:11" x14ac:dyDescent="0.25">
      <c r="A2095" s="10">
        <v>45777</v>
      </c>
      <c r="B2095" t="s">
        <v>25</v>
      </c>
      <c r="C2095" t="s">
        <v>12</v>
      </c>
      <c r="D2095" t="s">
        <v>23</v>
      </c>
      <c r="E2095" t="s">
        <v>14</v>
      </c>
      <c r="F2095" t="s">
        <v>40</v>
      </c>
      <c r="G2095" t="s">
        <v>31</v>
      </c>
      <c r="H2095">
        <v>250000</v>
      </c>
      <c r="I2095">
        <v>2</v>
      </c>
      <c r="J2095" t="s">
        <v>35</v>
      </c>
      <c r="K2095">
        <v>200000</v>
      </c>
    </row>
    <row r="2096" spans="1:11" x14ac:dyDescent="0.25">
      <c r="A2096" s="10">
        <v>45767</v>
      </c>
      <c r="B2096" t="s">
        <v>29</v>
      </c>
      <c r="C2096" t="s">
        <v>19</v>
      </c>
      <c r="D2096" t="s">
        <v>13</v>
      </c>
      <c r="E2096" t="s">
        <v>20</v>
      </c>
      <c r="F2096" t="s">
        <v>40</v>
      </c>
      <c r="G2096" t="s">
        <v>31</v>
      </c>
      <c r="H2096">
        <v>250000</v>
      </c>
      <c r="I2096">
        <v>10</v>
      </c>
      <c r="J2096" t="s">
        <v>37</v>
      </c>
      <c r="K2096">
        <v>200000</v>
      </c>
    </row>
    <row r="2097" spans="1:11" x14ac:dyDescent="0.25">
      <c r="A2097" s="10">
        <v>45766</v>
      </c>
      <c r="B2097" t="s">
        <v>25</v>
      </c>
      <c r="C2097" t="s">
        <v>32</v>
      </c>
      <c r="D2097" t="s">
        <v>23</v>
      </c>
      <c r="E2097" t="s">
        <v>20</v>
      </c>
      <c r="F2097" t="s">
        <v>36</v>
      </c>
      <c r="G2097" t="s">
        <v>31</v>
      </c>
      <c r="H2097">
        <v>150000</v>
      </c>
      <c r="I2097">
        <v>2</v>
      </c>
      <c r="J2097" t="s">
        <v>17</v>
      </c>
      <c r="K2097">
        <v>120000</v>
      </c>
    </row>
    <row r="2098" spans="1:11" x14ac:dyDescent="0.25">
      <c r="A2098" s="10">
        <v>45724</v>
      </c>
      <c r="B2098" t="s">
        <v>25</v>
      </c>
      <c r="C2098" t="s">
        <v>12</v>
      </c>
      <c r="D2098" t="s">
        <v>13</v>
      </c>
      <c r="E2098" t="s">
        <v>14</v>
      </c>
      <c r="F2098" t="s">
        <v>40</v>
      </c>
      <c r="G2098" t="s">
        <v>31</v>
      </c>
      <c r="H2098">
        <v>250000</v>
      </c>
      <c r="I2098">
        <v>9</v>
      </c>
      <c r="J2098" t="s">
        <v>35</v>
      </c>
      <c r="K2098">
        <v>200000</v>
      </c>
    </row>
    <row r="2099" spans="1:11" x14ac:dyDescent="0.25">
      <c r="A2099" s="10">
        <v>45693</v>
      </c>
      <c r="B2099" t="s">
        <v>25</v>
      </c>
      <c r="C2099" t="s">
        <v>12</v>
      </c>
      <c r="D2099" t="s">
        <v>13</v>
      </c>
      <c r="E2099" t="s">
        <v>14</v>
      </c>
      <c r="F2099" t="s">
        <v>34</v>
      </c>
      <c r="G2099" t="s">
        <v>16</v>
      </c>
      <c r="H2099">
        <v>320000</v>
      </c>
      <c r="I2099">
        <v>4</v>
      </c>
      <c r="J2099" t="s">
        <v>24</v>
      </c>
      <c r="K2099">
        <v>256000</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3"/>
  <dimension ref="A1:P2100"/>
  <sheetViews>
    <sheetView workbookViewId="0"/>
  </sheetViews>
  <sheetFormatPr defaultColWidth="14.42578125" defaultRowHeight="15" customHeight="1" x14ac:dyDescent="0.25"/>
  <cols>
    <col min="1" max="1" width="12.5703125" style="2" customWidth="1"/>
    <col min="2" max="2" width="12.85546875" style="11" customWidth="1"/>
    <col min="3" max="3" width="11" customWidth="1"/>
    <col min="4" max="4" width="14.7109375" customWidth="1"/>
    <col min="5" max="5" width="18.28515625" customWidth="1"/>
    <col min="6" max="6" width="18.7109375" customWidth="1"/>
    <col min="7" max="7" width="19.140625" customWidth="1"/>
    <col min="8" max="8" width="18.5703125" customWidth="1"/>
    <col min="9" max="9" width="11" customWidth="1"/>
    <col min="10" max="11" width="11.85546875" customWidth="1"/>
    <col min="12" max="12" width="12.85546875" style="1" customWidth="1"/>
    <col min="13" max="13" width="17" customWidth="1"/>
    <col min="14" max="14" width="15.5703125" customWidth="1"/>
    <col min="15" max="15" width="14" style="8" customWidth="1"/>
    <col min="16" max="16" width="14.42578125" style="8"/>
    <col min="17" max="24" width="9" customWidth="1"/>
  </cols>
  <sheetData>
    <row r="1" spans="1:16" ht="14.25" customHeight="1" x14ac:dyDescent="0.25">
      <c r="A1" s="27" t="s">
        <v>45</v>
      </c>
      <c r="B1" s="28" t="s">
        <v>0</v>
      </c>
      <c r="C1" s="28" t="s">
        <v>49</v>
      </c>
      <c r="D1" s="28" t="s">
        <v>1</v>
      </c>
      <c r="E1" s="28" t="s">
        <v>2</v>
      </c>
      <c r="F1" s="28" t="s">
        <v>3</v>
      </c>
      <c r="G1" s="28" t="s">
        <v>4</v>
      </c>
      <c r="H1" s="28" t="s">
        <v>5</v>
      </c>
      <c r="I1" s="28" t="s">
        <v>6</v>
      </c>
      <c r="J1" s="28" t="s">
        <v>7</v>
      </c>
      <c r="K1" s="28" t="s">
        <v>8</v>
      </c>
      <c r="L1" s="28" t="s">
        <v>9</v>
      </c>
      <c r="M1" s="28" t="s">
        <v>10</v>
      </c>
      <c r="N1" s="28" t="s">
        <v>42</v>
      </c>
      <c r="O1" s="28" t="s">
        <v>43</v>
      </c>
      <c r="P1" s="28" t="s">
        <v>44</v>
      </c>
    </row>
    <row r="2" spans="1:16" ht="14.25" customHeight="1" x14ac:dyDescent="0.25">
      <c r="A2" s="13" t="str">
        <f ca="1">"ID_"&amp; RANDBETWEEN(1,2098)</f>
        <v>ID_466</v>
      </c>
      <c r="B2" s="12">
        <v>45676</v>
      </c>
      <c r="C2" s="13" t="str">
        <f>TEXT('Working Sheet'!$B2,"mmm")</f>
        <v>Jan</v>
      </c>
      <c r="D2" s="13" t="s">
        <v>11</v>
      </c>
      <c r="E2" s="13" t="s">
        <v>12</v>
      </c>
      <c r="F2" s="13" t="s">
        <v>13</v>
      </c>
      <c r="G2" s="13" t="s">
        <v>14</v>
      </c>
      <c r="H2" s="13" t="s">
        <v>15</v>
      </c>
      <c r="I2" s="13" t="s">
        <v>16</v>
      </c>
      <c r="J2" s="14">
        <v>85000</v>
      </c>
      <c r="K2" s="13">
        <v>1</v>
      </c>
      <c r="L2" s="13" t="s">
        <v>17</v>
      </c>
      <c r="M2" s="15">
        <f t="shared" ref="M2:M65" si="0">J2-J2*0.2</f>
        <v>68000</v>
      </c>
      <c r="N2" s="15">
        <f>'Working Sheet'!$J2*'Working Sheet'!$K2</f>
        <v>85000</v>
      </c>
      <c r="O2" s="16">
        <f>'Working Sheet'!$M2*'Working Sheet'!$K2</f>
        <v>68000</v>
      </c>
      <c r="P2" s="15">
        <f>'Working Sheet'!$N2-'Working Sheet'!$O2</f>
        <v>17000</v>
      </c>
    </row>
    <row r="3" spans="1:16" ht="14.25" customHeight="1" x14ac:dyDescent="0.25">
      <c r="A3" s="18" t="str">
        <f t="shared" ref="A3:A65" ca="1" si="1">"ID_"&amp; RANDBETWEEN(1,2098)</f>
        <v>ID_199</v>
      </c>
      <c r="B3" s="17">
        <v>45776</v>
      </c>
      <c r="C3" s="18" t="str">
        <f>TEXT('Working Sheet'!$B3,"mmm")</f>
        <v>Apr</v>
      </c>
      <c r="D3" s="18" t="s">
        <v>18</v>
      </c>
      <c r="E3" s="18" t="s">
        <v>19</v>
      </c>
      <c r="F3" s="18" t="s">
        <v>13</v>
      </c>
      <c r="G3" s="18" t="s">
        <v>20</v>
      </c>
      <c r="H3" s="18" t="s">
        <v>21</v>
      </c>
      <c r="I3" s="18" t="s">
        <v>22</v>
      </c>
      <c r="J3" s="19">
        <v>30000</v>
      </c>
      <c r="K3" s="18">
        <v>8</v>
      </c>
      <c r="L3" s="18" t="s">
        <v>17</v>
      </c>
      <c r="M3" s="20">
        <f t="shared" si="0"/>
        <v>24000</v>
      </c>
      <c r="N3" s="20">
        <f>'Working Sheet'!$J3*'Working Sheet'!$K3</f>
        <v>240000</v>
      </c>
      <c r="O3" s="21">
        <f>'Working Sheet'!$M3*'Working Sheet'!$K3</f>
        <v>192000</v>
      </c>
      <c r="P3" s="20">
        <f>'Working Sheet'!$N3-'Working Sheet'!$O3</f>
        <v>48000</v>
      </c>
    </row>
    <row r="4" spans="1:16" ht="14.25" customHeight="1" x14ac:dyDescent="0.25">
      <c r="A4" s="23" t="str">
        <f t="shared" ca="1" si="1"/>
        <v>ID_1802</v>
      </c>
      <c r="B4" s="22">
        <v>45715</v>
      </c>
      <c r="C4" s="23" t="str">
        <f>TEXT('Working Sheet'!$B4,"mmm")</f>
        <v>Feb</v>
      </c>
      <c r="D4" s="23" t="s">
        <v>18</v>
      </c>
      <c r="E4" s="23" t="s">
        <v>12</v>
      </c>
      <c r="F4" s="23" t="s">
        <v>23</v>
      </c>
      <c r="G4" s="23" t="s">
        <v>14</v>
      </c>
      <c r="H4" s="23" t="s">
        <v>15</v>
      </c>
      <c r="I4" s="23" t="s">
        <v>16</v>
      </c>
      <c r="J4" s="24">
        <v>85000</v>
      </c>
      <c r="K4" s="23">
        <v>2</v>
      </c>
      <c r="L4" s="23" t="s">
        <v>24</v>
      </c>
      <c r="M4" s="25">
        <f t="shared" si="0"/>
        <v>68000</v>
      </c>
      <c r="N4" s="25">
        <f>'Working Sheet'!$J4*'Working Sheet'!$K4</f>
        <v>170000</v>
      </c>
      <c r="O4" s="26">
        <f>'Working Sheet'!$M4*'Working Sheet'!$K4</f>
        <v>136000</v>
      </c>
      <c r="P4" s="25">
        <f>'Working Sheet'!$N4-'Working Sheet'!$O4</f>
        <v>34000</v>
      </c>
    </row>
    <row r="5" spans="1:16" ht="14.25" customHeight="1" x14ac:dyDescent="0.25">
      <c r="A5" s="18" t="str">
        <f t="shared" ca="1" si="1"/>
        <v>ID_881</v>
      </c>
      <c r="B5" s="17">
        <v>45772</v>
      </c>
      <c r="C5" s="18" t="str">
        <f>TEXT('Working Sheet'!$B5,"mmm")</f>
        <v>Apr</v>
      </c>
      <c r="D5" s="18" t="s">
        <v>25</v>
      </c>
      <c r="E5" s="18" t="s">
        <v>26</v>
      </c>
      <c r="F5" s="18" t="s">
        <v>13</v>
      </c>
      <c r="G5" s="18" t="s">
        <v>14</v>
      </c>
      <c r="H5" s="18" t="s">
        <v>27</v>
      </c>
      <c r="I5" s="18" t="s">
        <v>22</v>
      </c>
      <c r="J5" s="19">
        <v>60000</v>
      </c>
      <c r="K5" s="18">
        <v>2</v>
      </c>
      <c r="L5" s="18" t="s">
        <v>28</v>
      </c>
      <c r="M5" s="20">
        <f t="shared" si="0"/>
        <v>48000</v>
      </c>
      <c r="N5" s="20">
        <f>'Working Sheet'!$J5*'Working Sheet'!$K5</f>
        <v>120000</v>
      </c>
      <c r="O5" s="21">
        <f>'Working Sheet'!$M5*'Working Sheet'!$K5</f>
        <v>96000</v>
      </c>
      <c r="P5" s="20">
        <f>'Working Sheet'!$N5-'Working Sheet'!$O5</f>
        <v>24000</v>
      </c>
    </row>
    <row r="6" spans="1:16" ht="14.25" customHeight="1" x14ac:dyDescent="0.25">
      <c r="A6" s="23" t="str">
        <f t="shared" ca="1" si="1"/>
        <v>ID_27</v>
      </c>
      <c r="B6" s="22">
        <v>45774</v>
      </c>
      <c r="C6" s="23" t="str">
        <f>TEXT('Working Sheet'!$B6,"mmm")</f>
        <v>Apr</v>
      </c>
      <c r="D6" s="23" t="s">
        <v>29</v>
      </c>
      <c r="E6" s="23" t="s">
        <v>26</v>
      </c>
      <c r="F6" s="23" t="s">
        <v>23</v>
      </c>
      <c r="G6" s="23" t="s">
        <v>14</v>
      </c>
      <c r="H6" s="23" t="s">
        <v>30</v>
      </c>
      <c r="I6" s="23" t="s">
        <v>31</v>
      </c>
      <c r="J6" s="24">
        <v>300000</v>
      </c>
      <c r="K6" s="23">
        <v>2</v>
      </c>
      <c r="L6" s="23" t="s">
        <v>17</v>
      </c>
      <c r="M6" s="25">
        <f t="shared" si="0"/>
        <v>240000</v>
      </c>
      <c r="N6" s="25">
        <f>'Working Sheet'!$J6*'Working Sheet'!$K6</f>
        <v>600000</v>
      </c>
      <c r="O6" s="26">
        <f>'Working Sheet'!$M6*'Working Sheet'!$K6</f>
        <v>480000</v>
      </c>
      <c r="P6" s="25">
        <f>'Working Sheet'!$N6-'Working Sheet'!$O6</f>
        <v>120000</v>
      </c>
    </row>
    <row r="7" spans="1:16" ht="14.25" customHeight="1" x14ac:dyDescent="0.25">
      <c r="A7" s="18" t="str">
        <f t="shared" ca="1" si="1"/>
        <v>ID_792</v>
      </c>
      <c r="B7" s="17">
        <v>45724</v>
      </c>
      <c r="C7" s="18" t="str">
        <f>TEXT('Working Sheet'!$B7,"mmm")</f>
        <v>Mar</v>
      </c>
      <c r="D7" s="18" t="s">
        <v>25</v>
      </c>
      <c r="E7" s="18" t="s">
        <v>32</v>
      </c>
      <c r="F7" s="18" t="s">
        <v>13</v>
      </c>
      <c r="G7" s="18" t="s">
        <v>14</v>
      </c>
      <c r="H7" s="18" t="s">
        <v>33</v>
      </c>
      <c r="I7" s="18" t="s">
        <v>22</v>
      </c>
      <c r="J7" s="19">
        <v>180000</v>
      </c>
      <c r="K7" s="18">
        <v>10</v>
      </c>
      <c r="L7" s="18" t="s">
        <v>17</v>
      </c>
      <c r="M7" s="20">
        <f t="shared" si="0"/>
        <v>144000</v>
      </c>
      <c r="N7" s="20">
        <f>'Working Sheet'!$J7*'Working Sheet'!$K7</f>
        <v>1800000</v>
      </c>
      <c r="O7" s="21">
        <f>'Working Sheet'!$M7*'Working Sheet'!$K7</f>
        <v>1440000</v>
      </c>
      <c r="P7" s="20">
        <f>'Working Sheet'!$N7-'Working Sheet'!$O7</f>
        <v>360000</v>
      </c>
    </row>
    <row r="8" spans="1:16" ht="14.25" customHeight="1" x14ac:dyDescent="0.25">
      <c r="A8" s="23" t="str">
        <f t="shared" ca="1" si="1"/>
        <v>ID_1103</v>
      </c>
      <c r="B8" s="22">
        <v>45725</v>
      </c>
      <c r="C8" s="23" t="str">
        <f>TEXT('Working Sheet'!$B8,"mmm")</f>
        <v>Mar</v>
      </c>
      <c r="D8" s="23" t="s">
        <v>25</v>
      </c>
      <c r="E8" s="23" t="s">
        <v>32</v>
      </c>
      <c r="F8" s="23" t="s">
        <v>23</v>
      </c>
      <c r="G8" s="23" t="s">
        <v>14</v>
      </c>
      <c r="H8" s="23" t="s">
        <v>34</v>
      </c>
      <c r="I8" s="23" t="s">
        <v>16</v>
      </c>
      <c r="J8" s="24">
        <v>320000</v>
      </c>
      <c r="K8" s="23">
        <v>4</v>
      </c>
      <c r="L8" s="23" t="s">
        <v>28</v>
      </c>
      <c r="M8" s="25">
        <f t="shared" si="0"/>
        <v>256000</v>
      </c>
      <c r="N8" s="25">
        <f>'Working Sheet'!$J8*'Working Sheet'!$K8</f>
        <v>1280000</v>
      </c>
      <c r="O8" s="26">
        <f>'Working Sheet'!$M8*'Working Sheet'!$K8</f>
        <v>1024000</v>
      </c>
      <c r="P8" s="25">
        <f>'Working Sheet'!$N8-'Working Sheet'!$O8</f>
        <v>256000</v>
      </c>
    </row>
    <row r="9" spans="1:16" ht="14.25" customHeight="1" x14ac:dyDescent="0.25">
      <c r="A9" s="18" t="str">
        <f t="shared" ca="1" si="1"/>
        <v>ID_847</v>
      </c>
      <c r="B9" s="17">
        <v>45694</v>
      </c>
      <c r="C9" s="18" t="str">
        <f>TEXT('Working Sheet'!$B9,"mmm")</f>
        <v>Feb</v>
      </c>
      <c r="D9" s="18" t="s">
        <v>25</v>
      </c>
      <c r="E9" s="18" t="s">
        <v>26</v>
      </c>
      <c r="F9" s="18" t="s">
        <v>13</v>
      </c>
      <c r="G9" s="18" t="s">
        <v>14</v>
      </c>
      <c r="H9" s="18" t="s">
        <v>34</v>
      </c>
      <c r="I9" s="18" t="s">
        <v>16</v>
      </c>
      <c r="J9" s="19">
        <v>320000</v>
      </c>
      <c r="K9" s="18">
        <v>1</v>
      </c>
      <c r="L9" s="18" t="s">
        <v>35</v>
      </c>
      <c r="M9" s="20">
        <f t="shared" si="0"/>
        <v>256000</v>
      </c>
      <c r="N9" s="20">
        <f>'Working Sheet'!$J9*'Working Sheet'!$K9</f>
        <v>320000</v>
      </c>
      <c r="O9" s="21">
        <f>'Working Sheet'!$M9*'Working Sheet'!$K9</f>
        <v>256000</v>
      </c>
      <c r="P9" s="20">
        <f>'Working Sheet'!$N9-'Working Sheet'!$O9</f>
        <v>64000</v>
      </c>
    </row>
    <row r="10" spans="1:16" ht="14.25" customHeight="1" x14ac:dyDescent="0.25">
      <c r="A10" s="23" t="str">
        <f t="shared" ca="1" si="1"/>
        <v>ID_84</v>
      </c>
      <c r="B10" s="22">
        <v>45740</v>
      </c>
      <c r="C10" s="23" t="str">
        <f>TEXT('Working Sheet'!$B10,"mmm")</f>
        <v>Mar</v>
      </c>
      <c r="D10" s="23" t="s">
        <v>18</v>
      </c>
      <c r="E10" s="23" t="s">
        <v>19</v>
      </c>
      <c r="F10" s="23" t="s">
        <v>13</v>
      </c>
      <c r="G10" s="23" t="s">
        <v>20</v>
      </c>
      <c r="H10" s="23" t="s">
        <v>34</v>
      </c>
      <c r="I10" s="23" t="s">
        <v>16</v>
      </c>
      <c r="J10" s="24">
        <v>320000</v>
      </c>
      <c r="K10" s="23">
        <v>9</v>
      </c>
      <c r="L10" s="23" t="s">
        <v>28</v>
      </c>
      <c r="M10" s="25">
        <f t="shared" si="0"/>
        <v>256000</v>
      </c>
      <c r="N10" s="25">
        <f>'Working Sheet'!$J10*'Working Sheet'!$K10</f>
        <v>2880000</v>
      </c>
      <c r="O10" s="26">
        <f>'Working Sheet'!$M10*'Working Sheet'!$K10</f>
        <v>2304000</v>
      </c>
      <c r="P10" s="25">
        <f>'Working Sheet'!$N10-'Working Sheet'!$O10</f>
        <v>576000</v>
      </c>
    </row>
    <row r="11" spans="1:16" ht="14.25" customHeight="1" x14ac:dyDescent="0.25">
      <c r="A11" s="18" t="str">
        <f t="shared" ca="1" si="1"/>
        <v>ID_738</v>
      </c>
      <c r="B11" s="17">
        <v>45742</v>
      </c>
      <c r="C11" s="18" t="str">
        <f>TEXT('Working Sheet'!$B11,"mmm")</f>
        <v>Mar</v>
      </c>
      <c r="D11" s="18" t="s">
        <v>25</v>
      </c>
      <c r="E11" s="18" t="s">
        <v>19</v>
      </c>
      <c r="F11" s="18" t="s">
        <v>13</v>
      </c>
      <c r="G11" s="18" t="s">
        <v>14</v>
      </c>
      <c r="H11" s="18" t="s">
        <v>34</v>
      </c>
      <c r="I11" s="18" t="s">
        <v>16</v>
      </c>
      <c r="J11" s="19">
        <v>320000</v>
      </c>
      <c r="K11" s="18">
        <v>3</v>
      </c>
      <c r="L11" s="18" t="s">
        <v>28</v>
      </c>
      <c r="M11" s="20">
        <f t="shared" si="0"/>
        <v>256000</v>
      </c>
      <c r="N11" s="20">
        <f>'Working Sheet'!$J11*'Working Sheet'!$K11</f>
        <v>960000</v>
      </c>
      <c r="O11" s="21">
        <f>'Working Sheet'!$M11*'Working Sheet'!$K11</f>
        <v>768000</v>
      </c>
      <c r="P11" s="20">
        <f>'Working Sheet'!$N11-'Working Sheet'!$O11</f>
        <v>192000</v>
      </c>
    </row>
    <row r="12" spans="1:16" ht="14.25" customHeight="1" x14ac:dyDescent="0.25">
      <c r="A12" s="23" t="str">
        <f t="shared" ca="1" si="1"/>
        <v>ID_1036</v>
      </c>
      <c r="B12" s="22">
        <v>45681</v>
      </c>
      <c r="C12" s="23" t="str">
        <f>TEXT('Working Sheet'!$B12,"mmm")</f>
        <v>Jan</v>
      </c>
      <c r="D12" s="23" t="s">
        <v>25</v>
      </c>
      <c r="E12" s="23" t="s">
        <v>12</v>
      </c>
      <c r="F12" s="23" t="s">
        <v>13</v>
      </c>
      <c r="G12" s="23" t="s">
        <v>14</v>
      </c>
      <c r="H12" s="23" t="s">
        <v>36</v>
      </c>
      <c r="I12" s="23" t="s">
        <v>31</v>
      </c>
      <c r="J12" s="24">
        <v>150000</v>
      </c>
      <c r="K12" s="23">
        <v>4</v>
      </c>
      <c r="L12" s="23" t="s">
        <v>35</v>
      </c>
      <c r="M12" s="25">
        <f t="shared" si="0"/>
        <v>120000</v>
      </c>
      <c r="N12" s="25">
        <f>'Working Sheet'!$J12*'Working Sheet'!$K12</f>
        <v>600000</v>
      </c>
      <c r="O12" s="26">
        <f>'Working Sheet'!$M12*'Working Sheet'!$K12</f>
        <v>480000</v>
      </c>
      <c r="P12" s="25">
        <f>'Working Sheet'!$N12-'Working Sheet'!$O12</f>
        <v>120000</v>
      </c>
    </row>
    <row r="13" spans="1:16" ht="14.25" customHeight="1" x14ac:dyDescent="0.25">
      <c r="A13" s="18" t="str">
        <f t="shared" ca="1" si="1"/>
        <v>ID_2020</v>
      </c>
      <c r="B13" s="17">
        <v>45677</v>
      </c>
      <c r="C13" s="18" t="str">
        <f>TEXT('Working Sheet'!$B13,"mmm")</f>
        <v>Jan</v>
      </c>
      <c r="D13" s="18" t="s">
        <v>11</v>
      </c>
      <c r="E13" s="18" t="s">
        <v>26</v>
      </c>
      <c r="F13" s="18" t="s">
        <v>23</v>
      </c>
      <c r="G13" s="18" t="s">
        <v>14</v>
      </c>
      <c r="H13" s="18" t="s">
        <v>34</v>
      </c>
      <c r="I13" s="18" t="s">
        <v>16</v>
      </c>
      <c r="J13" s="19">
        <v>320000</v>
      </c>
      <c r="K13" s="18">
        <v>7</v>
      </c>
      <c r="L13" s="18" t="s">
        <v>35</v>
      </c>
      <c r="M13" s="20">
        <f t="shared" si="0"/>
        <v>256000</v>
      </c>
      <c r="N13" s="20">
        <f>'Working Sheet'!$J13*'Working Sheet'!$K13</f>
        <v>2240000</v>
      </c>
      <c r="O13" s="21">
        <f>'Working Sheet'!$M13*'Working Sheet'!$K13</f>
        <v>1792000</v>
      </c>
      <c r="P13" s="20">
        <f>'Working Sheet'!$N13-'Working Sheet'!$O13</f>
        <v>448000</v>
      </c>
    </row>
    <row r="14" spans="1:16" ht="14.25" customHeight="1" x14ac:dyDescent="0.25">
      <c r="A14" s="23" t="str">
        <f t="shared" ca="1" si="1"/>
        <v>ID_592</v>
      </c>
      <c r="B14" s="22">
        <v>45773</v>
      </c>
      <c r="C14" s="23" t="str">
        <f>TEXT('Working Sheet'!$B14,"mmm")</f>
        <v>Apr</v>
      </c>
      <c r="D14" s="23" t="s">
        <v>25</v>
      </c>
      <c r="E14" s="23" t="s">
        <v>12</v>
      </c>
      <c r="F14" s="23" t="s">
        <v>13</v>
      </c>
      <c r="G14" s="23" t="s">
        <v>20</v>
      </c>
      <c r="H14" s="23" t="s">
        <v>36</v>
      </c>
      <c r="I14" s="23" t="s">
        <v>31</v>
      </c>
      <c r="J14" s="24">
        <v>150000</v>
      </c>
      <c r="K14" s="23">
        <v>2</v>
      </c>
      <c r="L14" s="23" t="s">
        <v>37</v>
      </c>
      <c r="M14" s="25">
        <f t="shared" si="0"/>
        <v>120000</v>
      </c>
      <c r="N14" s="25">
        <f>'Working Sheet'!$J14*'Working Sheet'!$K14</f>
        <v>300000</v>
      </c>
      <c r="O14" s="26">
        <f>'Working Sheet'!$M14*'Working Sheet'!$K14</f>
        <v>240000</v>
      </c>
      <c r="P14" s="25">
        <f>'Working Sheet'!$N14-'Working Sheet'!$O14</f>
        <v>60000</v>
      </c>
    </row>
    <row r="15" spans="1:16" ht="14.25" customHeight="1" x14ac:dyDescent="0.25">
      <c r="A15" s="18" t="str">
        <f t="shared" ca="1" si="1"/>
        <v>ID_2055</v>
      </c>
      <c r="B15" s="17">
        <v>45731</v>
      </c>
      <c r="C15" s="18" t="str">
        <f>TEXT('Working Sheet'!$B15,"mmm")</f>
        <v>Mar</v>
      </c>
      <c r="D15" s="18" t="s">
        <v>11</v>
      </c>
      <c r="E15" s="18" t="s">
        <v>19</v>
      </c>
      <c r="F15" s="18" t="s">
        <v>13</v>
      </c>
      <c r="G15" s="18" t="s">
        <v>14</v>
      </c>
      <c r="H15" s="18" t="s">
        <v>38</v>
      </c>
      <c r="I15" s="18" t="s">
        <v>31</v>
      </c>
      <c r="J15" s="19">
        <v>420000</v>
      </c>
      <c r="K15" s="18">
        <v>9</v>
      </c>
      <c r="L15" s="18" t="s">
        <v>28</v>
      </c>
      <c r="M15" s="20">
        <f t="shared" si="0"/>
        <v>336000</v>
      </c>
      <c r="N15" s="20">
        <f>'Working Sheet'!$J15*'Working Sheet'!$K15</f>
        <v>3780000</v>
      </c>
      <c r="O15" s="21">
        <f>'Working Sheet'!$M15*'Working Sheet'!$K15</f>
        <v>3024000</v>
      </c>
      <c r="P15" s="20">
        <f>'Working Sheet'!$N15-'Working Sheet'!$O15</f>
        <v>756000</v>
      </c>
    </row>
    <row r="16" spans="1:16" ht="14.25" customHeight="1" x14ac:dyDescent="0.25">
      <c r="A16" s="23" t="str">
        <f t="shared" ca="1" si="1"/>
        <v>ID_999</v>
      </c>
      <c r="B16" s="22">
        <v>45733</v>
      </c>
      <c r="C16" s="23" t="str">
        <f>TEXT('Working Sheet'!$B16,"mmm")</f>
        <v>Mar</v>
      </c>
      <c r="D16" s="23" t="s">
        <v>29</v>
      </c>
      <c r="E16" s="23" t="s">
        <v>19</v>
      </c>
      <c r="F16" s="23" t="s">
        <v>13</v>
      </c>
      <c r="G16" s="23" t="s">
        <v>14</v>
      </c>
      <c r="H16" s="23" t="s">
        <v>38</v>
      </c>
      <c r="I16" s="23" t="s">
        <v>31</v>
      </c>
      <c r="J16" s="24">
        <v>420000</v>
      </c>
      <c r="K16" s="23">
        <v>5</v>
      </c>
      <c r="L16" s="23" t="s">
        <v>39</v>
      </c>
      <c r="M16" s="25">
        <f t="shared" si="0"/>
        <v>336000</v>
      </c>
      <c r="N16" s="25">
        <f>'Working Sheet'!$J16*'Working Sheet'!$K16</f>
        <v>2100000</v>
      </c>
      <c r="O16" s="26">
        <f>'Working Sheet'!$M16*'Working Sheet'!$K16</f>
        <v>1680000</v>
      </c>
      <c r="P16" s="25">
        <f>'Working Sheet'!$N16-'Working Sheet'!$O16</f>
        <v>420000</v>
      </c>
    </row>
    <row r="17" spans="1:16" ht="14.25" customHeight="1" x14ac:dyDescent="0.25">
      <c r="A17" s="18" t="str">
        <f t="shared" ca="1" si="1"/>
        <v>ID_252</v>
      </c>
      <c r="B17" s="17">
        <v>45758</v>
      </c>
      <c r="C17" s="18" t="str">
        <f>TEXT('Working Sheet'!$B17,"mmm")</f>
        <v>Apr</v>
      </c>
      <c r="D17" s="18" t="s">
        <v>11</v>
      </c>
      <c r="E17" s="18" t="s">
        <v>26</v>
      </c>
      <c r="F17" s="18" t="s">
        <v>23</v>
      </c>
      <c r="G17" s="18" t="s">
        <v>20</v>
      </c>
      <c r="H17" s="18" t="s">
        <v>40</v>
      </c>
      <c r="I17" s="18" t="s">
        <v>31</v>
      </c>
      <c r="J17" s="19">
        <v>250000</v>
      </c>
      <c r="K17" s="18">
        <v>4</v>
      </c>
      <c r="L17" s="18" t="s">
        <v>35</v>
      </c>
      <c r="M17" s="20">
        <f t="shared" si="0"/>
        <v>200000</v>
      </c>
      <c r="N17" s="20">
        <f>'Working Sheet'!$J17*'Working Sheet'!$K17</f>
        <v>1000000</v>
      </c>
      <c r="O17" s="21">
        <f>'Working Sheet'!$M17*'Working Sheet'!$K17</f>
        <v>800000</v>
      </c>
      <c r="P17" s="20">
        <f>'Working Sheet'!$N17-'Working Sheet'!$O17</f>
        <v>200000</v>
      </c>
    </row>
    <row r="18" spans="1:16" ht="14.25" customHeight="1" x14ac:dyDescent="0.25">
      <c r="A18" s="23" t="str">
        <f t="shared" ca="1" si="1"/>
        <v>ID_95</v>
      </c>
      <c r="B18" s="22">
        <v>45700</v>
      </c>
      <c r="C18" s="23" t="str">
        <f>TEXT('Working Sheet'!$B18,"mmm")</f>
        <v>Feb</v>
      </c>
      <c r="D18" s="23" t="s">
        <v>11</v>
      </c>
      <c r="E18" s="23" t="s">
        <v>19</v>
      </c>
      <c r="F18" s="23" t="s">
        <v>13</v>
      </c>
      <c r="G18" s="23" t="s">
        <v>14</v>
      </c>
      <c r="H18" s="23" t="s">
        <v>41</v>
      </c>
      <c r="I18" s="23" t="s">
        <v>22</v>
      </c>
      <c r="J18" s="24">
        <v>220000</v>
      </c>
      <c r="K18" s="23">
        <v>2</v>
      </c>
      <c r="L18" s="23" t="s">
        <v>35</v>
      </c>
      <c r="M18" s="25">
        <f t="shared" si="0"/>
        <v>176000</v>
      </c>
      <c r="N18" s="25">
        <f>'Working Sheet'!$J18*'Working Sheet'!$K18</f>
        <v>440000</v>
      </c>
      <c r="O18" s="26">
        <f>'Working Sheet'!$M18*'Working Sheet'!$K18</f>
        <v>352000</v>
      </c>
      <c r="P18" s="25">
        <f>'Working Sheet'!$N18-'Working Sheet'!$O18</f>
        <v>88000</v>
      </c>
    </row>
    <row r="19" spans="1:16" ht="14.25" customHeight="1" x14ac:dyDescent="0.25">
      <c r="A19" s="18" t="str">
        <f t="shared" ca="1" si="1"/>
        <v>ID_2073</v>
      </c>
      <c r="B19" s="17">
        <v>45698</v>
      </c>
      <c r="C19" s="18" t="str">
        <f>TEXT('Working Sheet'!$B19,"mmm")</f>
        <v>Feb</v>
      </c>
      <c r="D19" s="18" t="s">
        <v>18</v>
      </c>
      <c r="E19" s="18" t="s">
        <v>26</v>
      </c>
      <c r="F19" s="18" t="s">
        <v>13</v>
      </c>
      <c r="G19" s="18" t="s">
        <v>20</v>
      </c>
      <c r="H19" s="18" t="s">
        <v>36</v>
      </c>
      <c r="I19" s="18" t="s">
        <v>31</v>
      </c>
      <c r="J19" s="19">
        <v>150000</v>
      </c>
      <c r="K19" s="18">
        <v>7</v>
      </c>
      <c r="L19" s="18" t="s">
        <v>28</v>
      </c>
      <c r="M19" s="20">
        <f t="shared" si="0"/>
        <v>120000</v>
      </c>
      <c r="N19" s="20">
        <f>'Working Sheet'!$J19*'Working Sheet'!$K19</f>
        <v>1050000</v>
      </c>
      <c r="O19" s="21">
        <f>'Working Sheet'!$M19*'Working Sheet'!$K19</f>
        <v>840000</v>
      </c>
      <c r="P19" s="20">
        <f>'Working Sheet'!$N19-'Working Sheet'!$O19</f>
        <v>210000</v>
      </c>
    </row>
    <row r="20" spans="1:16" ht="14.25" customHeight="1" x14ac:dyDescent="0.25">
      <c r="A20" s="23" t="str">
        <f t="shared" ca="1" si="1"/>
        <v>ID_1054</v>
      </c>
      <c r="B20" s="22">
        <v>45719</v>
      </c>
      <c r="C20" s="23" t="str">
        <f>TEXT('Working Sheet'!$B20,"mmm")</f>
        <v>Mar</v>
      </c>
      <c r="D20" s="23" t="s">
        <v>25</v>
      </c>
      <c r="E20" s="23" t="s">
        <v>32</v>
      </c>
      <c r="F20" s="23" t="s">
        <v>23</v>
      </c>
      <c r="G20" s="23" t="s">
        <v>20</v>
      </c>
      <c r="H20" s="23" t="s">
        <v>30</v>
      </c>
      <c r="I20" s="23" t="s">
        <v>31</v>
      </c>
      <c r="J20" s="24">
        <v>300000</v>
      </c>
      <c r="K20" s="23">
        <v>5</v>
      </c>
      <c r="L20" s="23" t="s">
        <v>35</v>
      </c>
      <c r="M20" s="25">
        <f t="shared" si="0"/>
        <v>240000</v>
      </c>
      <c r="N20" s="25">
        <f>'Working Sheet'!$J20*'Working Sheet'!$K20</f>
        <v>1500000</v>
      </c>
      <c r="O20" s="26">
        <f>'Working Sheet'!$M20*'Working Sheet'!$K20</f>
        <v>1200000</v>
      </c>
      <c r="P20" s="25">
        <f>'Working Sheet'!$N20-'Working Sheet'!$O20</f>
        <v>300000</v>
      </c>
    </row>
    <row r="21" spans="1:16" ht="14.25" customHeight="1" x14ac:dyDescent="0.25">
      <c r="A21" s="18" t="str">
        <f t="shared" ca="1" si="1"/>
        <v>ID_1700</v>
      </c>
      <c r="B21" s="17">
        <v>45698</v>
      </c>
      <c r="C21" s="18" t="str">
        <f>TEXT('Working Sheet'!$B21,"mmm")</f>
        <v>Feb</v>
      </c>
      <c r="D21" s="18" t="s">
        <v>29</v>
      </c>
      <c r="E21" s="18" t="s">
        <v>26</v>
      </c>
      <c r="F21" s="18" t="s">
        <v>13</v>
      </c>
      <c r="G21" s="18" t="s">
        <v>14</v>
      </c>
      <c r="H21" s="18" t="s">
        <v>36</v>
      </c>
      <c r="I21" s="18" t="s">
        <v>31</v>
      </c>
      <c r="J21" s="19">
        <v>150000</v>
      </c>
      <c r="K21" s="18">
        <v>4</v>
      </c>
      <c r="L21" s="18" t="s">
        <v>35</v>
      </c>
      <c r="M21" s="20">
        <f t="shared" si="0"/>
        <v>120000</v>
      </c>
      <c r="N21" s="20">
        <f>'Working Sheet'!$J21*'Working Sheet'!$K21</f>
        <v>600000</v>
      </c>
      <c r="O21" s="21">
        <f>'Working Sheet'!$M21*'Working Sheet'!$K21</f>
        <v>480000</v>
      </c>
      <c r="P21" s="20">
        <f>'Working Sheet'!$N21-'Working Sheet'!$O21</f>
        <v>120000</v>
      </c>
    </row>
    <row r="22" spans="1:16" ht="14.25" customHeight="1" x14ac:dyDescent="0.25">
      <c r="A22" s="23" t="str">
        <f t="shared" ca="1" si="1"/>
        <v>ID_103</v>
      </c>
      <c r="B22" s="22">
        <v>45778</v>
      </c>
      <c r="C22" s="23" t="str">
        <f>TEXT('Working Sheet'!$B22,"mmm")</f>
        <v>May</v>
      </c>
      <c r="D22" s="23" t="s">
        <v>29</v>
      </c>
      <c r="E22" s="23" t="s">
        <v>26</v>
      </c>
      <c r="F22" s="23" t="s">
        <v>23</v>
      </c>
      <c r="G22" s="23" t="s">
        <v>20</v>
      </c>
      <c r="H22" s="23" t="s">
        <v>15</v>
      </c>
      <c r="I22" s="23" t="s">
        <v>16</v>
      </c>
      <c r="J22" s="24">
        <v>85000</v>
      </c>
      <c r="K22" s="23">
        <v>1</v>
      </c>
      <c r="L22" s="23" t="s">
        <v>39</v>
      </c>
      <c r="M22" s="25">
        <f t="shared" si="0"/>
        <v>68000</v>
      </c>
      <c r="N22" s="25">
        <f>'Working Sheet'!$J22*'Working Sheet'!$K22</f>
        <v>85000</v>
      </c>
      <c r="O22" s="26">
        <f>'Working Sheet'!$M22*'Working Sheet'!$K22</f>
        <v>68000</v>
      </c>
      <c r="P22" s="25">
        <f>'Working Sheet'!$N22-'Working Sheet'!$O22</f>
        <v>17000</v>
      </c>
    </row>
    <row r="23" spans="1:16" ht="14.25" customHeight="1" x14ac:dyDescent="0.25">
      <c r="A23" s="18" t="str">
        <f t="shared" ca="1" si="1"/>
        <v>ID_861</v>
      </c>
      <c r="B23" s="17">
        <v>45731</v>
      </c>
      <c r="C23" s="18" t="str">
        <f>TEXT('Working Sheet'!$B23,"mmm")</f>
        <v>Mar</v>
      </c>
      <c r="D23" s="18" t="s">
        <v>18</v>
      </c>
      <c r="E23" s="18" t="s">
        <v>12</v>
      </c>
      <c r="F23" s="18" t="s">
        <v>13</v>
      </c>
      <c r="G23" s="18" t="s">
        <v>20</v>
      </c>
      <c r="H23" s="18" t="s">
        <v>15</v>
      </c>
      <c r="I23" s="18" t="s">
        <v>16</v>
      </c>
      <c r="J23" s="19">
        <v>85000</v>
      </c>
      <c r="K23" s="18">
        <v>9</v>
      </c>
      <c r="L23" s="18" t="s">
        <v>24</v>
      </c>
      <c r="M23" s="20">
        <f t="shared" si="0"/>
        <v>68000</v>
      </c>
      <c r="N23" s="20">
        <f>'Working Sheet'!$J23*'Working Sheet'!$K23</f>
        <v>765000</v>
      </c>
      <c r="O23" s="21">
        <f>'Working Sheet'!$M23*'Working Sheet'!$K23</f>
        <v>612000</v>
      </c>
      <c r="P23" s="20">
        <f>'Working Sheet'!$N23-'Working Sheet'!$O23</f>
        <v>153000</v>
      </c>
    </row>
    <row r="24" spans="1:16" ht="14.25" customHeight="1" x14ac:dyDescent="0.25">
      <c r="A24" s="23" t="str">
        <f t="shared" ca="1" si="1"/>
        <v>ID_1990</v>
      </c>
      <c r="B24" s="22">
        <v>45751</v>
      </c>
      <c r="C24" s="23" t="str">
        <f>TEXT('Working Sheet'!$B24,"mmm")</f>
        <v>Apr</v>
      </c>
      <c r="D24" s="23" t="s">
        <v>18</v>
      </c>
      <c r="E24" s="23" t="s">
        <v>19</v>
      </c>
      <c r="F24" s="23" t="s">
        <v>13</v>
      </c>
      <c r="G24" s="23" t="s">
        <v>20</v>
      </c>
      <c r="H24" s="23" t="s">
        <v>38</v>
      </c>
      <c r="I24" s="23" t="s">
        <v>31</v>
      </c>
      <c r="J24" s="24">
        <v>420000</v>
      </c>
      <c r="K24" s="23">
        <v>8</v>
      </c>
      <c r="L24" s="23" t="s">
        <v>39</v>
      </c>
      <c r="M24" s="25">
        <f t="shared" si="0"/>
        <v>336000</v>
      </c>
      <c r="N24" s="25">
        <f>'Working Sheet'!$J24*'Working Sheet'!$K24</f>
        <v>3360000</v>
      </c>
      <c r="O24" s="26">
        <f>'Working Sheet'!$M24*'Working Sheet'!$K24</f>
        <v>2688000</v>
      </c>
      <c r="P24" s="25">
        <f>'Working Sheet'!$N24-'Working Sheet'!$O24</f>
        <v>672000</v>
      </c>
    </row>
    <row r="25" spans="1:16" ht="14.25" customHeight="1" x14ac:dyDescent="0.25">
      <c r="A25" s="18" t="str">
        <f t="shared" ca="1" si="1"/>
        <v>ID_466</v>
      </c>
      <c r="B25" s="17">
        <v>45762</v>
      </c>
      <c r="C25" s="18" t="str">
        <f>TEXT('Working Sheet'!$B25,"mmm")</f>
        <v>Apr</v>
      </c>
      <c r="D25" s="18" t="s">
        <v>29</v>
      </c>
      <c r="E25" s="18" t="s">
        <v>19</v>
      </c>
      <c r="F25" s="18" t="s">
        <v>23</v>
      </c>
      <c r="G25" s="18" t="s">
        <v>14</v>
      </c>
      <c r="H25" s="18" t="s">
        <v>38</v>
      </c>
      <c r="I25" s="18" t="s">
        <v>31</v>
      </c>
      <c r="J25" s="19">
        <v>420000</v>
      </c>
      <c r="K25" s="18">
        <v>10</v>
      </c>
      <c r="L25" s="18" t="s">
        <v>39</v>
      </c>
      <c r="M25" s="20">
        <f t="shared" si="0"/>
        <v>336000</v>
      </c>
      <c r="N25" s="20">
        <f>'Working Sheet'!$J25*'Working Sheet'!$K25</f>
        <v>4200000</v>
      </c>
      <c r="O25" s="21">
        <f>'Working Sheet'!$M25*'Working Sheet'!$K25</f>
        <v>3360000</v>
      </c>
      <c r="P25" s="20">
        <f>'Working Sheet'!$N25-'Working Sheet'!$O25</f>
        <v>840000</v>
      </c>
    </row>
    <row r="26" spans="1:16" ht="14.25" customHeight="1" x14ac:dyDescent="0.25">
      <c r="A26" s="23" t="str">
        <f t="shared" ca="1" si="1"/>
        <v>ID_240</v>
      </c>
      <c r="B26" s="22">
        <v>45714</v>
      </c>
      <c r="C26" s="23" t="str">
        <f>TEXT('Working Sheet'!$B26,"mmm")</f>
        <v>Feb</v>
      </c>
      <c r="D26" s="23" t="s">
        <v>18</v>
      </c>
      <c r="E26" s="23" t="s">
        <v>12</v>
      </c>
      <c r="F26" s="23" t="s">
        <v>13</v>
      </c>
      <c r="G26" s="23" t="s">
        <v>20</v>
      </c>
      <c r="H26" s="23" t="s">
        <v>40</v>
      </c>
      <c r="I26" s="23" t="s">
        <v>31</v>
      </c>
      <c r="J26" s="24">
        <v>250000</v>
      </c>
      <c r="K26" s="23">
        <v>5</v>
      </c>
      <c r="L26" s="23" t="s">
        <v>37</v>
      </c>
      <c r="M26" s="25">
        <f t="shared" si="0"/>
        <v>200000</v>
      </c>
      <c r="N26" s="25">
        <f>'Working Sheet'!$J26*'Working Sheet'!$K26</f>
        <v>1250000</v>
      </c>
      <c r="O26" s="26">
        <f>'Working Sheet'!$M26*'Working Sheet'!$K26</f>
        <v>1000000</v>
      </c>
      <c r="P26" s="25">
        <f>'Working Sheet'!$N26-'Working Sheet'!$O26</f>
        <v>250000</v>
      </c>
    </row>
    <row r="27" spans="1:16" ht="14.25" customHeight="1" x14ac:dyDescent="0.25">
      <c r="A27" s="18" t="str">
        <f t="shared" ca="1" si="1"/>
        <v>ID_167</v>
      </c>
      <c r="B27" s="17">
        <v>45697</v>
      </c>
      <c r="C27" s="18" t="str">
        <f>TEXT('Working Sheet'!$B27,"mmm")</f>
        <v>Feb</v>
      </c>
      <c r="D27" s="18" t="s">
        <v>29</v>
      </c>
      <c r="E27" s="18" t="s">
        <v>19</v>
      </c>
      <c r="F27" s="18" t="s">
        <v>23</v>
      </c>
      <c r="G27" s="18" t="s">
        <v>20</v>
      </c>
      <c r="H27" s="18" t="s">
        <v>41</v>
      </c>
      <c r="I27" s="18" t="s">
        <v>22</v>
      </c>
      <c r="J27" s="19">
        <v>220000</v>
      </c>
      <c r="K27" s="18">
        <v>4</v>
      </c>
      <c r="L27" s="18" t="s">
        <v>39</v>
      </c>
      <c r="M27" s="20">
        <f t="shared" si="0"/>
        <v>176000</v>
      </c>
      <c r="N27" s="20">
        <f>'Working Sheet'!$J27*'Working Sheet'!$K27</f>
        <v>880000</v>
      </c>
      <c r="O27" s="21">
        <f>'Working Sheet'!$M27*'Working Sheet'!$K27</f>
        <v>704000</v>
      </c>
      <c r="P27" s="20">
        <f>'Working Sheet'!$N27-'Working Sheet'!$O27</f>
        <v>176000</v>
      </c>
    </row>
    <row r="28" spans="1:16" ht="14.25" customHeight="1" x14ac:dyDescent="0.25">
      <c r="A28" s="23" t="str">
        <f t="shared" ca="1" si="1"/>
        <v>ID_432</v>
      </c>
      <c r="B28" s="22">
        <v>45746</v>
      </c>
      <c r="C28" s="23" t="str">
        <f>TEXT('Working Sheet'!$B28,"mmm")</f>
        <v>Mar</v>
      </c>
      <c r="D28" s="23" t="s">
        <v>11</v>
      </c>
      <c r="E28" s="23" t="s">
        <v>32</v>
      </c>
      <c r="F28" s="23" t="s">
        <v>23</v>
      </c>
      <c r="G28" s="23" t="s">
        <v>14</v>
      </c>
      <c r="H28" s="23" t="s">
        <v>36</v>
      </c>
      <c r="I28" s="23" t="s">
        <v>31</v>
      </c>
      <c r="J28" s="24">
        <v>150000</v>
      </c>
      <c r="K28" s="23">
        <v>7</v>
      </c>
      <c r="L28" s="23" t="s">
        <v>28</v>
      </c>
      <c r="M28" s="25">
        <f t="shared" si="0"/>
        <v>120000</v>
      </c>
      <c r="N28" s="25">
        <f>'Working Sheet'!$J28*'Working Sheet'!$K28</f>
        <v>1050000</v>
      </c>
      <c r="O28" s="26">
        <f>'Working Sheet'!$M28*'Working Sheet'!$K28</f>
        <v>840000</v>
      </c>
      <c r="P28" s="25">
        <f>'Working Sheet'!$N28-'Working Sheet'!$O28</f>
        <v>210000</v>
      </c>
    </row>
    <row r="29" spans="1:16" ht="14.25" customHeight="1" x14ac:dyDescent="0.25">
      <c r="A29" s="18" t="str">
        <f t="shared" ca="1" si="1"/>
        <v>ID_439</v>
      </c>
      <c r="B29" s="17">
        <v>45717</v>
      </c>
      <c r="C29" s="18" t="str">
        <f>TEXT('Working Sheet'!$B29,"mmm")</f>
        <v>Mar</v>
      </c>
      <c r="D29" s="18" t="s">
        <v>25</v>
      </c>
      <c r="E29" s="18" t="s">
        <v>26</v>
      </c>
      <c r="F29" s="18" t="s">
        <v>13</v>
      </c>
      <c r="G29" s="18" t="s">
        <v>14</v>
      </c>
      <c r="H29" s="18" t="s">
        <v>15</v>
      </c>
      <c r="I29" s="18" t="s">
        <v>16</v>
      </c>
      <c r="J29" s="19">
        <v>85000</v>
      </c>
      <c r="K29" s="18">
        <v>3</v>
      </c>
      <c r="L29" s="18" t="s">
        <v>35</v>
      </c>
      <c r="M29" s="20">
        <f t="shared" si="0"/>
        <v>68000</v>
      </c>
      <c r="N29" s="20">
        <f>'Working Sheet'!$J29*'Working Sheet'!$K29</f>
        <v>255000</v>
      </c>
      <c r="O29" s="21">
        <f>'Working Sheet'!$M29*'Working Sheet'!$K29</f>
        <v>204000</v>
      </c>
      <c r="P29" s="20">
        <f>'Working Sheet'!$N29-'Working Sheet'!$O29</f>
        <v>51000</v>
      </c>
    </row>
    <row r="30" spans="1:16" ht="14.25" customHeight="1" x14ac:dyDescent="0.25">
      <c r="A30" s="23" t="str">
        <f t="shared" ca="1" si="1"/>
        <v>ID_320</v>
      </c>
      <c r="B30" s="22">
        <v>45698</v>
      </c>
      <c r="C30" s="23" t="str">
        <f>TEXT('Working Sheet'!$B30,"mmm")</f>
        <v>Feb</v>
      </c>
      <c r="D30" s="23" t="s">
        <v>18</v>
      </c>
      <c r="E30" s="23" t="s">
        <v>12</v>
      </c>
      <c r="F30" s="23" t="s">
        <v>13</v>
      </c>
      <c r="G30" s="23" t="s">
        <v>20</v>
      </c>
      <c r="H30" s="23" t="s">
        <v>30</v>
      </c>
      <c r="I30" s="23" t="s">
        <v>31</v>
      </c>
      <c r="J30" s="24">
        <v>300000</v>
      </c>
      <c r="K30" s="23">
        <v>8</v>
      </c>
      <c r="L30" s="23" t="s">
        <v>39</v>
      </c>
      <c r="M30" s="25">
        <f t="shared" si="0"/>
        <v>240000</v>
      </c>
      <c r="N30" s="25">
        <f>'Working Sheet'!$J30*'Working Sheet'!$K30</f>
        <v>2400000</v>
      </c>
      <c r="O30" s="26">
        <f>'Working Sheet'!$M30*'Working Sheet'!$K30</f>
        <v>1920000</v>
      </c>
      <c r="P30" s="25">
        <f>'Working Sheet'!$N30-'Working Sheet'!$O30</f>
        <v>480000</v>
      </c>
    </row>
    <row r="31" spans="1:16" ht="14.25" customHeight="1" x14ac:dyDescent="0.25">
      <c r="A31" s="18" t="str">
        <f t="shared" ca="1" si="1"/>
        <v>ID_669</v>
      </c>
      <c r="B31" s="17">
        <v>45697</v>
      </c>
      <c r="C31" s="18" t="str">
        <f>TEXT('Working Sheet'!$B31,"mmm")</f>
        <v>Feb</v>
      </c>
      <c r="D31" s="18" t="s">
        <v>11</v>
      </c>
      <c r="E31" s="18" t="s">
        <v>19</v>
      </c>
      <c r="F31" s="18" t="s">
        <v>23</v>
      </c>
      <c r="G31" s="18" t="s">
        <v>14</v>
      </c>
      <c r="H31" s="18" t="s">
        <v>41</v>
      </c>
      <c r="I31" s="18" t="s">
        <v>22</v>
      </c>
      <c r="J31" s="19">
        <v>220000</v>
      </c>
      <c r="K31" s="18">
        <v>1</v>
      </c>
      <c r="L31" s="18" t="s">
        <v>24</v>
      </c>
      <c r="M31" s="20">
        <f t="shared" si="0"/>
        <v>176000</v>
      </c>
      <c r="N31" s="20">
        <f>'Working Sheet'!$J31*'Working Sheet'!$K31</f>
        <v>220000</v>
      </c>
      <c r="O31" s="21">
        <f>'Working Sheet'!$M31*'Working Sheet'!$K31</f>
        <v>176000</v>
      </c>
      <c r="P31" s="20">
        <f>'Working Sheet'!$N31-'Working Sheet'!$O31</f>
        <v>44000</v>
      </c>
    </row>
    <row r="32" spans="1:16" ht="14.25" customHeight="1" x14ac:dyDescent="0.25">
      <c r="A32" s="23" t="str">
        <f t="shared" ca="1" si="1"/>
        <v>ID_272</v>
      </c>
      <c r="B32" s="22">
        <v>45671</v>
      </c>
      <c r="C32" s="23" t="str">
        <f>TEXT('Working Sheet'!$B32,"mmm")</f>
        <v>Jan</v>
      </c>
      <c r="D32" s="23" t="s">
        <v>25</v>
      </c>
      <c r="E32" s="23" t="s">
        <v>32</v>
      </c>
      <c r="F32" s="23" t="s">
        <v>23</v>
      </c>
      <c r="G32" s="23" t="s">
        <v>14</v>
      </c>
      <c r="H32" s="23" t="s">
        <v>34</v>
      </c>
      <c r="I32" s="23" t="s">
        <v>16</v>
      </c>
      <c r="J32" s="24">
        <v>320000</v>
      </c>
      <c r="K32" s="23">
        <v>7</v>
      </c>
      <c r="L32" s="23" t="s">
        <v>39</v>
      </c>
      <c r="M32" s="25">
        <f t="shared" si="0"/>
        <v>256000</v>
      </c>
      <c r="N32" s="25">
        <f>'Working Sheet'!$J32*'Working Sheet'!$K32</f>
        <v>2240000</v>
      </c>
      <c r="O32" s="26">
        <f>'Working Sheet'!$M32*'Working Sheet'!$K32</f>
        <v>1792000</v>
      </c>
      <c r="P32" s="25">
        <f>'Working Sheet'!$N32-'Working Sheet'!$O32</f>
        <v>448000</v>
      </c>
    </row>
    <row r="33" spans="1:16" ht="14.25" customHeight="1" x14ac:dyDescent="0.25">
      <c r="A33" s="18" t="str">
        <f t="shared" ca="1" si="1"/>
        <v>ID_1870</v>
      </c>
      <c r="B33" s="17">
        <v>45658</v>
      </c>
      <c r="C33" s="18" t="str">
        <f>TEXT('Working Sheet'!$B33,"mmm")</f>
        <v>Jan</v>
      </c>
      <c r="D33" s="18" t="s">
        <v>11</v>
      </c>
      <c r="E33" s="18" t="s">
        <v>32</v>
      </c>
      <c r="F33" s="18" t="s">
        <v>13</v>
      </c>
      <c r="G33" s="18" t="s">
        <v>20</v>
      </c>
      <c r="H33" s="18" t="s">
        <v>36</v>
      </c>
      <c r="I33" s="18" t="s">
        <v>31</v>
      </c>
      <c r="J33" s="19">
        <v>150000</v>
      </c>
      <c r="K33" s="18">
        <v>1</v>
      </c>
      <c r="L33" s="18" t="s">
        <v>17</v>
      </c>
      <c r="M33" s="20">
        <f t="shared" si="0"/>
        <v>120000</v>
      </c>
      <c r="N33" s="20">
        <f>'Working Sheet'!$J33*'Working Sheet'!$K33</f>
        <v>150000</v>
      </c>
      <c r="O33" s="21">
        <f>'Working Sheet'!$M33*'Working Sheet'!$K33</f>
        <v>120000</v>
      </c>
      <c r="P33" s="20">
        <f>'Working Sheet'!$N33-'Working Sheet'!$O33</f>
        <v>30000</v>
      </c>
    </row>
    <row r="34" spans="1:16" ht="14.25" customHeight="1" x14ac:dyDescent="0.25">
      <c r="A34" s="23" t="str">
        <f t="shared" ca="1" si="1"/>
        <v>ID_1116</v>
      </c>
      <c r="B34" s="22">
        <v>45708</v>
      </c>
      <c r="C34" s="23" t="str">
        <f>TEXT('Working Sheet'!$B34,"mmm")</f>
        <v>Feb</v>
      </c>
      <c r="D34" s="23" t="s">
        <v>18</v>
      </c>
      <c r="E34" s="23" t="s">
        <v>26</v>
      </c>
      <c r="F34" s="23" t="s">
        <v>13</v>
      </c>
      <c r="G34" s="23" t="s">
        <v>14</v>
      </c>
      <c r="H34" s="23" t="s">
        <v>33</v>
      </c>
      <c r="I34" s="23" t="s">
        <v>22</v>
      </c>
      <c r="J34" s="24">
        <v>180000</v>
      </c>
      <c r="K34" s="23">
        <v>9</v>
      </c>
      <c r="L34" s="23" t="s">
        <v>39</v>
      </c>
      <c r="M34" s="25">
        <f t="shared" si="0"/>
        <v>144000</v>
      </c>
      <c r="N34" s="25">
        <f>'Working Sheet'!$J34*'Working Sheet'!$K34</f>
        <v>1620000</v>
      </c>
      <c r="O34" s="26">
        <f>'Working Sheet'!$M34*'Working Sheet'!$K34</f>
        <v>1296000</v>
      </c>
      <c r="P34" s="25">
        <f>'Working Sheet'!$N34-'Working Sheet'!$O34</f>
        <v>324000</v>
      </c>
    </row>
    <row r="35" spans="1:16" ht="14.25" customHeight="1" x14ac:dyDescent="0.25">
      <c r="A35" s="18" t="str">
        <f t="shared" ca="1" si="1"/>
        <v>ID_1944</v>
      </c>
      <c r="B35" s="17">
        <v>45725</v>
      </c>
      <c r="C35" s="18" t="str">
        <f>TEXT('Working Sheet'!$B35,"mmm")</f>
        <v>Mar</v>
      </c>
      <c r="D35" s="18" t="s">
        <v>25</v>
      </c>
      <c r="E35" s="18" t="s">
        <v>26</v>
      </c>
      <c r="F35" s="18" t="s">
        <v>13</v>
      </c>
      <c r="G35" s="18" t="s">
        <v>14</v>
      </c>
      <c r="H35" s="18" t="s">
        <v>34</v>
      </c>
      <c r="I35" s="18" t="s">
        <v>16</v>
      </c>
      <c r="J35" s="19">
        <v>320000</v>
      </c>
      <c r="K35" s="18">
        <v>5</v>
      </c>
      <c r="L35" s="18" t="s">
        <v>39</v>
      </c>
      <c r="M35" s="20">
        <f t="shared" si="0"/>
        <v>256000</v>
      </c>
      <c r="N35" s="20">
        <f>'Working Sheet'!$J35*'Working Sheet'!$K35</f>
        <v>1600000</v>
      </c>
      <c r="O35" s="21">
        <f>'Working Sheet'!$M35*'Working Sheet'!$K35</f>
        <v>1280000</v>
      </c>
      <c r="P35" s="20">
        <f>'Working Sheet'!$N35-'Working Sheet'!$O35</f>
        <v>320000</v>
      </c>
    </row>
    <row r="36" spans="1:16" ht="14.25" customHeight="1" x14ac:dyDescent="0.25">
      <c r="A36" s="23" t="str">
        <f t="shared" ca="1" si="1"/>
        <v>ID_23</v>
      </c>
      <c r="B36" s="22">
        <v>45697</v>
      </c>
      <c r="C36" s="23" t="str">
        <f>TEXT('Working Sheet'!$B36,"mmm")</f>
        <v>Feb</v>
      </c>
      <c r="D36" s="23" t="s">
        <v>25</v>
      </c>
      <c r="E36" s="23" t="s">
        <v>26</v>
      </c>
      <c r="F36" s="23" t="s">
        <v>23</v>
      </c>
      <c r="G36" s="23" t="s">
        <v>20</v>
      </c>
      <c r="H36" s="23" t="s">
        <v>36</v>
      </c>
      <c r="I36" s="23" t="s">
        <v>31</v>
      </c>
      <c r="J36" s="24">
        <v>150000</v>
      </c>
      <c r="K36" s="23">
        <v>8</v>
      </c>
      <c r="L36" s="23" t="s">
        <v>37</v>
      </c>
      <c r="M36" s="25">
        <f t="shared" si="0"/>
        <v>120000</v>
      </c>
      <c r="N36" s="25">
        <f>'Working Sheet'!$J36*'Working Sheet'!$K36</f>
        <v>1200000</v>
      </c>
      <c r="O36" s="26">
        <f>'Working Sheet'!$M36*'Working Sheet'!$K36</f>
        <v>960000</v>
      </c>
      <c r="P36" s="25">
        <f>'Working Sheet'!$N36-'Working Sheet'!$O36</f>
        <v>240000</v>
      </c>
    </row>
    <row r="37" spans="1:16" ht="14.25" customHeight="1" x14ac:dyDescent="0.25">
      <c r="A37" s="18" t="str">
        <f t="shared" ca="1" si="1"/>
        <v>ID_477</v>
      </c>
      <c r="B37" s="17">
        <v>45701</v>
      </c>
      <c r="C37" s="18" t="str">
        <f>TEXT('Working Sheet'!$B37,"mmm")</f>
        <v>Feb</v>
      </c>
      <c r="D37" s="18" t="s">
        <v>11</v>
      </c>
      <c r="E37" s="18" t="s">
        <v>12</v>
      </c>
      <c r="F37" s="18" t="s">
        <v>23</v>
      </c>
      <c r="G37" s="18" t="s">
        <v>20</v>
      </c>
      <c r="H37" s="18" t="s">
        <v>15</v>
      </c>
      <c r="I37" s="18" t="s">
        <v>16</v>
      </c>
      <c r="J37" s="19">
        <v>85000</v>
      </c>
      <c r="K37" s="18">
        <v>7</v>
      </c>
      <c r="L37" s="18" t="s">
        <v>24</v>
      </c>
      <c r="M37" s="20">
        <f t="shared" si="0"/>
        <v>68000</v>
      </c>
      <c r="N37" s="20">
        <f>'Working Sheet'!$J37*'Working Sheet'!$K37</f>
        <v>595000</v>
      </c>
      <c r="O37" s="21">
        <f>'Working Sheet'!$M37*'Working Sheet'!$K37</f>
        <v>476000</v>
      </c>
      <c r="P37" s="20">
        <f>'Working Sheet'!$N37-'Working Sheet'!$O37</f>
        <v>119000</v>
      </c>
    </row>
    <row r="38" spans="1:16" ht="14.25" customHeight="1" x14ac:dyDescent="0.25">
      <c r="A38" s="23" t="str">
        <f t="shared" ca="1" si="1"/>
        <v>ID_1883</v>
      </c>
      <c r="B38" s="22">
        <v>45729</v>
      </c>
      <c r="C38" s="23" t="str">
        <f>TEXT('Working Sheet'!$B38,"mmm")</f>
        <v>Mar</v>
      </c>
      <c r="D38" s="23" t="s">
        <v>25</v>
      </c>
      <c r="E38" s="23" t="s">
        <v>32</v>
      </c>
      <c r="F38" s="23" t="s">
        <v>23</v>
      </c>
      <c r="G38" s="23" t="s">
        <v>14</v>
      </c>
      <c r="H38" s="23" t="s">
        <v>34</v>
      </c>
      <c r="I38" s="23" t="s">
        <v>16</v>
      </c>
      <c r="J38" s="24">
        <v>320000</v>
      </c>
      <c r="K38" s="23">
        <v>6</v>
      </c>
      <c r="L38" s="23" t="s">
        <v>24</v>
      </c>
      <c r="M38" s="25">
        <f t="shared" si="0"/>
        <v>256000</v>
      </c>
      <c r="N38" s="25">
        <f>'Working Sheet'!$J38*'Working Sheet'!$K38</f>
        <v>1920000</v>
      </c>
      <c r="O38" s="26">
        <f>'Working Sheet'!$M38*'Working Sheet'!$K38</f>
        <v>1536000</v>
      </c>
      <c r="P38" s="25">
        <f>'Working Sheet'!$N38-'Working Sheet'!$O38</f>
        <v>384000</v>
      </c>
    </row>
    <row r="39" spans="1:16" ht="14.25" customHeight="1" x14ac:dyDescent="0.25">
      <c r="A39" s="18" t="str">
        <f t="shared" ca="1" si="1"/>
        <v>ID_308</v>
      </c>
      <c r="B39" s="17">
        <v>45691</v>
      </c>
      <c r="C39" s="18" t="str">
        <f>TEXT('Working Sheet'!$B39,"mmm")</f>
        <v>Feb</v>
      </c>
      <c r="D39" s="18" t="s">
        <v>11</v>
      </c>
      <c r="E39" s="18" t="s">
        <v>26</v>
      </c>
      <c r="F39" s="18" t="s">
        <v>13</v>
      </c>
      <c r="G39" s="18" t="s">
        <v>20</v>
      </c>
      <c r="H39" s="18" t="s">
        <v>38</v>
      </c>
      <c r="I39" s="18" t="s">
        <v>31</v>
      </c>
      <c r="J39" s="19">
        <v>420000</v>
      </c>
      <c r="K39" s="18">
        <v>8</v>
      </c>
      <c r="L39" s="18" t="s">
        <v>37</v>
      </c>
      <c r="M39" s="20">
        <f t="shared" si="0"/>
        <v>336000</v>
      </c>
      <c r="N39" s="20">
        <f>'Working Sheet'!$J39*'Working Sheet'!$K39</f>
        <v>3360000</v>
      </c>
      <c r="O39" s="21">
        <f>'Working Sheet'!$M39*'Working Sheet'!$K39</f>
        <v>2688000</v>
      </c>
      <c r="P39" s="20">
        <f>'Working Sheet'!$N39-'Working Sheet'!$O39</f>
        <v>672000</v>
      </c>
    </row>
    <row r="40" spans="1:16" ht="14.25" customHeight="1" x14ac:dyDescent="0.25">
      <c r="A40" s="23" t="str">
        <f t="shared" ca="1" si="1"/>
        <v>ID_615</v>
      </c>
      <c r="B40" s="22">
        <v>45692</v>
      </c>
      <c r="C40" s="23" t="str">
        <f>TEXT('Working Sheet'!$B40,"mmm")</f>
        <v>Feb</v>
      </c>
      <c r="D40" s="23" t="s">
        <v>25</v>
      </c>
      <c r="E40" s="23" t="s">
        <v>12</v>
      </c>
      <c r="F40" s="23" t="s">
        <v>23</v>
      </c>
      <c r="G40" s="23" t="s">
        <v>14</v>
      </c>
      <c r="H40" s="23" t="s">
        <v>30</v>
      </c>
      <c r="I40" s="23" t="s">
        <v>31</v>
      </c>
      <c r="J40" s="24">
        <v>300000</v>
      </c>
      <c r="K40" s="23">
        <v>7</v>
      </c>
      <c r="L40" s="23" t="s">
        <v>35</v>
      </c>
      <c r="M40" s="25">
        <f t="shared" si="0"/>
        <v>240000</v>
      </c>
      <c r="N40" s="25">
        <f>'Working Sheet'!$J40*'Working Sheet'!$K40</f>
        <v>2100000</v>
      </c>
      <c r="O40" s="26">
        <f>'Working Sheet'!$M40*'Working Sheet'!$K40</f>
        <v>1680000</v>
      </c>
      <c r="P40" s="25">
        <f>'Working Sheet'!$N40-'Working Sheet'!$O40</f>
        <v>420000</v>
      </c>
    </row>
    <row r="41" spans="1:16" ht="14.25" customHeight="1" x14ac:dyDescent="0.25">
      <c r="A41" s="18" t="str">
        <f t="shared" ca="1" si="1"/>
        <v>ID_1163</v>
      </c>
      <c r="B41" s="17">
        <v>45706</v>
      </c>
      <c r="C41" s="18" t="str">
        <f>TEXT('Working Sheet'!$B41,"mmm")</f>
        <v>Feb</v>
      </c>
      <c r="D41" s="18" t="s">
        <v>11</v>
      </c>
      <c r="E41" s="18" t="s">
        <v>12</v>
      </c>
      <c r="F41" s="18" t="s">
        <v>13</v>
      </c>
      <c r="G41" s="18" t="s">
        <v>14</v>
      </c>
      <c r="H41" s="18" t="s">
        <v>21</v>
      </c>
      <c r="I41" s="18" t="s">
        <v>22</v>
      </c>
      <c r="J41" s="19">
        <v>30000</v>
      </c>
      <c r="K41" s="18">
        <v>6</v>
      </c>
      <c r="L41" s="18" t="s">
        <v>24</v>
      </c>
      <c r="M41" s="20">
        <f t="shared" si="0"/>
        <v>24000</v>
      </c>
      <c r="N41" s="20">
        <f>'Working Sheet'!$J41*'Working Sheet'!$K41</f>
        <v>180000</v>
      </c>
      <c r="O41" s="21">
        <f>'Working Sheet'!$M41*'Working Sheet'!$K41</f>
        <v>144000</v>
      </c>
      <c r="P41" s="20">
        <f>'Working Sheet'!$N41-'Working Sheet'!$O41</f>
        <v>36000</v>
      </c>
    </row>
    <row r="42" spans="1:16" ht="14.25" customHeight="1" x14ac:dyDescent="0.25">
      <c r="A42" s="23" t="str">
        <f t="shared" ca="1" si="1"/>
        <v>ID_128</v>
      </c>
      <c r="B42" s="22">
        <v>45709</v>
      </c>
      <c r="C42" s="23" t="str">
        <f>TEXT('Working Sheet'!$B42,"mmm")</f>
        <v>Feb</v>
      </c>
      <c r="D42" s="23" t="s">
        <v>11</v>
      </c>
      <c r="E42" s="23" t="s">
        <v>12</v>
      </c>
      <c r="F42" s="23" t="s">
        <v>23</v>
      </c>
      <c r="G42" s="23" t="s">
        <v>20</v>
      </c>
      <c r="H42" s="23" t="s">
        <v>41</v>
      </c>
      <c r="I42" s="23" t="s">
        <v>22</v>
      </c>
      <c r="J42" s="24">
        <v>220000</v>
      </c>
      <c r="K42" s="23">
        <v>2</v>
      </c>
      <c r="L42" s="23" t="s">
        <v>35</v>
      </c>
      <c r="M42" s="25">
        <f t="shared" si="0"/>
        <v>176000</v>
      </c>
      <c r="N42" s="25">
        <f>'Working Sheet'!$J42*'Working Sheet'!$K42</f>
        <v>440000</v>
      </c>
      <c r="O42" s="26">
        <f>'Working Sheet'!$M42*'Working Sheet'!$K42</f>
        <v>352000</v>
      </c>
      <c r="P42" s="25">
        <f>'Working Sheet'!$N42-'Working Sheet'!$O42</f>
        <v>88000</v>
      </c>
    </row>
    <row r="43" spans="1:16" ht="14.25" customHeight="1" x14ac:dyDescent="0.25">
      <c r="A43" s="18" t="str">
        <f t="shared" ca="1" si="1"/>
        <v>ID_1462</v>
      </c>
      <c r="B43" s="17">
        <v>45681</v>
      </c>
      <c r="C43" s="18" t="str">
        <f>TEXT('Working Sheet'!$B43,"mmm")</f>
        <v>Jan</v>
      </c>
      <c r="D43" s="18" t="s">
        <v>11</v>
      </c>
      <c r="E43" s="18" t="s">
        <v>32</v>
      </c>
      <c r="F43" s="18" t="s">
        <v>13</v>
      </c>
      <c r="G43" s="18" t="s">
        <v>14</v>
      </c>
      <c r="H43" s="18" t="s">
        <v>36</v>
      </c>
      <c r="I43" s="18" t="s">
        <v>31</v>
      </c>
      <c r="J43" s="19">
        <v>150000</v>
      </c>
      <c r="K43" s="18">
        <v>1</v>
      </c>
      <c r="L43" s="18" t="s">
        <v>24</v>
      </c>
      <c r="M43" s="20">
        <f t="shared" si="0"/>
        <v>120000</v>
      </c>
      <c r="N43" s="20">
        <f>'Working Sheet'!$J43*'Working Sheet'!$K43</f>
        <v>150000</v>
      </c>
      <c r="O43" s="21">
        <f>'Working Sheet'!$M43*'Working Sheet'!$K43</f>
        <v>120000</v>
      </c>
      <c r="P43" s="20">
        <f>'Working Sheet'!$N43-'Working Sheet'!$O43</f>
        <v>30000</v>
      </c>
    </row>
    <row r="44" spans="1:16" ht="14.25" customHeight="1" x14ac:dyDescent="0.25">
      <c r="A44" s="23" t="str">
        <f t="shared" ca="1" si="1"/>
        <v>ID_1442</v>
      </c>
      <c r="B44" s="22">
        <v>45685</v>
      </c>
      <c r="C44" s="23" t="str">
        <f>TEXT('Working Sheet'!$B44,"mmm")</f>
        <v>Jan</v>
      </c>
      <c r="D44" s="23" t="s">
        <v>29</v>
      </c>
      <c r="E44" s="23" t="s">
        <v>19</v>
      </c>
      <c r="F44" s="23" t="s">
        <v>13</v>
      </c>
      <c r="G44" s="23" t="s">
        <v>20</v>
      </c>
      <c r="H44" s="23" t="s">
        <v>34</v>
      </c>
      <c r="I44" s="23" t="s">
        <v>16</v>
      </c>
      <c r="J44" s="24">
        <v>320000</v>
      </c>
      <c r="K44" s="23">
        <v>1</v>
      </c>
      <c r="L44" s="23" t="s">
        <v>39</v>
      </c>
      <c r="M44" s="25">
        <f t="shared" si="0"/>
        <v>256000</v>
      </c>
      <c r="N44" s="25">
        <f>'Working Sheet'!$J44*'Working Sheet'!$K44</f>
        <v>320000</v>
      </c>
      <c r="O44" s="26">
        <f>'Working Sheet'!$M44*'Working Sheet'!$K44</f>
        <v>256000</v>
      </c>
      <c r="P44" s="25">
        <f>'Working Sheet'!$N44-'Working Sheet'!$O44</f>
        <v>64000</v>
      </c>
    </row>
    <row r="45" spans="1:16" ht="14.25" customHeight="1" x14ac:dyDescent="0.25">
      <c r="A45" s="18" t="str">
        <f t="shared" ca="1" si="1"/>
        <v>ID_795</v>
      </c>
      <c r="B45" s="17">
        <v>45765</v>
      </c>
      <c r="C45" s="18" t="str">
        <f>TEXT('Working Sheet'!$B45,"mmm")</f>
        <v>Apr</v>
      </c>
      <c r="D45" s="18" t="s">
        <v>29</v>
      </c>
      <c r="E45" s="18" t="s">
        <v>32</v>
      </c>
      <c r="F45" s="18" t="s">
        <v>23</v>
      </c>
      <c r="G45" s="18" t="s">
        <v>20</v>
      </c>
      <c r="H45" s="18" t="s">
        <v>21</v>
      </c>
      <c r="I45" s="18" t="s">
        <v>22</v>
      </c>
      <c r="J45" s="19">
        <v>30000</v>
      </c>
      <c r="K45" s="18">
        <v>3</v>
      </c>
      <c r="L45" s="18" t="s">
        <v>24</v>
      </c>
      <c r="M45" s="20">
        <f t="shared" si="0"/>
        <v>24000</v>
      </c>
      <c r="N45" s="20">
        <f>'Working Sheet'!$J45*'Working Sheet'!$K45</f>
        <v>90000</v>
      </c>
      <c r="O45" s="21">
        <f>'Working Sheet'!$M45*'Working Sheet'!$K45</f>
        <v>72000</v>
      </c>
      <c r="P45" s="20">
        <f>'Working Sheet'!$N45-'Working Sheet'!$O45</f>
        <v>18000</v>
      </c>
    </row>
    <row r="46" spans="1:16" ht="14.25" customHeight="1" x14ac:dyDescent="0.25">
      <c r="A46" s="23" t="str">
        <f t="shared" ca="1" si="1"/>
        <v>ID_895</v>
      </c>
      <c r="B46" s="22">
        <v>45660</v>
      </c>
      <c r="C46" s="23" t="str">
        <f>TEXT('Working Sheet'!$B46,"mmm")</f>
        <v>Jan</v>
      </c>
      <c r="D46" s="23" t="s">
        <v>11</v>
      </c>
      <c r="E46" s="23" t="s">
        <v>12</v>
      </c>
      <c r="F46" s="23" t="s">
        <v>23</v>
      </c>
      <c r="G46" s="23" t="s">
        <v>14</v>
      </c>
      <c r="H46" s="23" t="s">
        <v>27</v>
      </c>
      <c r="I46" s="23" t="s">
        <v>22</v>
      </c>
      <c r="J46" s="24">
        <v>60000</v>
      </c>
      <c r="K46" s="23">
        <v>5</v>
      </c>
      <c r="L46" s="23" t="s">
        <v>28</v>
      </c>
      <c r="M46" s="25">
        <f t="shared" si="0"/>
        <v>48000</v>
      </c>
      <c r="N46" s="25">
        <f>'Working Sheet'!$J46*'Working Sheet'!$K46</f>
        <v>300000</v>
      </c>
      <c r="O46" s="26">
        <f>'Working Sheet'!$M46*'Working Sheet'!$K46</f>
        <v>240000</v>
      </c>
      <c r="P46" s="25">
        <f>'Working Sheet'!$N46-'Working Sheet'!$O46</f>
        <v>60000</v>
      </c>
    </row>
    <row r="47" spans="1:16" ht="14.25" customHeight="1" x14ac:dyDescent="0.25">
      <c r="A47" s="18" t="str">
        <f t="shared" ca="1" si="1"/>
        <v>ID_1886</v>
      </c>
      <c r="B47" s="17">
        <v>45746</v>
      </c>
      <c r="C47" s="18" t="str">
        <f>TEXT('Working Sheet'!$B47,"mmm")</f>
        <v>Mar</v>
      </c>
      <c r="D47" s="18" t="s">
        <v>18</v>
      </c>
      <c r="E47" s="18" t="s">
        <v>26</v>
      </c>
      <c r="F47" s="18" t="s">
        <v>23</v>
      </c>
      <c r="G47" s="18" t="s">
        <v>14</v>
      </c>
      <c r="H47" s="18" t="s">
        <v>36</v>
      </c>
      <c r="I47" s="18" t="s">
        <v>31</v>
      </c>
      <c r="J47" s="19">
        <v>150000</v>
      </c>
      <c r="K47" s="18">
        <v>3</v>
      </c>
      <c r="L47" s="18" t="s">
        <v>28</v>
      </c>
      <c r="M47" s="20">
        <f t="shared" si="0"/>
        <v>120000</v>
      </c>
      <c r="N47" s="20">
        <f>'Working Sheet'!$J47*'Working Sheet'!$K47</f>
        <v>450000</v>
      </c>
      <c r="O47" s="21">
        <f>'Working Sheet'!$M47*'Working Sheet'!$K47</f>
        <v>360000</v>
      </c>
      <c r="P47" s="20">
        <f>'Working Sheet'!$N47-'Working Sheet'!$O47</f>
        <v>90000</v>
      </c>
    </row>
    <row r="48" spans="1:16" ht="14.25" customHeight="1" x14ac:dyDescent="0.25">
      <c r="A48" s="23" t="str">
        <f t="shared" ca="1" si="1"/>
        <v>ID_1962</v>
      </c>
      <c r="B48" s="22">
        <v>45751</v>
      </c>
      <c r="C48" s="23" t="str">
        <f>TEXT('Working Sheet'!$B48,"mmm")</f>
        <v>Apr</v>
      </c>
      <c r="D48" s="23" t="s">
        <v>18</v>
      </c>
      <c r="E48" s="23" t="s">
        <v>19</v>
      </c>
      <c r="F48" s="23" t="s">
        <v>13</v>
      </c>
      <c r="G48" s="23" t="s">
        <v>14</v>
      </c>
      <c r="H48" s="23" t="s">
        <v>34</v>
      </c>
      <c r="I48" s="23" t="s">
        <v>16</v>
      </c>
      <c r="J48" s="24">
        <v>320000</v>
      </c>
      <c r="K48" s="23">
        <v>10</v>
      </c>
      <c r="L48" s="23" t="s">
        <v>28</v>
      </c>
      <c r="M48" s="25">
        <f t="shared" si="0"/>
        <v>256000</v>
      </c>
      <c r="N48" s="25">
        <f>'Working Sheet'!$J48*'Working Sheet'!$K48</f>
        <v>3200000</v>
      </c>
      <c r="O48" s="26">
        <f>'Working Sheet'!$M48*'Working Sheet'!$K48</f>
        <v>2560000</v>
      </c>
      <c r="P48" s="25">
        <f>'Working Sheet'!$N48-'Working Sheet'!$O48</f>
        <v>640000</v>
      </c>
    </row>
    <row r="49" spans="1:16" ht="14.25" customHeight="1" x14ac:dyDescent="0.25">
      <c r="A49" s="18" t="str">
        <f t="shared" ca="1" si="1"/>
        <v>ID_1383</v>
      </c>
      <c r="B49" s="17">
        <v>45696</v>
      </c>
      <c r="C49" s="18" t="str">
        <f>TEXT('Working Sheet'!$B49,"mmm")</f>
        <v>Feb</v>
      </c>
      <c r="D49" s="18" t="s">
        <v>18</v>
      </c>
      <c r="E49" s="18" t="s">
        <v>12</v>
      </c>
      <c r="F49" s="18" t="s">
        <v>23</v>
      </c>
      <c r="G49" s="18" t="s">
        <v>14</v>
      </c>
      <c r="H49" s="18" t="s">
        <v>41</v>
      </c>
      <c r="I49" s="18" t="s">
        <v>22</v>
      </c>
      <c r="J49" s="19">
        <v>220000</v>
      </c>
      <c r="K49" s="18">
        <v>6</v>
      </c>
      <c r="L49" s="18" t="s">
        <v>17</v>
      </c>
      <c r="M49" s="20">
        <f t="shared" si="0"/>
        <v>176000</v>
      </c>
      <c r="N49" s="20">
        <f>'Working Sheet'!$J49*'Working Sheet'!$K49</f>
        <v>1320000</v>
      </c>
      <c r="O49" s="21">
        <f>'Working Sheet'!$M49*'Working Sheet'!$K49</f>
        <v>1056000</v>
      </c>
      <c r="P49" s="20">
        <f>'Working Sheet'!$N49-'Working Sheet'!$O49</f>
        <v>264000</v>
      </c>
    </row>
    <row r="50" spans="1:16" ht="14.25" customHeight="1" x14ac:dyDescent="0.25">
      <c r="A50" s="23" t="str">
        <f t="shared" ca="1" si="1"/>
        <v>ID_1496</v>
      </c>
      <c r="B50" s="22">
        <v>45732</v>
      </c>
      <c r="C50" s="23" t="str">
        <f>TEXT('Working Sheet'!$B50,"mmm")</f>
        <v>Mar</v>
      </c>
      <c r="D50" s="23" t="s">
        <v>11</v>
      </c>
      <c r="E50" s="23" t="s">
        <v>32</v>
      </c>
      <c r="F50" s="23" t="s">
        <v>23</v>
      </c>
      <c r="G50" s="23" t="s">
        <v>14</v>
      </c>
      <c r="H50" s="23" t="s">
        <v>33</v>
      </c>
      <c r="I50" s="23" t="s">
        <v>22</v>
      </c>
      <c r="J50" s="24">
        <v>180000</v>
      </c>
      <c r="K50" s="23">
        <v>8</v>
      </c>
      <c r="L50" s="23" t="s">
        <v>28</v>
      </c>
      <c r="M50" s="25">
        <f t="shared" si="0"/>
        <v>144000</v>
      </c>
      <c r="N50" s="25">
        <f>'Working Sheet'!$J50*'Working Sheet'!$K50</f>
        <v>1440000</v>
      </c>
      <c r="O50" s="26">
        <f>'Working Sheet'!$M50*'Working Sheet'!$K50</f>
        <v>1152000</v>
      </c>
      <c r="P50" s="25">
        <f>'Working Sheet'!$N50-'Working Sheet'!$O50</f>
        <v>288000</v>
      </c>
    </row>
    <row r="51" spans="1:16" ht="14.25" customHeight="1" x14ac:dyDescent="0.25">
      <c r="A51" s="18" t="str">
        <f t="shared" ca="1" si="1"/>
        <v>ID_580</v>
      </c>
      <c r="B51" s="17">
        <v>45683</v>
      </c>
      <c r="C51" s="18" t="str">
        <f>TEXT('Working Sheet'!$B51,"mmm")</f>
        <v>Jan</v>
      </c>
      <c r="D51" s="18" t="s">
        <v>11</v>
      </c>
      <c r="E51" s="18" t="s">
        <v>26</v>
      </c>
      <c r="F51" s="18" t="s">
        <v>13</v>
      </c>
      <c r="G51" s="18" t="s">
        <v>20</v>
      </c>
      <c r="H51" s="18" t="s">
        <v>34</v>
      </c>
      <c r="I51" s="18" t="s">
        <v>16</v>
      </c>
      <c r="J51" s="19">
        <v>320000</v>
      </c>
      <c r="K51" s="18">
        <v>2</v>
      </c>
      <c r="L51" s="18" t="s">
        <v>24</v>
      </c>
      <c r="M51" s="20">
        <f t="shared" si="0"/>
        <v>256000</v>
      </c>
      <c r="N51" s="20">
        <f>'Working Sheet'!$J51*'Working Sheet'!$K51</f>
        <v>640000</v>
      </c>
      <c r="O51" s="21">
        <f>'Working Sheet'!$M51*'Working Sheet'!$K51</f>
        <v>512000</v>
      </c>
      <c r="P51" s="20">
        <f>'Working Sheet'!$N51-'Working Sheet'!$O51</f>
        <v>128000</v>
      </c>
    </row>
    <row r="52" spans="1:16" ht="14.25" customHeight="1" x14ac:dyDescent="0.25">
      <c r="A52" s="23" t="str">
        <f t="shared" ca="1" si="1"/>
        <v>ID_1706</v>
      </c>
      <c r="B52" s="22">
        <v>45694</v>
      </c>
      <c r="C52" s="23" t="str">
        <f>TEXT('Working Sheet'!$B52,"mmm")</f>
        <v>Feb</v>
      </c>
      <c r="D52" s="23" t="s">
        <v>11</v>
      </c>
      <c r="E52" s="23" t="s">
        <v>19</v>
      </c>
      <c r="F52" s="23" t="s">
        <v>13</v>
      </c>
      <c r="G52" s="23" t="s">
        <v>20</v>
      </c>
      <c r="H52" s="23" t="s">
        <v>30</v>
      </c>
      <c r="I52" s="23" t="s">
        <v>31</v>
      </c>
      <c r="J52" s="24">
        <v>300000</v>
      </c>
      <c r="K52" s="23">
        <v>9</v>
      </c>
      <c r="L52" s="23" t="s">
        <v>35</v>
      </c>
      <c r="M52" s="25">
        <f t="shared" si="0"/>
        <v>240000</v>
      </c>
      <c r="N52" s="25">
        <f>'Working Sheet'!$J52*'Working Sheet'!$K52</f>
        <v>2700000</v>
      </c>
      <c r="O52" s="26">
        <f>'Working Sheet'!$M52*'Working Sheet'!$K52</f>
        <v>2160000</v>
      </c>
      <c r="P52" s="25">
        <f>'Working Sheet'!$N52-'Working Sheet'!$O52</f>
        <v>540000</v>
      </c>
    </row>
    <row r="53" spans="1:16" ht="14.25" customHeight="1" x14ac:dyDescent="0.25">
      <c r="A53" s="18" t="str">
        <f t="shared" ca="1" si="1"/>
        <v>ID_1695</v>
      </c>
      <c r="B53" s="17">
        <v>45674</v>
      </c>
      <c r="C53" s="18" t="str">
        <f>TEXT('Working Sheet'!$B53,"mmm")</f>
        <v>Jan</v>
      </c>
      <c r="D53" s="18" t="s">
        <v>29</v>
      </c>
      <c r="E53" s="18" t="s">
        <v>26</v>
      </c>
      <c r="F53" s="18" t="s">
        <v>13</v>
      </c>
      <c r="G53" s="18" t="s">
        <v>20</v>
      </c>
      <c r="H53" s="18" t="s">
        <v>38</v>
      </c>
      <c r="I53" s="18" t="s">
        <v>31</v>
      </c>
      <c r="J53" s="19">
        <v>420000</v>
      </c>
      <c r="K53" s="18">
        <v>1</v>
      </c>
      <c r="L53" s="18" t="s">
        <v>35</v>
      </c>
      <c r="M53" s="20">
        <f t="shared" si="0"/>
        <v>336000</v>
      </c>
      <c r="N53" s="20">
        <f>'Working Sheet'!$J53*'Working Sheet'!$K53</f>
        <v>420000</v>
      </c>
      <c r="O53" s="21">
        <f>'Working Sheet'!$M53*'Working Sheet'!$K53</f>
        <v>336000</v>
      </c>
      <c r="P53" s="20">
        <f>'Working Sheet'!$N53-'Working Sheet'!$O53</f>
        <v>84000</v>
      </c>
    </row>
    <row r="54" spans="1:16" ht="14.25" customHeight="1" x14ac:dyDescent="0.25">
      <c r="A54" s="23" t="str">
        <f t="shared" ca="1" si="1"/>
        <v>ID_2088</v>
      </c>
      <c r="B54" s="22">
        <v>45753</v>
      </c>
      <c r="C54" s="23" t="str">
        <f>TEXT('Working Sheet'!$B54,"mmm")</f>
        <v>Apr</v>
      </c>
      <c r="D54" s="23" t="s">
        <v>18</v>
      </c>
      <c r="E54" s="23" t="s">
        <v>26</v>
      </c>
      <c r="F54" s="23" t="s">
        <v>13</v>
      </c>
      <c r="G54" s="23" t="s">
        <v>14</v>
      </c>
      <c r="H54" s="23" t="s">
        <v>27</v>
      </c>
      <c r="I54" s="23" t="s">
        <v>22</v>
      </c>
      <c r="J54" s="24">
        <v>60000</v>
      </c>
      <c r="K54" s="23">
        <v>1</v>
      </c>
      <c r="L54" s="23" t="s">
        <v>28</v>
      </c>
      <c r="M54" s="25">
        <f t="shared" si="0"/>
        <v>48000</v>
      </c>
      <c r="N54" s="25">
        <f>'Working Sheet'!$J54*'Working Sheet'!$K54</f>
        <v>60000</v>
      </c>
      <c r="O54" s="26">
        <f>'Working Sheet'!$M54*'Working Sheet'!$K54</f>
        <v>48000</v>
      </c>
      <c r="P54" s="25">
        <f>'Working Sheet'!$N54-'Working Sheet'!$O54</f>
        <v>12000</v>
      </c>
    </row>
    <row r="55" spans="1:16" ht="14.25" customHeight="1" x14ac:dyDescent="0.25">
      <c r="A55" s="18" t="str">
        <f t="shared" ca="1" si="1"/>
        <v>ID_1642</v>
      </c>
      <c r="B55" s="17">
        <v>45725</v>
      </c>
      <c r="C55" s="18" t="str">
        <f>TEXT('Working Sheet'!$B55,"mmm")</f>
        <v>Mar</v>
      </c>
      <c r="D55" s="18" t="s">
        <v>18</v>
      </c>
      <c r="E55" s="18" t="s">
        <v>19</v>
      </c>
      <c r="F55" s="18" t="s">
        <v>23</v>
      </c>
      <c r="G55" s="18" t="s">
        <v>20</v>
      </c>
      <c r="H55" s="18" t="s">
        <v>30</v>
      </c>
      <c r="I55" s="18" t="s">
        <v>31</v>
      </c>
      <c r="J55" s="19">
        <v>300000</v>
      </c>
      <c r="K55" s="18">
        <v>9</v>
      </c>
      <c r="L55" s="18" t="s">
        <v>35</v>
      </c>
      <c r="M55" s="20">
        <f t="shared" si="0"/>
        <v>240000</v>
      </c>
      <c r="N55" s="20">
        <f>'Working Sheet'!$J55*'Working Sheet'!$K55</f>
        <v>2700000</v>
      </c>
      <c r="O55" s="21">
        <f>'Working Sheet'!$M55*'Working Sheet'!$K55</f>
        <v>2160000</v>
      </c>
      <c r="P55" s="20">
        <f>'Working Sheet'!$N55-'Working Sheet'!$O55</f>
        <v>540000</v>
      </c>
    </row>
    <row r="56" spans="1:16" ht="14.25" customHeight="1" x14ac:dyDescent="0.25">
      <c r="A56" s="23" t="str">
        <f t="shared" ca="1" si="1"/>
        <v>ID_1010</v>
      </c>
      <c r="B56" s="22">
        <v>45663</v>
      </c>
      <c r="C56" s="23" t="str">
        <f>TEXT('Working Sheet'!$B56,"mmm")</f>
        <v>Jan</v>
      </c>
      <c r="D56" s="23" t="s">
        <v>11</v>
      </c>
      <c r="E56" s="23" t="s">
        <v>26</v>
      </c>
      <c r="F56" s="23" t="s">
        <v>23</v>
      </c>
      <c r="G56" s="23" t="s">
        <v>14</v>
      </c>
      <c r="H56" s="23" t="s">
        <v>38</v>
      </c>
      <c r="I56" s="23" t="s">
        <v>31</v>
      </c>
      <c r="J56" s="24">
        <v>420000</v>
      </c>
      <c r="K56" s="23">
        <v>9</v>
      </c>
      <c r="L56" s="23" t="s">
        <v>24</v>
      </c>
      <c r="M56" s="25">
        <f t="shared" si="0"/>
        <v>336000</v>
      </c>
      <c r="N56" s="25">
        <f>'Working Sheet'!$J56*'Working Sheet'!$K56</f>
        <v>3780000</v>
      </c>
      <c r="O56" s="26">
        <f>'Working Sheet'!$M56*'Working Sheet'!$K56</f>
        <v>3024000</v>
      </c>
      <c r="P56" s="25">
        <f>'Working Sheet'!$N56-'Working Sheet'!$O56</f>
        <v>756000</v>
      </c>
    </row>
    <row r="57" spans="1:16" ht="14.25" customHeight="1" x14ac:dyDescent="0.25">
      <c r="A57" s="18" t="str">
        <f t="shared" ca="1" si="1"/>
        <v>ID_769</v>
      </c>
      <c r="B57" s="17">
        <v>45708</v>
      </c>
      <c r="C57" s="18" t="str">
        <f>TEXT('Working Sheet'!$B57,"mmm")</f>
        <v>Feb</v>
      </c>
      <c r="D57" s="18" t="s">
        <v>18</v>
      </c>
      <c r="E57" s="18" t="s">
        <v>19</v>
      </c>
      <c r="F57" s="18" t="s">
        <v>13</v>
      </c>
      <c r="G57" s="18" t="s">
        <v>14</v>
      </c>
      <c r="H57" s="18" t="s">
        <v>41</v>
      </c>
      <c r="I57" s="18" t="s">
        <v>22</v>
      </c>
      <c r="J57" s="19">
        <v>220000</v>
      </c>
      <c r="K57" s="18">
        <v>8</v>
      </c>
      <c r="L57" s="18" t="s">
        <v>37</v>
      </c>
      <c r="M57" s="20">
        <f t="shared" si="0"/>
        <v>176000</v>
      </c>
      <c r="N57" s="20">
        <f>'Working Sheet'!$J57*'Working Sheet'!$K57</f>
        <v>1760000</v>
      </c>
      <c r="O57" s="21">
        <f>'Working Sheet'!$M57*'Working Sheet'!$K57</f>
        <v>1408000</v>
      </c>
      <c r="P57" s="20">
        <f>'Working Sheet'!$N57-'Working Sheet'!$O57</f>
        <v>352000</v>
      </c>
    </row>
    <row r="58" spans="1:16" ht="14.25" customHeight="1" x14ac:dyDescent="0.25">
      <c r="A58" s="23" t="str">
        <f t="shared" ca="1" si="1"/>
        <v>ID_8</v>
      </c>
      <c r="B58" s="22">
        <v>45659</v>
      </c>
      <c r="C58" s="23" t="str">
        <f>TEXT('Working Sheet'!$B58,"mmm")</f>
        <v>Jan</v>
      </c>
      <c r="D58" s="23" t="s">
        <v>25</v>
      </c>
      <c r="E58" s="23" t="s">
        <v>12</v>
      </c>
      <c r="F58" s="23" t="s">
        <v>13</v>
      </c>
      <c r="G58" s="23" t="s">
        <v>14</v>
      </c>
      <c r="H58" s="23" t="s">
        <v>15</v>
      </c>
      <c r="I58" s="23" t="s">
        <v>16</v>
      </c>
      <c r="J58" s="24">
        <v>85000</v>
      </c>
      <c r="K58" s="23">
        <v>10</v>
      </c>
      <c r="L58" s="23" t="s">
        <v>35</v>
      </c>
      <c r="M58" s="25">
        <f t="shared" si="0"/>
        <v>68000</v>
      </c>
      <c r="N58" s="25">
        <f>'Working Sheet'!$J58*'Working Sheet'!$K58</f>
        <v>850000</v>
      </c>
      <c r="O58" s="26">
        <f>'Working Sheet'!$M58*'Working Sheet'!$K58</f>
        <v>680000</v>
      </c>
      <c r="P58" s="25">
        <f>'Working Sheet'!$N58-'Working Sheet'!$O58</f>
        <v>170000</v>
      </c>
    </row>
    <row r="59" spans="1:16" ht="14.25" customHeight="1" x14ac:dyDescent="0.25">
      <c r="A59" s="18" t="str">
        <f t="shared" ca="1" si="1"/>
        <v>ID_2075</v>
      </c>
      <c r="B59" s="17">
        <v>45701</v>
      </c>
      <c r="C59" s="18" t="str">
        <f>TEXT('Working Sheet'!$B59,"mmm")</f>
        <v>Feb</v>
      </c>
      <c r="D59" s="18" t="s">
        <v>11</v>
      </c>
      <c r="E59" s="18" t="s">
        <v>26</v>
      </c>
      <c r="F59" s="18" t="s">
        <v>23</v>
      </c>
      <c r="G59" s="18" t="s">
        <v>14</v>
      </c>
      <c r="H59" s="18" t="s">
        <v>36</v>
      </c>
      <c r="I59" s="18" t="s">
        <v>31</v>
      </c>
      <c r="J59" s="19">
        <v>150000</v>
      </c>
      <c r="K59" s="18">
        <v>4</v>
      </c>
      <c r="L59" s="18" t="s">
        <v>17</v>
      </c>
      <c r="M59" s="20">
        <f t="shared" si="0"/>
        <v>120000</v>
      </c>
      <c r="N59" s="20">
        <f>'Working Sheet'!$J59*'Working Sheet'!$K59</f>
        <v>600000</v>
      </c>
      <c r="O59" s="21">
        <f>'Working Sheet'!$M59*'Working Sheet'!$K59</f>
        <v>480000</v>
      </c>
      <c r="P59" s="20">
        <f>'Working Sheet'!$N59-'Working Sheet'!$O59</f>
        <v>120000</v>
      </c>
    </row>
    <row r="60" spans="1:16" ht="14.25" customHeight="1" x14ac:dyDescent="0.25">
      <c r="A60" s="23" t="str">
        <f t="shared" ca="1" si="1"/>
        <v>ID_576</v>
      </c>
      <c r="B60" s="22">
        <v>45677</v>
      </c>
      <c r="C60" s="23" t="str">
        <f>TEXT('Working Sheet'!$B60,"mmm")</f>
        <v>Jan</v>
      </c>
      <c r="D60" s="23" t="s">
        <v>18</v>
      </c>
      <c r="E60" s="23" t="s">
        <v>19</v>
      </c>
      <c r="F60" s="23" t="s">
        <v>23</v>
      </c>
      <c r="G60" s="23" t="s">
        <v>20</v>
      </c>
      <c r="H60" s="23" t="s">
        <v>40</v>
      </c>
      <c r="I60" s="23" t="s">
        <v>31</v>
      </c>
      <c r="J60" s="24">
        <v>250000</v>
      </c>
      <c r="K60" s="23">
        <v>1</v>
      </c>
      <c r="L60" s="23" t="s">
        <v>28</v>
      </c>
      <c r="M60" s="25">
        <f t="shared" si="0"/>
        <v>200000</v>
      </c>
      <c r="N60" s="25">
        <f>'Working Sheet'!$J60*'Working Sheet'!$K60</f>
        <v>250000</v>
      </c>
      <c r="O60" s="26">
        <f>'Working Sheet'!$M60*'Working Sheet'!$K60</f>
        <v>200000</v>
      </c>
      <c r="P60" s="25">
        <f>'Working Sheet'!$N60-'Working Sheet'!$O60</f>
        <v>50000</v>
      </c>
    </row>
    <row r="61" spans="1:16" ht="14.25" customHeight="1" x14ac:dyDescent="0.25">
      <c r="A61" s="18" t="str">
        <f t="shared" ca="1" si="1"/>
        <v>ID_1414</v>
      </c>
      <c r="B61" s="17">
        <v>45735</v>
      </c>
      <c r="C61" s="18" t="str">
        <f>TEXT('Working Sheet'!$B61,"mmm")</f>
        <v>Mar</v>
      </c>
      <c r="D61" s="18" t="s">
        <v>25</v>
      </c>
      <c r="E61" s="18" t="s">
        <v>19</v>
      </c>
      <c r="F61" s="18" t="s">
        <v>13</v>
      </c>
      <c r="G61" s="18" t="s">
        <v>14</v>
      </c>
      <c r="H61" s="18" t="s">
        <v>21</v>
      </c>
      <c r="I61" s="18" t="s">
        <v>22</v>
      </c>
      <c r="J61" s="19">
        <v>30000</v>
      </c>
      <c r="K61" s="18">
        <v>10</v>
      </c>
      <c r="L61" s="18" t="s">
        <v>28</v>
      </c>
      <c r="M61" s="20">
        <f t="shared" si="0"/>
        <v>24000</v>
      </c>
      <c r="N61" s="20">
        <f>'Working Sheet'!$J61*'Working Sheet'!$K61</f>
        <v>300000</v>
      </c>
      <c r="O61" s="21">
        <f>'Working Sheet'!$M61*'Working Sheet'!$K61</f>
        <v>240000</v>
      </c>
      <c r="P61" s="20">
        <f>'Working Sheet'!$N61-'Working Sheet'!$O61</f>
        <v>60000</v>
      </c>
    </row>
    <row r="62" spans="1:16" ht="14.25" customHeight="1" x14ac:dyDescent="0.25">
      <c r="A62" s="23" t="str">
        <f t="shared" ca="1" si="1"/>
        <v>ID_138</v>
      </c>
      <c r="B62" s="22">
        <v>45721</v>
      </c>
      <c r="C62" s="23" t="str">
        <f>TEXT('Working Sheet'!$B62,"mmm")</f>
        <v>Mar</v>
      </c>
      <c r="D62" s="23" t="s">
        <v>25</v>
      </c>
      <c r="E62" s="23" t="s">
        <v>19</v>
      </c>
      <c r="F62" s="23" t="s">
        <v>23</v>
      </c>
      <c r="G62" s="23" t="s">
        <v>14</v>
      </c>
      <c r="H62" s="23" t="s">
        <v>38</v>
      </c>
      <c r="I62" s="23" t="s">
        <v>31</v>
      </c>
      <c r="J62" s="24">
        <v>420000</v>
      </c>
      <c r="K62" s="23">
        <v>4</v>
      </c>
      <c r="L62" s="23" t="s">
        <v>24</v>
      </c>
      <c r="M62" s="25">
        <f t="shared" si="0"/>
        <v>336000</v>
      </c>
      <c r="N62" s="25">
        <f>'Working Sheet'!$J62*'Working Sheet'!$K62</f>
        <v>1680000</v>
      </c>
      <c r="O62" s="26">
        <f>'Working Sheet'!$M62*'Working Sheet'!$K62</f>
        <v>1344000</v>
      </c>
      <c r="P62" s="25">
        <f>'Working Sheet'!$N62-'Working Sheet'!$O62</f>
        <v>336000</v>
      </c>
    </row>
    <row r="63" spans="1:16" ht="14.25" customHeight="1" x14ac:dyDescent="0.25">
      <c r="A63" s="18" t="str">
        <f t="shared" ca="1" si="1"/>
        <v>ID_1750</v>
      </c>
      <c r="B63" s="17">
        <v>45723</v>
      </c>
      <c r="C63" s="18" t="str">
        <f>TEXT('Working Sheet'!$B63,"mmm")</f>
        <v>Mar</v>
      </c>
      <c r="D63" s="18" t="s">
        <v>18</v>
      </c>
      <c r="E63" s="18" t="s">
        <v>19</v>
      </c>
      <c r="F63" s="18" t="s">
        <v>13</v>
      </c>
      <c r="G63" s="18" t="s">
        <v>20</v>
      </c>
      <c r="H63" s="18" t="s">
        <v>15</v>
      </c>
      <c r="I63" s="18" t="s">
        <v>16</v>
      </c>
      <c r="J63" s="19">
        <v>85000</v>
      </c>
      <c r="K63" s="18">
        <v>2</v>
      </c>
      <c r="L63" s="18" t="s">
        <v>35</v>
      </c>
      <c r="M63" s="20">
        <f t="shared" si="0"/>
        <v>68000</v>
      </c>
      <c r="N63" s="20">
        <f>'Working Sheet'!$J63*'Working Sheet'!$K63</f>
        <v>170000</v>
      </c>
      <c r="O63" s="21">
        <f>'Working Sheet'!$M63*'Working Sheet'!$K63</f>
        <v>136000</v>
      </c>
      <c r="P63" s="20">
        <f>'Working Sheet'!$N63-'Working Sheet'!$O63</f>
        <v>34000</v>
      </c>
    </row>
    <row r="64" spans="1:16" ht="14.25" customHeight="1" x14ac:dyDescent="0.25">
      <c r="A64" s="23" t="str">
        <f t="shared" ca="1" si="1"/>
        <v>ID_1905</v>
      </c>
      <c r="B64" s="22">
        <v>45744</v>
      </c>
      <c r="C64" s="23" t="str">
        <f>TEXT('Working Sheet'!$B64,"mmm")</f>
        <v>Mar</v>
      </c>
      <c r="D64" s="23" t="s">
        <v>18</v>
      </c>
      <c r="E64" s="23" t="s">
        <v>19</v>
      </c>
      <c r="F64" s="23" t="s">
        <v>13</v>
      </c>
      <c r="G64" s="23" t="s">
        <v>14</v>
      </c>
      <c r="H64" s="23" t="s">
        <v>41</v>
      </c>
      <c r="I64" s="23" t="s">
        <v>22</v>
      </c>
      <c r="J64" s="24">
        <v>220000</v>
      </c>
      <c r="K64" s="23">
        <v>1</v>
      </c>
      <c r="L64" s="23" t="s">
        <v>28</v>
      </c>
      <c r="M64" s="25">
        <f t="shared" si="0"/>
        <v>176000</v>
      </c>
      <c r="N64" s="25">
        <f>'Working Sheet'!$J64*'Working Sheet'!$K64</f>
        <v>220000</v>
      </c>
      <c r="O64" s="26">
        <f>'Working Sheet'!$M64*'Working Sheet'!$K64</f>
        <v>176000</v>
      </c>
      <c r="P64" s="25">
        <f>'Working Sheet'!$N64-'Working Sheet'!$O64</f>
        <v>44000</v>
      </c>
    </row>
    <row r="65" spans="1:16" ht="14.25" customHeight="1" x14ac:dyDescent="0.25">
      <c r="A65" s="18" t="str">
        <f t="shared" ca="1" si="1"/>
        <v>ID_1976</v>
      </c>
      <c r="B65" s="17">
        <v>45671</v>
      </c>
      <c r="C65" s="18" t="str">
        <f>TEXT('Working Sheet'!$B65,"mmm")</f>
        <v>Jan</v>
      </c>
      <c r="D65" s="18" t="s">
        <v>11</v>
      </c>
      <c r="E65" s="18" t="s">
        <v>12</v>
      </c>
      <c r="F65" s="18" t="s">
        <v>13</v>
      </c>
      <c r="G65" s="18" t="s">
        <v>20</v>
      </c>
      <c r="H65" s="18" t="s">
        <v>33</v>
      </c>
      <c r="I65" s="18" t="s">
        <v>22</v>
      </c>
      <c r="J65" s="19">
        <v>180000</v>
      </c>
      <c r="K65" s="18">
        <v>9</v>
      </c>
      <c r="L65" s="18" t="s">
        <v>39</v>
      </c>
      <c r="M65" s="20">
        <f t="shared" si="0"/>
        <v>144000</v>
      </c>
      <c r="N65" s="20">
        <f>'Working Sheet'!$J65*'Working Sheet'!$K65</f>
        <v>1620000</v>
      </c>
      <c r="O65" s="21">
        <f>'Working Sheet'!$M65*'Working Sheet'!$K65</f>
        <v>1296000</v>
      </c>
      <c r="P65" s="20">
        <f>'Working Sheet'!$N65-'Working Sheet'!$O65</f>
        <v>324000</v>
      </c>
    </row>
    <row r="66" spans="1:16" ht="14.25" customHeight="1" x14ac:dyDescent="0.25">
      <c r="A66" s="23" t="str">
        <f t="shared" ref="A66:A129" ca="1" si="2">"ID_"&amp; RANDBETWEEN(1,2098)</f>
        <v>ID_444</v>
      </c>
      <c r="B66" s="22">
        <v>45762</v>
      </c>
      <c r="C66" s="23" t="str">
        <f>TEXT('Working Sheet'!$B66,"mmm")</f>
        <v>Apr</v>
      </c>
      <c r="D66" s="23" t="s">
        <v>11</v>
      </c>
      <c r="E66" s="23" t="s">
        <v>26</v>
      </c>
      <c r="F66" s="23" t="s">
        <v>13</v>
      </c>
      <c r="G66" s="23" t="s">
        <v>20</v>
      </c>
      <c r="H66" s="23" t="s">
        <v>40</v>
      </c>
      <c r="I66" s="23" t="s">
        <v>31</v>
      </c>
      <c r="J66" s="24">
        <v>250000</v>
      </c>
      <c r="K66" s="23">
        <v>6</v>
      </c>
      <c r="L66" s="23" t="s">
        <v>17</v>
      </c>
      <c r="M66" s="25">
        <f t="shared" ref="M66:M129" si="3">J66-J66*0.2</f>
        <v>200000</v>
      </c>
      <c r="N66" s="25">
        <f>'Working Sheet'!$J66*'Working Sheet'!$K66</f>
        <v>1500000</v>
      </c>
      <c r="O66" s="26">
        <f>'Working Sheet'!$M66*'Working Sheet'!$K66</f>
        <v>1200000</v>
      </c>
      <c r="P66" s="25">
        <f>'Working Sheet'!$N66-'Working Sheet'!$O66</f>
        <v>300000</v>
      </c>
    </row>
    <row r="67" spans="1:16" ht="14.25" customHeight="1" x14ac:dyDescent="0.25">
      <c r="A67" s="18" t="str">
        <f t="shared" ca="1" si="2"/>
        <v>ID_862</v>
      </c>
      <c r="B67" s="17">
        <v>45763</v>
      </c>
      <c r="C67" s="18" t="str">
        <f>TEXT('Working Sheet'!$B67,"mmm")</f>
        <v>Apr</v>
      </c>
      <c r="D67" s="18" t="s">
        <v>11</v>
      </c>
      <c r="E67" s="18" t="s">
        <v>12</v>
      </c>
      <c r="F67" s="18" t="s">
        <v>13</v>
      </c>
      <c r="G67" s="18" t="s">
        <v>20</v>
      </c>
      <c r="H67" s="18" t="s">
        <v>33</v>
      </c>
      <c r="I67" s="18" t="s">
        <v>22</v>
      </c>
      <c r="J67" s="19">
        <v>180000</v>
      </c>
      <c r="K67" s="18">
        <v>3</v>
      </c>
      <c r="L67" s="18" t="s">
        <v>39</v>
      </c>
      <c r="M67" s="20">
        <f t="shared" si="3"/>
        <v>144000</v>
      </c>
      <c r="N67" s="20">
        <f>'Working Sheet'!$J67*'Working Sheet'!$K67</f>
        <v>540000</v>
      </c>
      <c r="O67" s="21">
        <f>'Working Sheet'!$M67*'Working Sheet'!$K67</f>
        <v>432000</v>
      </c>
      <c r="P67" s="20">
        <f>'Working Sheet'!$N67-'Working Sheet'!$O67</f>
        <v>108000</v>
      </c>
    </row>
    <row r="68" spans="1:16" ht="14.25" customHeight="1" x14ac:dyDescent="0.25">
      <c r="A68" s="23" t="str">
        <f t="shared" ca="1" si="2"/>
        <v>ID_1875</v>
      </c>
      <c r="B68" s="22">
        <v>45693</v>
      </c>
      <c r="C68" s="23" t="str">
        <f>TEXT('Working Sheet'!$B68,"mmm")</f>
        <v>Feb</v>
      </c>
      <c r="D68" s="23" t="s">
        <v>25</v>
      </c>
      <c r="E68" s="23" t="s">
        <v>12</v>
      </c>
      <c r="F68" s="23" t="s">
        <v>23</v>
      </c>
      <c r="G68" s="23" t="s">
        <v>14</v>
      </c>
      <c r="H68" s="23" t="s">
        <v>27</v>
      </c>
      <c r="I68" s="23" t="s">
        <v>22</v>
      </c>
      <c r="J68" s="24">
        <v>60000</v>
      </c>
      <c r="K68" s="23">
        <v>8</v>
      </c>
      <c r="L68" s="23" t="s">
        <v>35</v>
      </c>
      <c r="M68" s="25">
        <f t="shared" si="3"/>
        <v>48000</v>
      </c>
      <c r="N68" s="25">
        <f>'Working Sheet'!$J68*'Working Sheet'!$K68</f>
        <v>480000</v>
      </c>
      <c r="O68" s="26">
        <f>'Working Sheet'!$M68*'Working Sheet'!$K68</f>
        <v>384000</v>
      </c>
      <c r="P68" s="25">
        <f>'Working Sheet'!$N68-'Working Sheet'!$O68</f>
        <v>96000</v>
      </c>
    </row>
    <row r="69" spans="1:16" ht="14.25" customHeight="1" x14ac:dyDescent="0.25">
      <c r="A69" s="18" t="str">
        <f t="shared" ca="1" si="2"/>
        <v>ID_1770</v>
      </c>
      <c r="B69" s="17">
        <v>45757</v>
      </c>
      <c r="C69" s="18" t="str">
        <f>TEXT('Working Sheet'!$B69,"mmm")</f>
        <v>Apr</v>
      </c>
      <c r="D69" s="18" t="s">
        <v>29</v>
      </c>
      <c r="E69" s="18" t="s">
        <v>12</v>
      </c>
      <c r="F69" s="18" t="s">
        <v>13</v>
      </c>
      <c r="G69" s="18" t="s">
        <v>14</v>
      </c>
      <c r="H69" s="18" t="s">
        <v>27</v>
      </c>
      <c r="I69" s="18" t="s">
        <v>22</v>
      </c>
      <c r="J69" s="19">
        <v>60000</v>
      </c>
      <c r="K69" s="18">
        <v>3</v>
      </c>
      <c r="L69" s="18" t="s">
        <v>17</v>
      </c>
      <c r="M69" s="20">
        <f t="shared" si="3"/>
        <v>48000</v>
      </c>
      <c r="N69" s="20">
        <f>'Working Sheet'!$J69*'Working Sheet'!$K69</f>
        <v>180000</v>
      </c>
      <c r="O69" s="21">
        <f>'Working Sheet'!$M69*'Working Sheet'!$K69</f>
        <v>144000</v>
      </c>
      <c r="P69" s="20">
        <f>'Working Sheet'!$N69-'Working Sheet'!$O69</f>
        <v>36000</v>
      </c>
    </row>
    <row r="70" spans="1:16" ht="14.25" customHeight="1" x14ac:dyDescent="0.25">
      <c r="A70" s="23" t="str">
        <f t="shared" ca="1" si="2"/>
        <v>ID_34</v>
      </c>
      <c r="B70" s="22">
        <v>45747</v>
      </c>
      <c r="C70" s="23" t="str">
        <f>TEXT('Working Sheet'!$B70,"mmm")</f>
        <v>Mar</v>
      </c>
      <c r="D70" s="23" t="s">
        <v>11</v>
      </c>
      <c r="E70" s="23" t="s">
        <v>26</v>
      </c>
      <c r="F70" s="23" t="s">
        <v>23</v>
      </c>
      <c r="G70" s="23" t="s">
        <v>14</v>
      </c>
      <c r="H70" s="23" t="s">
        <v>21</v>
      </c>
      <c r="I70" s="23" t="s">
        <v>22</v>
      </c>
      <c r="J70" s="24">
        <v>30000</v>
      </c>
      <c r="K70" s="23">
        <v>8</v>
      </c>
      <c r="L70" s="23" t="s">
        <v>28</v>
      </c>
      <c r="M70" s="25">
        <f t="shared" si="3"/>
        <v>24000</v>
      </c>
      <c r="N70" s="25">
        <f>'Working Sheet'!$J70*'Working Sheet'!$K70</f>
        <v>240000</v>
      </c>
      <c r="O70" s="26">
        <f>'Working Sheet'!$M70*'Working Sheet'!$K70</f>
        <v>192000</v>
      </c>
      <c r="P70" s="25">
        <f>'Working Sheet'!$N70-'Working Sheet'!$O70</f>
        <v>48000</v>
      </c>
    </row>
    <row r="71" spans="1:16" ht="14.25" customHeight="1" x14ac:dyDescent="0.25">
      <c r="A71" s="18" t="str">
        <f t="shared" ca="1" si="2"/>
        <v>ID_1111</v>
      </c>
      <c r="B71" s="17">
        <v>45666</v>
      </c>
      <c r="C71" s="18" t="str">
        <f>TEXT('Working Sheet'!$B71,"mmm")</f>
        <v>Jan</v>
      </c>
      <c r="D71" s="18" t="s">
        <v>25</v>
      </c>
      <c r="E71" s="18" t="s">
        <v>19</v>
      </c>
      <c r="F71" s="18" t="s">
        <v>13</v>
      </c>
      <c r="G71" s="18" t="s">
        <v>20</v>
      </c>
      <c r="H71" s="18" t="s">
        <v>27</v>
      </c>
      <c r="I71" s="18" t="s">
        <v>22</v>
      </c>
      <c r="J71" s="19">
        <v>60000</v>
      </c>
      <c r="K71" s="18">
        <v>4</v>
      </c>
      <c r="L71" s="18" t="s">
        <v>39</v>
      </c>
      <c r="M71" s="20">
        <f t="shared" si="3"/>
        <v>48000</v>
      </c>
      <c r="N71" s="20">
        <f>'Working Sheet'!$J71*'Working Sheet'!$K71</f>
        <v>240000</v>
      </c>
      <c r="O71" s="21">
        <f>'Working Sheet'!$M71*'Working Sheet'!$K71</f>
        <v>192000</v>
      </c>
      <c r="P71" s="20">
        <f>'Working Sheet'!$N71-'Working Sheet'!$O71</f>
        <v>48000</v>
      </c>
    </row>
    <row r="72" spans="1:16" ht="14.25" customHeight="1" x14ac:dyDescent="0.25">
      <c r="A72" s="23" t="str">
        <f t="shared" ca="1" si="2"/>
        <v>ID_595</v>
      </c>
      <c r="B72" s="22">
        <v>45707</v>
      </c>
      <c r="C72" s="23" t="str">
        <f>TEXT('Working Sheet'!$B72,"mmm")</f>
        <v>Feb</v>
      </c>
      <c r="D72" s="23" t="s">
        <v>25</v>
      </c>
      <c r="E72" s="23" t="s">
        <v>12</v>
      </c>
      <c r="F72" s="23" t="s">
        <v>23</v>
      </c>
      <c r="G72" s="23" t="s">
        <v>20</v>
      </c>
      <c r="H72" s="23" t="s">
        <v>21</v>
      </c>
      <c r="I72" s="23" t="s">
        <v>22</v>
      </c>
      <c r="J72" s="24">
        <v>30000</v>
      </c>
      <c r="K72" s="23">
        <v>3</v>
      </c>
      <c r="L72" s="23" t="s">
        <v>24</v>
      </c>
      <c r="M72" s="25">
        <f t="shared" si="3"/>
        <v>24000</v>
      </c>
      <c r="N72" s="25">
        <f>'Working Sheet'!$J72*'Working Sheet'!$K72</f>
        <v>90000</v>
      </c>
      <c r="O72" s="26">
        <f>'Working Sheet'!$M72*'Working Sheet'!$K72</f>
        <v>72000</v>
      </c>
      <c r="P72" s="25">
        <f>'Working Sheet'!$N72-'Working Sheet'!$O72</f>
        <v>18000</v>
      </c>
    </row>
    <row r="73" spans="1:16" ht="14.25" customHeight="1" x14ac:dyDescent="0.25">
      <c r="A73" s="18" t="str">
        <f t="shared" ca="1" si="2"/>
        <v>ID_230</v>
      </c>
      <c r="B73" s="17">
        <v>45705</v>
      </c>
      <c r="C73" s="18" t="str">
        <f>TEXT('Working Sheet'!$B73,"mmm")</f>
        <v>Feb</v>
      </c>
      <c r="D73" s="18" t="s">
        <v>18</v>
      </c>
      <c r="E73" s="18" t="s">
        <v>26</v>
      </c>
      <c r="F73" s="18" t="s">
        <v>13</v>
      </c>
      <c r="G73" s="18" t="s">
        <v>14</v>
      </c>
      <c r="H73" s="18" t="s">
        <v>33</v>
      </c>
      <c r="I73" s="18" t="s">
        <v>22</v>
      </c>
      <c r="J73" s="19">
        <v>180000</v>
      </c>
      <c r="K73" s="18">
        <v>5</v>
      </c>
      <c r="L73" s="18" t="s">
        <v>28</v>
      </c>
      <c r="M73" s="20">
        <f t="shared" si="3"/>
        <v>144000</v>
      </c>
      <c r="N73" s="20">
        <f>'Working Sheet'!$J73*'Working Sheet'!$K73</f>
        <v>900000</v>
      </c>
      <c r="O73" s="21">
        <f>'Working Sheet'!$M73*'Working Sheet'!$K73</f>
        <v>720000</v>
      </c>
      <c r="P73" s="20">
        <f>'Working Sheet'!$N73-'Working Sheet'!$O73</f>
        <v>180000</v>
      </c>
    </row>
    <row r="74" spans="1:16" ht="14.25" customHeight="1" x14ac:dyDescent="0.25">
      <c r="A74" s="23" t="str">
        <f t="shared" ca="1" si="2"/>
        <v>ID_708</v>
      </c>
      <c r="B74" s="22">
        <v>45768</v>
      </c>
      <c r="C74" s="23" t="str">
        <f>TEXT('Working Sheet'!$B74,"mmm")</f>
        <v>Apr</v>
      </c>
      <c r="D74" s="23" t="s">
        <v>29</v>
      </c>
      <c r="E74" s="23" t="s">
        <v>12</v>
      </c>
      <c r="F74" s="23" t="s">
        <v>13</v>
      </c>
      <c r="G74" s="23" t="s">
        <v>20</v>
      </c>
      <c r="H74" s="23" t="s">
        <v>41</v>
      </c>
      <c r="I74" s="23" t="s">
        <v>22</v>
      </c>
      <c r="J74" s="24">
        <v>220000</v>
      </c>
      <c r="K74" s="23">
        <v>3</v>
      </c>
      <c r="L74" s="23" t="s">
        <v>39</v>
      </c>
      <c r="M74" s="25">
        <f t="shared" si="3"/>
        <v>176000</v>
      </c>
      <c r="N74" s="25">
        <f>'Working Sheet'!$J74*'Working Sheet'!$K74</f>
        <v>660000</v>
      </c>
      <c r="O74" s="26">
        <f>'Working Sheet'!$M74*'Working Sheet'!$K74</f>
        <v>528000</v>
      </c>
      <c r="P74" s="25">
        <f>'Working Sheet'!$N74-'Working Sheet'!$O74</f>
        <v>132000</v>
      </c>
    </row>
    <row r="75" spans="1:16" ht="14.25" customHeight="1" x14ac:dyDescent="0.25">
      <c r="A75" s="18" t="str">
        <f t="shared" ca="1" si="2"/>
        <v>ID_2083</v>
      </c>
      <c r="B75" s="17">
        <v>45768</v>
      </c>
      <c r="C75" s="18" t="str">
        <f>TEXT('Working Sheet'!$B75,"mmm")</f>
        <v>Apr</v>
      </c>
      <c r="D75" s="18" t="s">
        <v>11</v>
      </c>
      <c r="E75" s="18" t="s">
        <v>19</v>
      </c>
      <c r="F75" s="18" t="s">
        <v>13</v>
      </c>
      <c r="G75" s="18" t="s">
        <v>14</v>
      </c>
      <c r="H75" s="18" t="s">
        <v>27</v>
      </c>
      <c r="I75" s="18" t="s">
        <v>22</v>
      </c>
      <c r="J75" s="19">
        <v>60000</v>
      </c>
      <c r="K75" s="18">
        <v>4</v>
      </c>
      <c r="L75" s="18" t="s">
        <v>37</v>
      </c>
      <c r="M75" s="20">
        <f t="shared" si="3"/>
        <v>48000</v>
      </c>
      <c r="N75" s="20">
        <f>'Working Sheet'!$J75*'Working Sheet'!$K75</f>
        <v>240000</v>
      </c>
      <c r="O75" s="21">
        <f>'Working Sheet'!$M75*'Working Sheet'!$K75</f>
        <v>192000</v>
      </c>
      <c r="P75" s="20">
        <f>'Working Sheet'!$N75-'Working Sheet'!$O75</f>
        <v>48000</v>
      </c>
    </row>
    <row r="76" spans="1:16" ht="14.25" customHeight="1" x14ac:dyDescent="0.25">
      <c r="A76" s="23" t="str">
        <f t="shared" ca="1" si="2"/>
        <v>ID_738</v>
      </c>
      <c r="B76" s="22">
        <v>45760</v>
      </c>
      <c r="C76" s="23" t="str">
        <f>TEXT('Working Sheet'!$B76,"mmm")</f>
        <v>Apr</v>
      </c>
      <c r="D76" s="23" t="s">
        <v>29</v>
      </c>
      <c r="E76" s="23" t="s">
        <v>12</v>
      </c>
      <c r="F76" s="23" t="s">
        <v>23</v>
      </c>
      <c r="G76" s="23" t="s">
        <v>14</v>
      </c>
      <c r="H76" s="23" t="s">
        <v>15</v>
      </c>
      <c r="I76" s="23" t="s">
        <v>16</v>
      </c>
      <c r="J76" s="24">
        <v>85000</v>
      </c>
      <c r="K76" s="23">
        <v>1</v>
      </c>
      <c r="L76" s="23" t="s">
        <v>37</v>
      </c>
      <c r="M76" s="25">
        <f t="shared" si="3"/>
        <v>68000</v>
      </c>
      <c r="N76" s="25">
        <f>'Working Sheet'!$J76*'Working Sheet'!$K76</f>
        <v>85000</v>
      </c>
      <c r="O76" s="26">
        <f>'Working Sheet'!$M76*'Working Sheet'!$K76</f>
        <v>68000</v>
      </c>
      <c r="P76" s="25">
        <f>'Working Sheet'!$N76-'Working Sheet'!$O76</f>
        <v>17000</v>
      </c>
    </row>
    <row r="77" spans="1:16" ht="14.25" customHeight="1" x14ac:dyDescent="0.25">
      <c r="A77" s="18" t="str">
        <f t="shared" ca="1" si="2"/>
        <v>ID_1075</v>
      </c>
      <c r="B77" s="17">
        <v>45707</v>
      </c>
      <c r="C77" s="18" t="str">
        <f>TEXT('Working Sheet'!$B77,"mmm")</f>
        <v>Feb</v>
      </c>
      <c r="D77" s="18" t="s">
        <v>18</v>
      </c>
      <c r="E77" s="18" t="s">
        <v>12</v>
      </c>
      <c r="F77" s="18" t="s">
        <v>13</v>
      </c>
      <c r="G77" s="18" t="s">
        <v>14</v>
      </c>
      <c r="H77" s="18" t="s">
        <v>21</v>
      </c>
      <c r="I77" s="18" t="s">
        <v>22</v>
      </c>
      <c r="J77" s="19">
        <v>30000</v>
      </c>
      <c r="K77" s="18">
        <v>5</v>
      </c>
      <c r="L77" s="18" t="s">
        <v>24</v>
      </c>
      <c r="M77" s="20">
        <f t="shared" si="3"/>
        <v>24000</v>
      </c>
      <c r="N77" s="20">
        <f>'Working Sheet'!$J77*'Working Sheet'!$K77</f>
        <v>150000</v>
      </c>
      <c r="O77" s="21">
        <f>'Working Sheet'!$M77*'Working Sheet'!$K77</f>
        <v>120000</v>
      </c>
      <c r="P77" s="20">
        <f>'Working Sheet'!$N77-'Working Sheet'!$O77</f>
        <v>30000</v>
      </c>
    </row>
    <row r="78" spans="1:16" ht="14.25" customHeight="1" x14ac:dyDescent="0.25">
      <c r="A78" s="23" t="str">
        <f t="shared" ca="1" si="2"/>
        <v>ID_904</v>
      </c>
      <c r="B78" s="22">
        <v>45706</v>
      </c>
      <c r="C78" s="23" t="str">
        <f>TEXT('Working Sheet'!$B78,"mmm")</f>
        <v>Feb</v>
      </c>
      <c r="D78" s="23" t="s">
        <v>18</v>
      </c>
      <c r="E78" s="23" t="s">
        <v>32</v>
      </c>
      <c r="F78" s="23" t="s">
        <v>13</v>
      </c>
      <c r="G78" s="23" t="s">
        <v>20</v>
      </c>
      <c r="H78" s="23" t="s">
        <v>27</v>
      </c>
      <c r="I78" s="23" t="s">
        <v>22</v>
      </c>
      <c r="J78" s="24">
        <v>60000</v>
      </c>
      <c r="K78" s="23">
        <v>3</v>
      </c>
      <c r="L78" s="23" t="s">
        <v>37</v>
      </c>
      <c r="M78" s="25">
        <f t="shared" si="3"/>
        <v>48000</v>
      </c>
      <c r="N78" s="25">
        <f>'Working Sheet'!$J78*'Working Sheet'!$K78</f>
        <v>180000</v>
      </c>
      <c r="O78" s="26">
        <f>'Working Sheet'!$M78*'Working Sheet'!$K78</f>
        <v>144000</v>
      </c>
      <c r="P78" s="25">
        <f>'Working Sheet'!$N78-'Working Sheet'!$O78</f>
        <v>36000</v>
      </c>
    </row>
    <row r="79" spans="1:16" ht="14.25" customHeight="1" x14ac:dyDescent="0.25">
      <c r="A79" s="18" t="str">
        <f t="shared" ca="1" si="2"/>
        <v>ID_679</v>
      </c>
      <c r="B79" s="17">
        <v>45691</v>
      </c>
      <c r="C79" s="18" t="str">
        <f>TEXT('Working Sheet'!$B79,"mmm")</f>
        <v>Feb</v>
      </c>
      <c r="D79" s="18" t="s">
        <v>11</v>
      </c>
      <c r="E79" s="18" t="s">
        <v>32</v>
      </c>
      <c r="F79" s="18" t="s">
        <v>13</v>
      </c>
      <c r="G79" s="18" t="s">
        <v>14</v>
      </c>
      <c r="H79" s="18" t="s">
        <v>27</v>
      </c>
      <c r="I79" s="18" t="s">
        <v>22</v>
      </c>
      <c r="J79" s="19">
        <v>60000</v>
      </c>
      <c r="K79" s="18">
        <v>6</v>
      </c>
      <c r="L79" s="18" t="s">
        <v>17</v>
      </c>
      <c r="M79" s="20">
        <f t="shared" si="3"/>
        <v>48000</v>
      </c>
      <c r="N79" s="20">
        <f>'Working Sheet'!$J79*'Working Sheet'!$K79</f>
        <v>360000</v>
      </c>
      <c r="O79" s="21">
        <f>'Working Sheet'!$M79*'Working Sheet'!$K79</f>
        <v>288000</v>
      </c>
      <c r="P79" s="20">
        <f>'Working Sheet'!$N79-'Working Sheet'!$O79</f>
        <v>72000</v>
      </c>
    </row>
    <row r="80" spans="1:16" ht="14.25" customHeight="1" x14ac:dyDescent="0.25">
      <c r="A80" s="23" t="str">
        <f t="shared" ca="1" si="2"/>
        <v>ID_1465</v>
      </c>
      <c r="B80" s="22">
        <v>45671</v>
      </c>
      <c r="C80" s="23" t="str">
        <f>TEXT('Working Sheet'!$B80,"mmm")</f>
        <v>Jan</v>
      </c>
      <c r="D80" s="23" t="s">
        <v>25</v>
      </c>
      <c r="E80" s="23" t="s">
        <v>26</v>
      </c>
      <c r="F80" s="23" t="s">
        <v>23</v>
      </c>
      <c r="G80" s="23" t="s">
        <v>14</v>
      </c>
      <c r="H80" s="23" t="s">
        <v>30</v>
      </c>
      <c r="I80" s="23" t="s">
        <v>31</v>
      </c>
      <c r="J80" s="24">
        <v>300000</v>
      </c>
      <c r="K80" s="23">
        <v>2</v>
      </c>
      <c r="L80" s="23" t="s">
        <v>17</v>
      </c>
      <c r="M80" s="25">
        <f t="shared" si="3"/>
        <v>240000</v>
      </c>
      <c r="N80" s="25">
        <f>'Working Sheet'!$J80*'Working Sheet'!$K80</f>
        <v>600000</v>
      </c>
      <c r="O80" s="26">
        <f>'Working Sheet'!$M80*'Working Sheet'!$K80</f>
        <v>480000</v>
      </c>
      <c r="P80" s="25">
        <f>'Working Sheet'!$N80-'Working Sheet'!$O80</f>
        <v>120000</v>
      </c>
    </row>
    <row r="81" spans="1:16" ht="14.25" customHeight="1" x14ac:dyDescent="0.25">
      <c r="A81" s="18" t="str">
        <f t="shared" ca="1" si="2"/>
        <v>ID_1143</v>
      </c>
      <c r="B81" s="17">
        <v>45680</v>
      </c>
      <c r="C81" s="18" t="str">
        <f>TEXT('Working Sheet'!$B81,"mmm")</f>
        <v>Jan</v>
      </c>
      <c r="D81" s="18" t="s">
        <v>11</v>
      </c>
      <c r="E81" s="18" t="s">
        <v>26</v>
      </c>
      <c r="F81" s="18" t="s">
        <v>13</v>
      </c>
      <c r="G81" s="18" t="s">
        <v>14</v>
      </c>
      <c r="H81" s="18" t="s">
        <v>36</v>
      </c>
      <c r="I81" s="18" t="s">
        <v>31</v>
      </c>
      <c r="J81" s="19">
        <v>150000</v>
      </c>
      <c r="K81" s="18">
        <v>7</v>
      </c>
      <c r="L81" s="18" t="s">
        <v>24</v>
      </c>
      <c r="M81" s="20">
        <f t="shared" si="3"/>
        <v>120000</v>
      </c>
      <c r="N81" s="20">
        <f>'Working Sheet'!$J81*'Working Sheet'!$K81</f>
        <v>1050000</v>
      </c>
      <c r="O81" s="21">
        <f>'Working Sheet'!$M81*'Working Sheet'!$K81</f>
        <v>840000</v>
      </c>
      <c r="P81" s="20">
        <f>'Working Sheet'!$N81-'Working Sheet'!$O81</f>
        <v>210000</v>
      </c>
    </row>
    <row r="82" spans="1:16" ht="14.25" customHeight="1" x14ac:dyDescent="0.25">
      <c r="A82" s="23" t="str">
        <f t="shared" ca="1" si="2"/>
        <v>ID_830</v>
      </c>
      <c r="B82" s="22">
        <v>45766</v>
      </c>
      <c r="C82" s="23" t="str">
        <f>TEXT('Working Sheet'!$B82,"mmm")</f>
        <v>Apr</v>
      </c>
      <c r="D82" s="23" t="s">
        <v>29</v>
      </c>
      <c r="E82" s="23" t="s">
        <v>26</v>
      </c>
      <c r="F82" s="23" t="s">
        <v>23</v>
      </c>
      <c r="G82" s="23" t="s">
        <v>20</v>
      </c>
      <c r="H82" s="23" t="s">
        <v>41</v>
      </c>
      <c r="I82" s="23" t="s">
        <v>22</v>
      </c>
      <c r="J82" s="24">
        <v>220000</v>
      </c>
      <c r="K82" s="23">
        <v>3</v>
      </c>
      <c r="L82" s="23" t="s">
        <v>28</v>
      </c>
      <c r="M82" s="25">
        <f t="shared" si="3"/>
        <v>176000</v>
      </c>
      <c r="N82" s="25">
        <f>'Working Sheet'!$J82*'Working Sheet'!$K82</f>
        <v>660000</v>
      </c>
      <c r="O82" s="26">
        <f>'Working Sheet'!$M82*'Working Sheet'!$K82</f>
        <v>528000</v>
      </c>
      <c r="P82" s="25">
        <f>'Working Sheet'!$N82-'Working Sheet'!$O82</f>
        <v>132000</v>
      </c>
    </row>
    <row r="83" spans="1:16" ht="14.25" customHeight="1" x14ac:dyDescent="0.25">
      <c r="A83" s="18" t="str">
        <f t="shared" ca="1" si="2"/>
        <v>ID_113</v>
      </c>
      <c r="B83" s="17">
        <v>45663</v>
      </c>
      <c r="C83" s="18" t="str">
        <f>TEXT('Working Sheet'!$B83,"mmm")</f>
        <v>Jan</v>
      </c>
      <c r="D83" s="18" t="s">
        <v>11</v>
      </c>
      <c r="E83" s="18" t="s">
        <v>26</v>
      </c>
      <c r="F83" s="18" t="s">
        <v>13</v>
      </c>
      <c r="G83" s="18" t="s">
        <v>20</v>
      </c>
      <c r="H83" s="18" t="s">
        <v>27</v>
      </c>
      <c r="I83" s="18" t="s">
        <v>22</v>
      </c>
      <c r="J83" s="19">
        <v>60000</v>
      </c>
      <c r="K83" s="18">
        <v>9</v>
      </c>
      <c r="L83" s="18" t="s">
        <v>35</v>
      </c>
      <c r="M83" s="20">
        <f t="shared" si="3"/>
        <v>48000</v>
      </c>
      <c r="N83" s="20">
        <f>'Working Sheet'!$J83*'Working Sheet'!$K83</f>
        <v>540000</v>
      </c>
      <c r="O83" s="21">
        <f>'Working Sheet'!$M83*'Working Sheet'!$K83</f>
        <v>432000</v>
      </c>
      <c r="P83" s="20">
        <f>'Working Sheet'!$N83-'Working Sheet'!$O83</f>
        <v>108000</v>
      </c>
    </row>
    <row r="84" spans="1:16" ht="14.25" customHeight="1" x14ac:dyDescent="0.25">
      <c r="A84" s="23" t="str">
        <f t="shared" ca="1" si="2"/>
        <v>ID_671</v>
      </c>
      <c r="B84" s="22">
        <v>45714</v>
      </c>
      <c r="C84" s="23" t="str">
        <f>TEXT('Working Sheet'!$B84,"mmm")</f>
        <v>Feb</v>
      </c>
      <c r="D84" s="23" t="s">
        <v>11</v>
      </c>
      <c r="E84" s="23" t="s">
        <v>19</v>
      </c>
      <c r="F84" s="23" t="s">
        <v>23</v>
      </c>
      <c r="G84" s="23" t="s">
        <v>20</v>
      </c>
      <c r="H84" s="23" t="s">
        <v>34</v>
      </c>
      <c r="I84" s="23" t="s">
        <v>16</v>
      </c>
      <c r="J84" s="24">
        <v>320000</v>
      </c>
      <c r="K84" s="23">
        <v>2</v>
      </c>
      <c r="L84" s="23" t="s">
        <v>28</v>
      </c>
      <c r="M84" s="25">
        <f t="shared" si="3"/>
        <v>256000</v>
      </c>
      <c r="N84" s="25">
        <f>'Working Sheet'!$J84*'Working Sheet'!$K84</f>
        <v>640000</v>
      </c>
      <c r="O84" s="26">
        <f>'Working Sheet'!$M84*'Working Sheet'!$K84</f>
        <v>512000</v>
      </c>
      <c r="P84" s="25">
        <f>'Working Sheet'!$N84-'Working Sheet'!$O84</f>
        <v>128000</v>
      </c>
    </row>
    <row r="85" spans="1:16" ht="14.25" customHeight="1" x14ac:dyDescent="0.25">
      <c r="A85" s="18" t="str">
        <f t="shared" ca="1" si="2"/>
        <v>ID_2041</v>
      </c>
      <c r="B85" s="17">
        <v>45697</v>
      </c>
      <c r="C85" s="18" t="str">
        <f>TEXT('Working Sheet'!$B85,"mmm")</f>
        <v>Feb</v>
      </c>
      <c r="D85" s="18" t="s">
        <v>11</v>
      </c>
      <c r="E85" s="18" t="s">
        <v>26</v>
      </c>
      <c r="F85" s="18" t="s">
        <v>23</v>
      </c>
      <c r="G85" s="18" t="s">
        <v>14</v>
      </c>
      <c r="H85" s="18" t="s">
        <v>41</v>
      </c>
      <c r="I85" s="18" t="s">
        <v>22</v>
      </c>
      <c r="J85" s="19">
        <v>220000</v>
      </c>
      <c r="K85" s="18">
        <v>5</v>
      </c>
      <c r="L85" s="18" t="s">
        <v>17</v>
      </c>
      <c r="M85" s="20">
        <f t="shared" si="3"/>
        <v>176000</v>
      </c>
      <c r="N85" s="20">
        <f>'Working Sheet'!$J85*'Working Sheet'!$K85</f>
        <v>1100000</v>
      </c>
      <c r="O85" s="21">
        <f>'Working Sheet'!$M85*'Working Sheet'!$K85</f>
        <v>880000</v>
      </c>
      <c r="P85" s="20">
        <f>'Working Sheet'!$N85-'Working Sheet'!$O85</f>
        <v>220000</v>
      </c>
    </row>
    <row r="86" spans="1:16" ht="14.25" customHeight="1" x14ac:dyDescent="0.25">
      <c r="A86" s="23" t="str">
        <f t="shared" ca="1" si="2"/>
        <v>ID_1777</v>
      </c>
      <c r="B86" s="22">
        <v>45680</v>
      </c>
      <c r="C86" s="23" t="str">
        <f>TEXT('Working Sheet'!$B86,"mmm")</f>
        <v>Jan</v>
      </c>
      <c r="D86" s="23" t="s">
        <v>11</v>
      </c>
      <c r="E86" s="23" t="s">
        <v>12</v>
      </c>
      <c r="F86" s="23" t="s">
        <v>23</v>
      </c>
      <c r="G86" s="23" t="s">
        <v>14</v>
      </c>
      <c r="H86" s="23" t="s">
        <v>36</v>
      </c>
      <c r="I86" s="23" t="s">
        <v>31</v>
      </c>
      <c r="J86" s="24">
        <v>150000</v>
      </c>
      <c r="K86" s="23">
        <v>1</v>
      </c>
      <c r="L86" s="23" t="s">
        <v>39</v>
      </c>
      <c r="M86" s="25">
        <f t="shared" si="3"/>
        <v>120000</v>
      </c>
      <c r="N86" s="25">
        <f>'Working Sheet'!$J86*'Working Sheet'!$K86</f>
        <v>150000</v>
      </c>
      <c r="O86" s="26">
        <f>'Working Sheet'!$M86*'Working Sheet'!$K86</f>
        <v>120000</v>
      </c>
      <c r="P86" s="25">
        <f>'Working Sheet'!$N86-'Working Sheet'!$O86</f>
        <v>30000</v>
      </c>
    </row>
    <row r="87" spans="1:16" ht="14.25" customHeight="1" x14ac:dyDescent="0.25">
      <c r="A87" s="18" t="str">
        <f t="shared" ca="1" si="2"/>
        <v>ID_248</v>
      </c>
      <c r="B87" s="17">
        <v>45701</v>
      </c>
      <c r="C87" s="18" t="str">
        <f>TEXT('Working Sheet'!$B87,"mmm")</f>
        <v>Feb</v>
      </c>
      <c r="D87" s="18" t="s">
        <v>25</v>
      </c>
      <c r="E87" s="18" t="s">
        <v>19</v>
      </c>
      <c r="F87" s="18" t="s">
        <v>13</v>
      </c>
      <c r="G87" s="18" t="s">
        <v>20</v>
      </c>
      <c r="H87" s="18" t="s">
        <v>30</v>
      </c>
      <c r="I87" s="18" t="s">
        <v>31</v>
      </c>
      <c r="J87" s="19">
        <v>300000</v>
      </c>
      <c r="K87" s="18">
        <v>8</v>
      </c>
      <c r="L87" s="18" t="s">
        <v>17</v>
      </c>
      <c r="M87" s="20">
        <f t="shared" si="3"/>
        <v>240000</v>
      </c>
      <c r="N87" s="20">
        <f>'Working Sheet'!$J87*'Working Sheet'!$K87</f>
        <v>2400000</v>
      </c>
      <c r="O87" s="21">
        <f>'Working Sheet'!$M87*'Working Sheet'!$K87</f>
        <v>1920000</v>
      </c>
      <c r="P87" s="20">
        <f>'Working Sheet'!$N87-'Working Sheet'!$O87</f>
        <v>480000</v>
      </c>
    </row>
    <row r="88" spans="1:16" ht="14.25" customHeight="1" x14ac:dyDescent="0.25">
      <c r="A88" s="23" t="str">
        <f t="shared" ca="1" si="2"/>
        <v>ID_1860</v>
      </c>
      <c r="B88" s="22">
        <v>45708</v>
      </c>
      <c r="C88" s="23" t="str">
        <f>TEXT('Working Sheet'!$B88,"mmm")</f>
        <v>Feb</v>
      </c>
      <c r="D88" s="23" t="s">
        <v>18</v>
      </c>
      <c r="E88" s="23" t="s">
        <v>32</v>
      </c>
      <c r="F88" s="23" t="s">
        <v>13</v>
      </c>
      <c r="G88" s="23" t="s">
        <v>14</v>
      </c>
      <c r="H88" s="23" t="s">
        <v>41</v>
      </c>
      <c r="I88" s="23" t="s">
        <v>22</v>
      </c>
      <c r="J88" s="24">
        <v>220000</v>
      </c>
      <c r="K88" s="23">
        <v>3</v>
      </c>
      <c r="L88" s="23" t="s">
        <v>37</v>
      </c>
      <c r="M88" s="25">
        <f t="shared" si="3"/>
        <v>176000</v>
      </c>
      <c r="N88" s="25">
        <f>'Working Sheet'!$J88*'Working Sheet'!$K88</f>
        <v>660000</v>
      </c>
      <c r="O88" s="26">
        <f>'Working Sheet'!$M88*'Working Sheet'!$K88</f>
        <v>528000</v>
      </c>
      <c r="P88" s="25">
        <f>'Working Sheet'!$N88-'Working Sheet'!$O88</f>
        <v>132000</v>
      </c>
    </row>
    <row r="89" spans="1:16" ht="14.25" customHeight="1" x14ac:dyDescent="0.25">
      <c r="A89" s="18" t="str">
        <f t="shared" ca="1" si="2"/>
        <v>ID_1087</v>
      </c>
      <c r="B89" s="17">
        <v>45672</v>
      </c>
      <c r="C89" s="18" t="str">
        <f>TEXT('Working Sheet'!$B89,"mmm")</f>
        <v>Jan</v>
      </c>
      <c r="D89" s="18" t="s">
        <v>11</v>
      </c>
      <c r="E89" s="18" t="s">
        <v>12</v>
      </c>
      <c r="F89" s="18" t="s">
        <v>13</v>
      </c>
      <c r="G89" s="18" t="s">
        <v>14</v>
      </c>
      <c r="H89" s="18" t="s">
        <v>40</v>
      </c>
      <c r="I89" s="18" t="s">
        <v>31</v>
      </c>
      <c r="J89" s="19">
        <v>250000</v>
      </c>
      <c r="K89" s="18">
        <v>8</v>
      </c>
      <c r="L89" s="18" t="s">
        <v>17</v>
      </c>
      <c r="M89" s="20">
        <f t="shared" si="3"/>
        <v>200000</v>
      </c>
      <c r="N89" s="20">
        <f>'Working Sheet'!$J89*'Working Sheet'!$K89</f>
        <v>2000000</v>
      </c>
      <c r="O89" s="21">
        <f>'Working Sheet'!$M89*'Working Sheet'!$K89</f>
        <v>1600000</v>
      </c>
      <c r="P89" s="20">
        <f>'Working Sheet'!$N89-'Working Sheet'!$O89</f>
        <v>400000</v>
      </c>
    </row>
    <row r="90" spans="1:16" ht="14.25" customHeight="1" x14ac:dyDescent="0.25">
      <c r="A90" s="23" t="str">
        <f t="shared" ca="1" si="2"/>
        <v>ID_990</v>
      </c>
      <c r="B90" s="22">
        <v>45766</v>
      </c>
      <c r="C90" s="23" t="str">
        <f>TEXT('Working Sheet'!$B90,"mmm")</f>
        <v>Apr</v>
      </c>
      <c r="D90" s="23" t="s">
        <v>25</v>
      </c>
      <c r="E90" s="23" t="s">
        <v>19</v>
      </c>
      <c r="F90" s="23" t="s">
        <v>23</v>
      </c>
      <c r="G90" s="23" t="s">
        <v>14</v>
      </c>
      <c r="H90" s="23" t="s">
        <v>30</v>
      </c>
      <c r="I90" s="23" t="s">
        <v>31</v>
      </c>
      <c r="J90" s="24">
        <v>300000</v>
      </c>
      <c r="K90" s="23">
        <v>4</v>
      </c>
      <c r="L90" s="23" t="s">
        <v>28</v>
      </c>
      <c r="M90" s="25">
        <f t="shared" si="3"/>
        <v>240000</v>
      </c>
      <c r="N90" s="25">
        <f>'Working Sheet'!$J90*'Working Sheet'!$K90</f>
        <v>1200000</v>
      </c>
      <c r="O90" s="26">
        <f>'Working Sheet'!$M90*'Working Sheet'!$K90</f>
        <v>960000</v>
      </c>
      <c r="P90" s="25">
        <f>'Working Sheet'!$N90-'Working Sheet'!$O90</f>
        <v>240000</v>
      </c>
    </row>
    <row r="91" spans="1:16" ht="14.25" customHeight="1" x14ac:dyDescent="0.25">
      <c r="A91" s="18" t="str">
        <f t="shared" ca="1" si="2"/>
        <v>ID_1924</v>
      </c>
      <c r="B91" s="17">
        <v>45778</v>
      </c>
      <c r="C91" s="18" t="str">
        <f>TEXT('Working Sheet'!$B91,"mmm")</f>
        <v>May</v>
      </c>
      <c r="D91" s="18" t="s">
        <v>25</v>
      </c>
      <c r="E91" s="18" t="s">
        <v>26</v>
      </c>
      <c r="F91" s="18" t="s">
        <v>23</v>
      </c>
      <c r="G91" s="18" t="s">
        <v>20</v>
      </c>
      <c r="H91" s="18" t="s">
        <v>30</v>
      </c>
      <c r="I91" s="18" t="s">
        <v>31</v>
      </c>
      <c r="J91" s="19">
        <v>300000</v>
      </c>
      <c r="K91" s="18">
        <v>1</v>
      </c>
      <c r="L91" s="18" t="s">
        <v>28</v>
      </c>
      <c r="M91" s="20">
        <f t="shared" si="3"/>
        <v>240000</v>
      </c>
      <c r="N91" s="20">
        <f>'Working Sheet'!$J91*'Working Sheet'!$K91</f>
        <v>300000</v>
      </c>
      <c r="O91" s="21">
        <f>'Working Sheet'!$M91*'Working Sheet'!$K91</f>
        <v>240000</v>
      </c>
      <c r="P91" s="20">
        <f>'Working Sheet'!$N91-'Working Sheet'!$O91</f>
        <v>60000</v>
      </c>
    </row>
    <row r="92" spans="1:16" ht="14.25" customHeight="1" x14ac:dyDescent="0.25">
      <c r="A92" s="23" t="str">
        <f t="shared" ca="1" si="2"/>
        <v>ID_1679</v>
      </c>
      <c r="B92" s="22">
        <v>45774</v>
      </c>
      <c r="C92" s="23" t="str">
        <f>TEXT('Working Sheet'!$B92,"mmm")</f>
        <v>Apr</v>
      </c>
      <c r="D92" s="23" t="s">
        <v>18</v>
      </c>
      <c r="E92" s="23" t="s">
        <v>32</v>
      </c>
      <c r="F92" s="23" t="s">
        <v>13</v>
      </c>
      <c r="G92" s="23" t="s">
        <v>14</v>
      </c>
      <c r="H92" s="23" t="s">
        <v>40</v>
      </c>
      <c r="I92" s="23" t="s">
        <v>31</v>
      </c>
      <c r="J92" s="24">
        <v>250000</v>
      </c>
      <c r="K92" s="23">
        <v>8</v>
      </c>
      <c r="L92" s="23" t="s">
        <v>28</v>
      </c>
      <c r="M92" s="25">
        <f t="shared" si="3"/>
        <v>200000</v>
      </c>
      <c r="N92" s="25">
        <f>'Working Sheet'!$J92*'Working Sheet'!$K92</f>
        <v>2000000</v>
      </c>
      <c r="O92" s="26">
        <f>'Working Sheet'!$M92*'Working Sheet'!$K92</f>
        <v>1600000</v>
      </c>
      <c r="P92" s="25">
        <f>'Working Sheet'!$N92-'Working Sheet'!$O92</f>
        <v>400000</v>
      </c>
    </row>
    <row r="93" spans="1:16" ht="14.25" customHeight="1" x14ac:dyDescent="0.25">
      <c r="A93" s="18" t="str">
        <f t="shared" ca="1" si="2"/>
        <v>ID_1561</v>
      </c>
      <c r="B93" s="17">
        <v>45720</v>
      </c>
      <c r="C93" s="18" t="str">
        <f>TEXT('Working Sheet'!$B93,"mmm")</f>
        <v>Mar</v>
      </c>
      <c r="D93" s="18" t="s">
        <v>11</v>
      </c>
      <c r="E93" s="18" t="s">
        <v>32</v>
      </c>
      <c r="F93" s="18" t="s">
        <v>23</v>
      </c>
      <c r="G93" s="18" t="s">
        <v>20</v>
      </c>
      <c r="H93" s="18" t="s">
        <v>33</v>
      </c>
      <c r="I93" s="18" t="s">
        <v>22</v>
      </c>
      <c r="J93" s="19">
        <v>180000</v>
      </c>
      <c r="K93" s="18">
        <v>2</v>
      </c>
      <c r="L93" s="18" t="s">
        <v>37</v>
      </c>
      <c r="M93" s="20">
        <f t="shared" si="3"/>
        <v>144000</v>
      </c>
      <c r="N93" s="20">
        <f>'Working Sheet'!$J93*'Working Sheet'!$K93</f>
        <v>360000</v>
      </c>
      <c r="O93" s="21">
        <f>'Working Sheet'!$M93*'Working Sheet'!$K93</f>
        <v>288000</v>
      </c>
      <c r="P93" s="20">
        <f>'Working Sheet'!$N93-'Working Sheet'!$O93</f>
        <v>72000</v>
      </c>
    </row>
    <row r="94" spans="1:16" ht="14.25" customHeight="1" x14ac:dyDescent="0.25">
      <c r="A94" s="23" t="str">
        <f t="shared" ca="1" si="2"/>
        <v>ID_389</v>
      </c>
      <c r="B94" s="22">
        <v>45691</v>
      </c>
      <c r="C94" s="23" t="str">
        <f>TEXT('Working Sheet'!$B94,"mmm")</f>
        <v>Feb</v>
      </c>
      <c r="D94" s="23" t="s">
        <v>11</v>
      </c>
      <c r="E94" s="23" t="s">
        <v>32</v>
      </c>
      <c r="F94" s="23" t="s">
        <v>13</v>
      </c>
      <c r="G94" s="23" t="s">
        <v>20</v>
      </c>
      <c r="H94" s="23" t="s">
        <v>33</v>
      </c>
      <c r="I94" s="23" t="s">
        <v>22</v>
      </c>
      <c r="J94" s="24">
        <v>180000</v>
      </c>
      <c r="K94" s="23">
        <v>6</v>
      </c>
      <c r="L94" s="23" t="s">
        <v>28</v>
      </c>
      <c r="M94" s="25">
        <f t="shared" si="3"/>
        <v>144000</v>
      </c>
      <c r="N94" s="25">
        <f>'Working Sheet'!$J94*'Working Sheet'!$K94</f>
        <v>1080000</v>
      </c>
      <c r="O94" s="26">
        <f>'Working Sheet'!$M94*'Working Sheet'!$K94</f>
        <v>864000</v>
      </c>
      <c r="P94" s="25">
        <f>'Working Sheet'!$N94-'Working Sheet'!$O94</f>
        <v>216000</v>
      </c>
    </row>
    <row r="95" spans="1:16" ht="14.25" customHeight="1" x14ac:dyDescent="0.25">
      <c r="A95" s="18" t="str">
        <f t="shared" ca="1" si="2"/>
        <v>ID_696</v>
      </c>
      <c r="B95" s="17">
        <v>45704</v>
      </c>
      <c r="C95" s="18" t="str">
        <f>TEXT('Working Sheet'!$B95,"mmm")</f>
        <v>Feb</v>
      </c>
      <c r="D95" s="18" t="s">
        <v>29</v>
      </c>
      <c r="E95" s="18" t="s">
        <v>19</v>
      </c>
      <c r="F95" s="18" t="s">
        <v>23</v>
      </c>
      <c r="G95" s="18" t="s">
        <v>14</v>
      </c>
      <c r="H95" s="18" t="s">
        <v>30</v>
      </c>
      <c r="I95" s="18" t="s">
        <v>31</v>
      </c>
      <c r="J95" s="19">
        <v>300000</v>
      </c>
      <c r="K95" s="18">
        <v>2</v>
      </c>
      <c r="L95" s="18" t="s">
        <v>28</v>
      </c>
      <c r="M95" s="20">
        <f t="shared" si="3"/>
        <v>240000</v>
      </c>
      <c r="N95" s="20">
        <f>'Working Sheet'!$J95*'Working Sheet'!$K95</f>
        <v>600000</v>
      </c>
      <c r="O95" s="21">
        <f>'Working Sheet'!$M95*'Working Sheet'!$K95</f>
        <v>480000</v>
      </c>
      <c r="P95" s="20">
        <f>'Working Sheet'!$N95-'Working Sheet'!$O95</f>
        <v>120000</v>
      </c>
    </row>
    <row r="96" spans="1:16" ht="14.25" customHeight="1" x14ac:dyDescent="0.25">
      <c r="A96" s="23" t="str">
        <f t="shared" ca="1" si="2"/>
        <v>ID_1876</v>
      </c>
      <c r="B96" s="22">
        <v>45776</v>
      </c>
      <c r="C96" s="23" t="str">
        <f>TEXT('Working Sheet'!$B96,"mmm")</f>
        <v>Apr</v>
      </c>
      <c r="D96" s="23" t="s">
        <v>18</v>
      </c>
      <c r="E96" s="23" t="s">
        <v>12</v>
      </c>
      <c r="F96" s="23" t="s">
        <v>23</v>
      </c>
      <c r="G96" s="23" t="s">
        <v>20</v>
      </c>
      <c r="H96" s="23" t="s">
        <v>36</v>
      </c>
      <c r="I96" s="23" t="s">
        <v>31</v>
      </c>
      <c r="J96" s="24">
        <v>150000</v>
      </c>
      <c r="K96" s="23">
        <v>6</v>
      </c>
      <c r="L96" s="23" t="s">
        <v>17</v>
      </c>
      <c r="M96" s="25">
        <f t="shared" si="3"/>
        <v>120000</v>
      </c>
      <c r="N96" s="25">
        <f>'Working Sheet'!$J96*'Working Sheet'!$K96</f>
        <v>900000</v>
      </c>
      <c r="O96" s="26">
        <f>'Working Sheet'!$M96*'Working Sheet'!$K96</f>
        <v>720000</v>
      </c>
      <c r="P96" s="25">
        <f>'Working Sheet'!$N96-'Working Sheet'!$O96</f>
        <v>180000</v>
      </c>
    </row>
    <row r="97" spans="1:16" ht="14.25" customHeight="1" x14ac:dyDescent="0.25">
      <c r="A97" s="18" t="str">
        <f t="shared" ca="1" si="2"/>
        <v>ID_154</v>
      </c>
      <c r="B97" s="17">
        <v>45722</v>
      </c>
      <c r="C97" s="18" t="str">
        <f>TEXT('Working Sheet'!$B97,"mmm")</f>
        <v>Mar</v>
      </c>
      <c r="D97" s="18" t="s">
        <v>25</v>
      </c>
      <c r="E97" s="18" t="s">
        <v>19</v>
      </c>
      <c r="F97" s="18" t="s">
        <v>23</v>
      </c>
      <c r="G97" s="18" t="s">
        <v>20</v>
      </c>
      <c r="H97" s="18" t="s">
        <v>38</v>
      </c>
      <c r="I97" s="18" t="s">
        <v>31</v>
      </c>
      <c r="J97" s="19">
        <v>420000</v>
      </c>
      <c r="K97" s="18">
        <v>10</v>
      </c>
      <c r="L97" s="18" t="s">
        <v>17</v>
      </c>
      <c r="M97" s="20">
        <f t="shared" si="3"/>
        <v>336000</v>
      </c>
      <c r="N97" s="20">
        <f>'Working Sheet'!$J97*'Working Sheet'!$K97</f>
        <v>4200000</v>
      </c>
      <c r="O97" s="21">
        <f>'Working Sheet'!$M97*'Working Sheet'!$K97</f>
        <v>3360000</v>
      </c>
      <c r="P97" s="20">
        <f>'Working Sheet'!$N97-'Working Sheet'!$O97</f>
        <v>840000</v>
      </c>
    </row>
    <row r="98" spans="1:16" ht="14.25" customHeight="1" x14ac:dyDescent="0.25">
      <c r="A98" s="23" t="str">
        <f t="shared" ca="1" si="2"/>
        <v>ID_801</v>
      </c>
      <c r="B98" s="22">
        <v>45777</v>
      </c>
      <c r="C98" s="23" t="str">
        <f>TEXT('Working Sheet'!$B98,"mmm")</f>
        <v>Apr</v>
      </c>
      <c r="D98" s="23" t="s">
        <v>18</v>
      </c>
      <c r="E98" s="23" t="s">
        <v>26</v>
      </c>
      <c r="F98" s="23" t="s">
        <v>13</v>
      </c>
      <c r="G98" s="23" t="s">
        <v>14</v>
      </c>
      <c r="H98" s="23" t="s">
        <v>38</v>
      </c>
      <c r="I98" s="23" t="s">
        <v>31</v>
      </c>
      <c r="J98" s="24">
        <v>420000</v>
      </c>
      <c r="K98" s="23">
        <v>8</v>
      </c>
      <c r="L98" s="23" t="s">
        <v>28</v>
      </c>
      <c r="M98" s="25">
        <f t="shared" si="3"/>
        <v>336000</v>
      </c>
      <c r="N98" s="25">
        <f>'Working Sheet'!$J98*'Working Sheet'!$K98</f>
        <v>3360000</v>
      </c>
      <c r="O98" s="26">
        <f>'Working Sheet'!$M98*'Working Sheet'!$K98</f>
        <v>2688000</v>
      </c>
      <c r="P98" s="25">
        <f>'Working Sheet'!$N98-'Working Sheet'!$O98</f>
        <v>672000</v>
      </c>
    </row>
    <row r="99" spans="1:16" ht="14.25" customHeight="1" x14ac:dyDescent="0.25">
      <c r="A99" s="18" t="str">
        <f t="shared" ca="1" si="2"/>
        <v>ID_1350</v>
      </c>
      <c r="B99" s="17">
        <v>45677</v>
      </c>
      <c r="C99" s="18" t="str">
        <f>TEXT('Working Sheet'!$B99,"mmm")</f>
        <v>Jan</v>
      </c>
      <c r="D99" s="18" t="s">
        <v>25</v>
      </c>
      <c r="E99" s="18" t="s">
        <v>19</v>
      </c>
      <c r="F99" s="18" t="s">
        <v>13</v>
      </c>
      <c r="G99" s="18" t="s">
        <v>20</v>
      </c>
      <c r="H99" s="18" t="s">
        <v>33</v>
      </c>
      <c r="I99" s="18" t="s">
        <v>22</v>
      </c>
      <c r="J99" s="19">
        <v>180000</v>
      </c>
      <c r="K99" s="18">
        <v>8</v>
      </c>
      <c r="L99" s="18" t="s">
        <v>17</v>
      </c>
      <c r="M99" s="20">
        <f t="shared" si="3"/>
        <v>144000</v>
      </c>
      <c r="N99" s="20">
        <f>'Working Sheet'!$J99*'Working Sheet'!$K99</f>
        <v>1440000</v>
      </c>
      <c r="O99" s="21">
        <f>'Working Sheet'!$M99*'Working Sheet'!$K99</f>
        <v>1152000</v>
      </c>
      <c r="P99" s="20">
        <f>'Working Sheet'!$N99-'Working Sheet'!$O99</f>
        <v>288000</v>
      </c>
    </row>
    <row r="100" spans="1:16" ht="14.25" customHeight="1" x14ac:dyDescent="0.25">
      <c r="A100" s="23" t="str">
        <f t="shared" ca="1" si="2"/>
        <v>ID_397</v>
      </c>
      <c r="B100" s="22">
        <v>45660</v>
      </c>
      <c r="C100" s="23" t="str">
        <f>TEXT('Working Sheet'!$B100,"mmm")</f>
        <v>Jan</v>
      </c>
      <c r="D100" s="23" t="s">
        <v>25</v>
      </c>
      <c r="E100" s="23" t="s">
        <v>26</v>
      </c>
      <c r="F100" s="23" t="s">
        <v>13</v>
      </c>
      <c r="G100" s="23" t="s">
        <v>20</v>
      </c>
      <c r="H100" s="23" t="s">
        <v>30</v>
      </c>
      <c r="I100" s="23" t="s">
        <v>31</v>
      </c>
      <c r="J100" s="24">
        <v>300000</v>
      </c>
      <c r="K100" s="23">
        <v>4</v>
      </c>
      <c r="L100" s="23" t="s">
        <v>37</v>
      </c>
      <c r="M100" s="25">
        <f t="shared" si="3"/>
        <v>240000</v>
      </c>
      <c r="N100" s="25">
        <f>'Working Sheet'!$J100*'Working Sheet'!$K100</f>
        <v>1200000</v>
      </c>
      <c r="O100" s="26">
        <f>'Working Sheet'!$M100*'Working Sheet'!$K100</f>
        <v>960000</v>
      </c>
      <c r="P100" s="25">
        <f>'Working Sheet'!$N100-'Working Sheet'!$O100</f>
        <v>240000</v>
      </c>
    </row>
    <row r="101" spans="1:16" ht="14.25" customHeight="1" x14ac:dyDescent="0.25">
      <c r="A101" s="18" t="str">
        <f t="shared" ca="1" si="2"/>
        <v>ID_1835</v>
      </c>
      <c r="B101" s="17">
        <v>45672</v>
      </c>
      <c r="C101" s="18" t="str">
        <f>TEXT('Working Sheet'!$B101,"mmm")</f>
        <v>Jan</v>
      </c>
      <c r="D101" s="18" t="s">
        <v>25</v>
      </c>
      <c r="E101" s="18" t="s">
        <v>26</v>
      </c>
      <c r="F101" s="18" t="s">
        <v>13</v>
      </c>
      <c r="G101" s="18" t="s">
        <v>20</v>
      </c>
      <c r="H101" s="18" t="s">
        <v>38</v>
      </c>
      <c r="I101" s="18" t="s">
        <v>31</v>
      </c>
      <c r="J101" s="19">
        <v>420000</v>
      </c>
      <c r="K101" s="18">
        <v>1</v>
      </c>
      <c r="L101" s="18" t="s">
        <v>35</v>
      </c>
      <c r="M101" s="20">
        <f t="shared" si="3"/>
        <v>336000</v>
      </c>
      <c r="N101" s="20">
        <f>'Working Sheet'!$J101*'Working Sheet'!$K101</f>
        <v>420000</v>
      </c>
      <c r="O101" s="21">
        <f>'Working Sheet'!$M101*'Working Sheet'!$K101</f>
        <v>336000</v>
      </c>
      <c r="P101" s="20">
        <f>'Working Sheet'!$N101-'Working Sheet'!$O101</f>
        <v>84000</v>
      </c>
    </row>
    <row r="102" spans="1:16" ht="14.25" customHeight="1" x14ac:dyDescent="0.25">
      <c r="A102" s="23" t="str">
        <f t="shared" ca="1" si="2"/>
        <v>ID_663</v>
      </c>
      <c r="B102" s="22">
        <v>45736</v>
      </c>
      <c r="C102" s="23" t="str">
        <f>TEXT('Working Sheet'!$B102,"mmm")</f>
        <v>Mar</v>
      </c>
      <c r="D102" s="23" t="s">
        <v>11</v>
      </c>
      <c r="E102" s="23" t="s">
        <v>26</v>
      </c>
      <c r="F102" s="23" t="s">
        <v>23</v>
      </c>
      <c r="G102" s="23" t="s">
        <v>14</v>
      </c>
      <c r="H102" s="23" t="s">
        <v>21</v>
      </c>
      <c r="I102" s="23" t="s">
        <v>22</v>
      </c>
      <c r="J102" s="24">
        <v>30000</v>
      </c>
      <c r="K102" s="23">
        <v>7</v>
      </c>
      <c r="L102" s="23" t="s">
        <v>28</v>
      </c>
      <c r="M102" s="25">
        <f t="shared" si="3"/>
        <v>24000</v>
      </c>
      <c r="N102" s="25">
        <f>'Working Sheet'!$J102*'Working Sheet'!$K102</f>
        <v>210000</v>
      </c>
      <c r="O102" s="26">
        <f>'Working Sheet'!$M102*'Working Sheet'!$K102</f>
        <v>168000</v>
      </c>
      <c r="P102" s="25">
        <f>'Working Sheet'!$N102-'Working Sheet'!$O102</f>
        <v>42000</v>
      </c>
    </row>
    <row r="103" spans="1:16" ht="14.25" customHeight="1" x14ac:dyDescent="0.25">
      <c r="A103" s="18" t="str">
        <f t="shared" ca="1" si="2"/>
        <v>ID_597</v>
      </c>
      <c r="B103" s="17">
        <v>45714</v>
      </c>
      <c r="C103" s="18" t="str">
        <f>TEXT('Working Sheet'!$B103,"mmm")</f>
        <v>Feb</v>
      </c>
      <c r="D103" s="18" t="s">
        <v>25</v>
      </c>
      <c r="E103" s="18" t="s">
        <v>12</v>
      </c>
      <c r="F103" s="18" t="s">
        <v>13</v>
      </c>
      <c r="G103" s="18" t="s">
        <v>14</v>
      </c>
      <c r="H103" s="18" t="s">
        <v>38</v>
      </c>
      <c r="I103" s="18" t="s">
        <v>31</v>
      </c>
      <c r="J103" s="19">
        <v>420000</v>
      </c>
      <c r="K103" s="18">
        <v>3</v>
      </c>
      <c r="L103" s="18" t="s">
        <v>28</v>
      </c>
      <c r="M103" s="20">
        <f t="shared" si="3"/>
        <v>336000</v>
      </c>
      <c r="N103" s="20">
        <f>'Working Sheet'!$J103*'Working Sheet'!$K103</f>
        <v>1260000</v>
      </c>
      <c r="O103" s="21">
        <f>'Working Sheet'!$M103*'Working Sheet'!$K103</f>
        <v>1008000</v>
      </c>
      <c r="P103" s="20">
        <f>'Working Sheet'!$N103-'Working Sheet'!$O103</f>
        <v>252000</v>
      </c>
    </row>
    <row r="104" spans="1:16" ht="14.25" customHeight="1" x14ac:dyDescent="0.25">
      <c r="A104" s="23" t="str">
        <f t="shared" ca="1" si="2"/>
        <v>ID_1074</v>
      </c>
      <c r="B104" s="22">
        <v>45775</v>
      </c>
      <c r="C104" s="23" t="str">
        <f>TEXT('Working Sheet'!$B104,"mmm")</f>
        <v>Apr</v>
      </c>
      <c r="D104" s="23" t="s">
        <v>25</v>
      </c>
      <c r="E104" s="23" t="s">
        <v>12</v>
      </c>
      <c r="F104" s="23" t="s">
        <v>13</v>
      </c>
      <c r="G104" s="23" t="s">
        <v>20</v>
      </c>
      <c r="H104" s="23" t="s">
        <v>27</v>
      </c>
      <c r="I104" s="23" t="s">
        <v>22</v>
      </c>
      <c r="J104" s="24">
        <v>60000</v>
      </c>
      <c r="K104" s="23">
        <v>5</v>
      </c>
      <c r="L104" s="23" t="s">
        <v>39</v>
      </c>
      <c r="M104" s="25">
        <f t="shared" si="3"/>
        <v>48000</v>
      </c>
      <c r="N104" s="25">
        <f>'Working Sheet'!$J104*'Working Sheet'!$K104</f>
        <v>300000</v>
      </c>
      <c r="O104" s="26">
        <f>'Working Sheet'!$M104*'Working Sheet'!$K104</f>
        <v>240000</v>
      </c>
      <c r="P104" s="25">
        <f>'Working Sheet'!$N104-'Working Sheet'!$O104</f>
        <v>60000</v>
      </c>
    </row>
    <row r="105" spans="1:16" ht="14.25" customHeight="1" x14ac:dyDescent="0.25">
      <c r="A105" s="18" t="str">
        <f t="shared" ca="1" si="2"/>
        <v>ID_1840</v>
      </c>
      <c r="B105" s="17">
        <v>45768</v>
      </c>
      <c r="C105" s="18" t="str">
        <f>TEXT('Working Sheet'!$B105,"mmm")</f>
        <v>Apr</v>
      </c>
      <c r="D105" s="18" t="s">
        <v>11</v>
      </c>
      <c r="E105" s="18" t="s">
        <v>32</v>
      </c>
      <c r="F105" s="18" t="s">
        <v>23</v>
      </c>
      <c r="G105" s="18" t="s">
        <v>14</v>
      </c>
      <c r="H105" s="18" t="s">
        <v>30</v>
      </c>
      <c r="I105" s="18" t="s">
        <v>31</v>
      </c>
      <c r="J105" s="19">
        <v>300000</v>
      </c>
      <c r="K105" s="18">
        <v>9</v>
      </c>
      <c r="L105" s="18" t="s">
        <v>39</v>
      </c>
      <c r="M105" s="20">
        <f t="shared" si="3"/>
        <v>240000</v>
      </c>
      <c r="N105" s="20">
        <f>'Working Sheet'!$J105*'Working Sheet'!$K105</f>
        <v>2700000</v>
      </c>
      <c r="O105" s="21">
        <f>'Working Sheet'!$M105*'Working Sheet'!$K105</f>
        <v>2160000</v>
      </c>
      <c r="P105" s="20">
        <f>'Working Sheet'!$N105-'Working Sheet'!$O105</f>
        <v>540000</v>
      </c>
    </row>
    <row r="106" spans="1:16" ht="14.25" customHeight="1" x14ac:dyDescent="0.25">
      <c r="A106" s="23" t="str">
        <f t="shared" ca="1" si="2"/>
        <v>ID_321</v>
      </c>
      <c r="B106" s="22">
        <v>45773</v>
      </c>
      <c r="C106" s="23" t="str">
        <f>TEXT('Working Sheet'!$B106,"mmm")</f>
        <v>Apr</v>
      </c>
      <c r="D106" s="23" t="s">
        <v>18</v>
      </c>
      <c r="E106" s="23" t="s">
        <v>26</v>
      </c>
      <c r="F106" s="23" t="s">
        <v>13</v>
      </c>
      <c r="G106" s="23" t="s">
        <v>20</v>
      </c>
      <c r="H106" s="23" t="s">
        <v>34</v>
      </c>
      <c r="I106" s="23" t="s">
        <v>16</v>
      </c>
      <c r="J106" s="24">
        <v>320000</v>
      </c>
      <c r="K106" s="23">
        <v>4</v>
      </c>
      <c r="L106" s="23" t="s">
        <v>35</v>
      </c>
      <c r="M106" s="25">
        <f t="shared" si="3"/>
        <v>256000</v>
      </c>
      <c r="N106" s="25">
        <f>'Working Sheet'!$J106*'Working Sheet'!$K106</f>
        <v>1280000</v>
      </c>
      <c r="O106" s="26">
        <f>'Working Sheet'!$M106*'Working Sheet'!$K106</f>
        <v>1024000</v>
      </c>
      <c r="P106" s="25">
        <f>'Working Sheet'!$N106-'Working Sheet'!$O106</f>
        <v>256000</v>
      </c>
    </row>
    <row r="107" spans="1:16" ht="14.25" customHeight="1" x14ac:dyDescent="0.25">
      <c r="A107" s="18" t="str">
        <f t="shared" ca="1" si="2"/>
        <v>ID_523</v>
      </c>
      <c r="B107" s="17">
        <v>45685</v>
      </c>
      <c r="C107" s="18" t="str">
        <f>TEXT('Working Sheet'!$B107,"mmm")</f>
        <v>Jan</v>
      </c>
      <c r="D107" s="18" t="s">
        <v>29</v>
      </c>
      <c r="E107" s="18" t="s">
        <v>19</v>
      </c>
      <c r="F107" s="18" t="s">
        <v>13</v>
      </c>
      <c r="G107" s="18" t="s">
        <v>20</v>
      </c>
      <c r="H107" s="18" t="s">
        <v>33</v>
      </c>
      <c r="I107" s="18" t="s">
        <v>22</v>
      </c>
      <c r="J107" s="19">
        <v>180000</v>
      </c>
      <c r="K107" s="18">
        <v>2</v>
      </c>
      <c r="L107" s="18" t="s">
        <v>39</v>
      </c>
      <c r="M107" s="20">
        <f t="shared" si="3"/>
        <v>144000</v>
      </c>
      <c r="N107" s="20">
        <f>'Working Sheet'!$J107*'Working Sheet'!$K107</f>
        <v>360000</v>
      </c>
      <c r="O107" s="21">
        <f>'Working Sheet'!$M107*'Working Sheet'!$K107</f>
        <v>288000</v>
      </c>
      <c r="P107" s="20">
        <f>'Working Sheet'!$N107-'Working Sheet'!$O107</f>
        <v>72000</v>
      </c>
    </row>
    <row r="108" spans="1:16" ht="14.25" customHeight="1" x14ac:dyDescent="0.25">
      <c r="A108" s="23" t="str">
        <f t="shared" ca="1" si="2"/>
        <v>ID_1561</v>
      </c>
      <c r="B108" s="22">
        <v>45712</v>
      </c>
      <c r="C108" s="23" t="str">
        <f>TEXT('Working Sheet'!$B108,"mmm")</f>
        <v>Feb</v>
      </c>
      <c r="D108" s="23" t="s">
        <v>18</v>
      </c>
      <c r="E108" s="23" t="s">
        <v>19</v>
      </c>
      <c r="F108" s="23" t="s">
        <v>13</v>
      </c>
      <c r="G108" s="23" t="s">
        <v>14</v>
      </c>
      <c r="H108" s="23" t="s">
        <v>15</v>
      </c>
      <c r="I108" s="23" t="s">
        <v>16</v>
      </c>
      <c r="J108" s="24">
        <v>85000</v>
      </c>
      <c r="K108" s="23">
        <v>1</v>
      </c>
      <c r="L108" s="23" t="s">
        <v>35</v>
      </c>
      <c r="M108" s="25">
        <f t="shared" si="3"/>
        <v>68000</v>
      </c>
      <c r="N108" s="25">
        <f>'Working Sheet'!$J108*'Working Sheet'!$K108</f>
        <v>85000</v>
      </c>
      <c r="O108" s="26">
        <f>'Working Sheet'!$M108*'Working Sheet'!$K108</f>
        <v>68000</v>
      </c>
      <c r="P108" s="25">
        <f>'Working Sheet'!$N108-'Working Sheet'!$O108</f>
        <v>17000</v>
      </c>
    </row>
    <row r="109" spans="1:16" ht="14.25" customHeight="1" x14ac:dyDescent="0.25">
      <c r="A109" s="18" t="str">
        <f t="shared" ca="1" si="2"/>
        <v>ID_130</v>
      </c>
      <c r="B109" s="17">
        <v>45699</v>
      </c>
      <c r="C109" s="18" t="str">
        <f>TEXT('Working Sheet'!$B109,"mmm")</f>
        <v>Feb</v>
      </c>
      <c r="D109" s="18" t="s">
        <v>29</v>
      </c>
      <c r="E109" s="18" t="s">
        <v>26</v>
      </c>
      <c r="F109" s="18" t="s">
        <v>23</v>
      </c>
      <c r="G109" s="18" t="s">
        <v>20</v>
      </c>
      <c r="H109" s="18" t="s">
        <v>34</v>
      </c>
      <c r="I109" s="18" t="s">
        <v>16</v>
      </c>
      <c r="J109" s="19">
        <v>320000</v>
      </c>
      <c r="K109" s="18">
        <v>7</v>
      </c>
      <c r="L109" s="18" t="s">
        <v>35</v>
      </c>
      <c r="M109" s="20">
        <f t="shared" si="3"/>
        <v>256000</v>
      </c>
      <c r="N109" s="20">
        <f>'Working Sheet'!$J109*'Working Sheet'!$K109</f>
        <v>2240000</v>
      </c>
      <c r="O109" s="21">
        <f>'Working Sheet'!$M109*'Working Sheet'!$K109</f>
        <v>1792000</v>
      </c>
      <c r="P109" s="20">
        <f>'Working Sheet'!$N109-'Working Sheet'!$O109</f>
        <v>448000</v>
      </c>
    </row>
    <row r="110" spans="1:16" ht="14.25" customHeight="1" x14ac:dyDescent="0.25">
      <c r="A110" s="23" t="str">
        <f t="shared" ca="1" si="2"/>
        <v>ID_1251</v>
      </c>
      <c r="B110" s="22">
        <v>45696</v>
      </c>
      <c r="C110" s="23" t="str">
        <f>TEXT('Working Sheet'!$B110,"mmm")</f>
        <v>Feb</v>
      </c>
      <c r="D110" s="23" t="s">
        <v>18</v>
      </c>
      <c r="E110" s="23" t="s">
        <v>32</v>
      </c>
      <c r="F110" s="23" t="s">
        <v>23</v>
      </c>
      <c r="G110" s="23" t="s">
        <v>14</v>
      </c>
      <c r="H110" s="23" t="s">
        <v>27</v>
      </c>
      <c r="I110" s="23" t="s">
        <v>22</v>
      </c>
      <c r="J110" s="24">
        <v>60000</v>
      </c>
      <c r="K110" s="23">
        <v>9</v>
      </c>
      <c r="L110" s="23" t="s">
        <v>17</v>
      </c>
      <c r="M110" s="25">
        <f t="shared" si="3"/>
        <v>48000</v>
      </c>
      <c r="N110" s="25">
        <f>'Working Sheet'!$J110*'Working Sheet'!$K110</f>
        <v>540000</v>
      </c>
      <c r="O110" s="26">
        <f>'Working Sheet'!$M110*'Working Sheet'!$K110</f>
        <v>432000</v>
      </c>
      <c r="P110" s="25">
        <f>'Working Sheet'!$N110-'Working Sheet'!$O110</f>
        <v>108000</v>
      </c>
    </row>
    <row r="111" spans="1:16" ht="14.25" customHeight="1" x14ac:dyDescent="0.25">
      <c r="A111" s="18" t="str">
        <f t="shared" ca="1" si="2"/>
        <v>ID_1003</v>
      </c>
      <c r="B111" s="17">
        <v>45660</v>
      </c>
      <c r="C111" s="18" t="str">
        <f>TEXT('Working Sheet'!$B111,"mmm")</f>
        <v>Jan</v>
      </c>
      <c r="D111" s="18" t="s">
        <v>29</v>
      </c>
      <c r="E111" s="18" t="s">
        <v>32</v>
      </c>
      <c r="F111" s="18" t="s">
        <v>23</v>
      </c>
      <c r="G111" s="18" t="s">
        <v>20</v>
      </c>
      <c r="H111" s="18" t="s">
        <v>15</v>
      </c>
      <c r="I111" s="18" t="s">
        <v>16</v>
      </c>
      <c r="J111" s="19">
        <v>85000</v>
      </c>
      <c r="K111" s="18">
        <v>1</v>
      </c>
      <c r="L111" s="18" t="s">
        <v>24</v>
      </c>
      <c r="M111" s="20">
        <f t="shared" si="3"/>
        <v>68000</v>
      </c>
      <c r="N111" s="20">
        <f>'Working Sheet'!$J111*'Working Sheet'!$K111</f>
        <v>85000</v>
      </c>
      <c r="O111" s="21">
        <f>'Working Sheet'!$M111*'Working Sheet'!$K111</f>
        <v>68000</v>
      </c>
      <c r="P111" s="20">
        <f>'Working Sheet'!$N111-'Working Sheet'!$O111</f>
        <v>17000</v>
      </c>
    </row>
    <row r="112" spans="1:16" ht="14.25" customHeight="1" x14ac:dyDescent="0.25">
      <c r="A112" s="23" t="str">
        <f t="shared" ca="1" si="2"/>
        <v>ID_914</v>
      </c>
      <c r="B112" s="22">
        <v>45742</v>
      </c>
      <c r="C112" s="23" t="str">
        <f>TEXT('Working Sheet'!$B112,"mmm")</f>
        <v>Mar</v>
      </c>
      <c r="D112" s="23" t="s">
        <v>18</v>
      </c>
      <c r="E112" s="23" t="s">
        <v>19</v>
      </c>
      <c r="F112" s="23" t="s">
        <v>13</v>
      </c>
      <c r="G112" s="23" t="s">
        <v>14</v>
      </c>
      <c r="H112" s="23" t="s">
        <v>30</v>
      </c>
      <c r="I112" s="23" t="s">
        <v>31</v>
      </c>
      <c r="J112" s="24">
        <v>300000</v>
      </c>
      <c r="K112" s="23">
        <v>6</v>
      </c>
      <c r="L112" s="23" t="s">
        <v>39</v>
      </c>
      <c r="M112" s="25">
        <f t="shared" si="3"/>
        <v>240000</v>
      </c>
      <c r="N112" s="25">
        <f>'Working Sheet'!$J112*'Working Sheet'!$K112</f>
        <v>1800000</v>
      </c>
      <c r="O112" s="26">
        <f>'Working Sheet'!$M112*'Working Sheet'!$K112</f>
        <v>1440000</v>
      </c>
      <c r="P112" s="25">
        <f>'Working Sheet'!$N112-'Working Sheet'!$O112</f>
        <v>360000</v>
      </c>
    </row>
    <row r="113" spans="1:16" ht="14.25" customHeight="1" x14ac:dyDescent="0.25">
      <c r="A113" s="18" t="str">
        <f t="shared" ca="1" si="2"/>
        <v>ID_335</v>
      </c>
      <c r="B113" s="17">
        <v>45674</v>
      </c>
      <c r="C113" s="18" t="str">
        <f>TEXT('Working Sheet'!$B113,"mmm")</f>
        <v>Jan</v>
      </c>
      <c r="D113" s="18" t="s">
        <v>29</v>
      </c>
      <c r="E113" s="18" t="s">
        <v>19</v>
      </c>
      <c r="F113" s="18" t="s">
        <v>23</v>
      </c>
      <c r="G113" s="18" t="s">
        <v>14</v>
      </c>
      <c r="H113" s="18" t="s">
        <v>21</v>
      </c>
      <c r="I113" s="18" t="s">
        <v>22</v>
      </c>
      <c r="J113" s="19">
        <v>30000</v>
      </c>
      <c r="K113" s="18">
        <v>5</v>
      </c>
      <c r="L113" s="18" t="s">
        <v>17</v>
      </c>
      <c r="M113" s="20">
        <f t="shared" si="3"/>
        <v>24000</v>
      </c>
      <c r="N113" s="20">
        <f>'Working Sheet'!$J113*'Working Sheet'!$K113</f>
        <v>150000</v>
      </c>
      <c r="O113" s="21">
        <f>'Working Sheet'!$M113*'Working Sheet'!$K113</f>
        <v>120000</v>
      </c>
      <c r="P113" s="20">
        <f>'Working Sheet'!$N113-'Working Sheet'!$O113</f>
        <v>30000</v>
      </c>
    </row>
    <row r="114" spans="1:16" ht="14.25" customHeight="1" x14ac:dyDescent="0.25">
      <c r="A114" s="23" t="str">
        <f t="shared" ca="1" si="2"/>
        <v>ID_1417</v>
      </c>
      <c r="B114" s="22">
        <v>45725</v>
      </c>
      <c r="C114" s="23" t="str">
        <f>TEXT('Working Sheet'!$B114,"mmm")</f>
        <v>Mar</v>
      </c>
      <c r="D114" s="23" t="s">
        <v>29</v>
      </c>
      <c r="E114" s="23" t="s">
        <v>12</v>
      </c>
      <c r="F114" s="23" t="s">
        <v>13</v>
      </c>
      <c r="G114" s="23" t="s">
        <v>20</v>
      </c>
      <c r="H114" s="23" t="s">
        <v>36</v>
      </c>
      <c r="I114" s="23" t="s">
        <v>31</v>
      </c>
      <c r="J114" s="24">
        <v>150000</v>
      </c>
      <c r="K114" s="23">
        <v>4</v>
      </c>
      <c r="L114" s="23" t="s">
        <v>37</v>
      </c>
      <c r="M114" s="25">
        <f t="shared" si="3"/>
        <v>120000</v>
      </c>
      <c r="N114" s="25">
        <f>'Working Sheet'!$J114*'Working Sheet'!$K114</f>
        <v>600000</v>
      </c>
      <c r="O114" s="26">
        <f>'Working Sheet'!$M114*'Working Sheet'!$K114</f>
        <v>480000</v>
      </c>
      <c r="P114" s="25">
        <f>'Working Sheet'!$N114-'Working Sheet'!$O114</f>
        <v>120000</v>
      </c>
    </row>
    <row r="115" spans="1:16" ht="14.25" customHeight="1" x14ac:dyDescent="0.25">
      <c r="A115" s="18" t="str">
        <f t="shared" ca="1" si="2"/>
        <v>ID_660</v>
      </c>
      <c r="B115" s="17">
        <v>45742</v>
      </c>
      <c r="C115" s="18" t="str">
        <f>TEXT('Working Sheet'!$B115,"mmm")</f>
        <v>Mar</v>
      </c>
      <c r="D115" s="18" t="s">
        <v>25</v>
      </c>
      <c r="E115" s="18" t="s">
        <v>12</v>
      </c>
      <c r="F115" s="18" t="s">
        <v>23</v>
      </c>
      <c r="G115" s="18" t="s">
        <v>20</v>
      </c>
      <c r="H115" s="18" t="s">
        <v>36</v>
      </c>
      <c r="I115" s="18" t="s">
        <v>31</v>
      </c>
      <c r="J115" s="19">
        <v>150000</v>
      </c>
      <c r="K115" s="18">
        <v>6</v>
      </c>
      <c r="L115" s="18" t="s">
        <v>37</v>
      </c>
      <c r="M115" s="20">
        <f t="shared" si="3"/>
        <v>120000</v>
      </c>
      <c r="N115" s="20">
        <f>'Working Sheet'!$J115*'Working Sheet'!$K115</f>
        <v>900000</v>
      </c>
      <c r="O115" s="21">
        <f>'Working Sheet'!$M115*'Working Sheet'!$K115</f>
        <v>720000</v>
      </c>
      <c r="P115" s="20">
        <f>'Working Sheet'!$N115-'Working Sheet'!$O115</f>
        <v>180000</v>
      </c>
    </row>
    <row r="116" spans="1:16" ht="14.25" customHeight="1" x14ac:dyDescent="0.25">
      <c r="A116" s="23" t="str">
        <f t="shared" ca="1" si="2"/>
        <v>ID_1109</v>
      </c>
      <c r="B116" s="22">
        <v>45766</v>
      </c>
      <c r="C116" s="23" t="str">
        <f>TEXT('Working Sheet'!$B116,"mmm")</f>
        <v>Apr</v>
      </c>
      <c r="D116" s="23" t="s">
        <v>29</v>
      </c>
      <c r="E116" s="23" t="s">
        <v>19</v>
      </c>
      <c r="F116" s="23" t="s">
        <v>23</v>
      </c>
      <c r="G116" s="23" t="s">
        <v>20</v>
      </c>
      <c r="H116" s="23" t="s">
        <v>36</v>
      </c>
      <c r="I116" s="23" t="s">
        <v>31</v>
      </c>
      <c r="J116" s="24">
        <v>150000</v>
      </c>
      <c r="K116" s="23">
        <v>8</v>
      </c>
      <c r="L116" s="23" t="s">
        <v>37</v>
      </c>
      <c r="M116" s="25">
        <f t="shared" si="3"/>
        <v>120000</v>
      </c>
      <c r="N116" s="25">
        <f>'Working Sheet'!$J116*'Working Sheet'!$K116</f>
        <v>1200000</v>
      </c>
      <c r="O116" s="26">
        <f>'Working Sheet'!$M116*'Working Sheet'!$K116</f>
        <v>960000</v>
      </c>
      <c r="P116" s="25">
        <f>'Working Sheet'!$N116-'Working Sheet'!$O116</f>
        <v>240000</v>
      </c>
    </row>
    <row r="117" spans="1:16" ht="14.25" customHeight="1" x14ac:dyDescent="0.25">
      <c r="A117" s="18" t="str">
        <f t="shared" ca="1" si="2"/>
        <v>ID_729</v>
      </c>
      <c r="B117" s="17">
        <v>45673</v>
      </c>
      <c r="C117" s="18" t="str">
        <f>TEXT('Working Sheet'!$B117,"mmm")</f>
        <v>Jan</v>
      </c>
      <c r="D117" s="18" t="s">
        <v>25</v>
      </c>
      <c r="E117" s="18" t="s">
        <v>19</v>
      </c>
      <c r="F117" s="18" t="s">
        <v>13</v>
      </c>
      <c r="G117" s="18" t="s">
        <v>20</v>
      </c>
      <c r="H117" s="18" t="s">
        <v>21</v>
      </c>
      <c r="I117" s="18" t="s">
        <v>22</v>
      </c>
      <c r="J117" s="19">
        <v>30000</v>
      </c>
      <c r="K117" s="18">
        <v>6</v>
      </c>
      <c r="L117" s="18" t="s">
        <v>17</v>
      </c>
      <c r="M117" s="20">
        <f t="shared" si="3"/>
        <v>24000</v>
      </c>
      <c r="N117" s="20">
        <f>'Working Sheet'!$J117*'Working Sheet'!$K117</f>
        <v>180000</v>
      </c>
      <c r="O117" s="21">
        <f>'Working Sheet'!$M117*'Working Sheet'!$K117</f>
        <v>144000</v>
      </c>
      <c r="P117" s="20">
        <f>'Working Sheet'!$N117-'Working Sheet'!$O117</f>
        <v>36000</v>
      </c>
    </row>
    <row r="118" spans="1:16" ht="14.25" customHeight="1" x14ac:dyDescent="0.25">
      <c r="A118" s="23" t="str">
        <f t="shared" ca="1" si="2"/>
        <v>ID_1300</v>
      </c>
      <c r="B118" s="22">
        <v>45678</v>
      </c>
      <c r="C118" s="23" t="str">
        <f>TEXT('Working Sheet'!$B118,"mmm")</f>
        <v>Jan</v>
      </c>
      <c r="D118" s="23" t="s">
        <v>11</v>
      </c>
      <c r="E118" s="23" t="s">
        <v>19</v>
      </c>
      <c r="F118" s="23" t="s">
        <v>13</v>
      </c>
      <c r="G118" s="23" t="s">
        <v>14</v>
      </c>
      <c r="H118" s="23" t="s">
        <v>40</v>
      </c>
      <c r="I118" s="23" t="s">
        <v>31</v>
      </c>
      <c r="J118" s="24">
        <v>250000</v>
      </c>
      <c r="K118" s="23">
        <v>3</v>
      </c>
      <c r="L118" s="23" t="s">
        <v>35</v>
      </c>
      <c r="M118" s="25">
        <f t="shared" si="3"/>
        <v>200000</v>
      </c>
      <c r="N118" s="25">
        <f>'Working Sheet'!$J118*'Working Sheet'!$K118</f>
        <v>750000</v>
      </c>
      <c r="O118" s="26">
        <f>'Working Sheet'!$M118*'Working Sheet'!$K118</f>
        <v>600000</v>
      </c>
      <c r="P118" s="25">
        <f>'Working Sheet'!$N118-'Working Sheet'!$O118</f>
        <v>150000</v>
      </c>
    </row>
    <row r="119" spans="1:16" ht="14.25" customHeight="1" x14ac:dyDescent="0.25">
      <c r="A119" s="18" t="str">
        <f t="shared" ca="1" si="2"/>
        <v>ID_1982</v>
      </c>
      <c r="B119" s="17">
        <v>45730</v>
      </c>
      <c r="C119" s="18" t="str">
        <f>TEXT('Working Sheet'!$B119,"mmm")</f>
        <v>Mar</v>
      </c>
      <c r="D119" s="18" t="s">
        <v>25</v>
      </c>
      <c r="E119" s="18" t="s">
        <v>19</v>
      </c>
      <c r="F119" s="18" t="s">
        <v>23</v>
      </c>
      <c r="G119" s="18" t="s">
        <v>14</v>
      </c>
      <c r="H119" s="18" t="s">
        <v>36</v>
      </c>
      <c r="I119" s="18" t="s">
        <v>31</v>
      </c>
      <c r="J119" s="19">
        <v>150000</v>
      </c>
      <c r="K119" s="18">
        <v>5</v>
      </c>
      <c r="L119" s="18" t="s">
        <v>17</v>
      </c>
      <c r="M119" s="20">
        <f t="shared" si="3"/>
        <v>120000</v>
      </c>
      <c r="N119" s="20">
        <f>'Working Sheet'!$J119*'Working Sheet'!$K119</f>
        <v>750000</v>
      </c>
      <c r="O119" s="21">
        <f>'Working Sheet'!$M119*'Working Sheet'!$K119</f>
        <v>600000</v>
      </c>
      <c r="P119" s="20">
        <f>'Working Sheet'!$N119-'Working Sheet'!$O119</f>
        <v>150000</v>
      </c>
    </row>
    <row r="120" spans="1:16" ht="14.25" customHeight="1" x14ac:dyDescent="0.25">
      <c r="A120" s="23" t="str">
        <f t="shared" ca="1" si="2"/>
        <v>ID_1384</v>
      </c>
      <c r="B120" s="22">
        <v>45734</v>
      </c>
      <c r="C120" s="23" t="str">
        <f>TEXT('Working Sheet'!$B120,"mmm")</f>
        <v>Mar</v>
      </c>
      <c r="D120" s="23" t="s">
        <v>11</v>
      </c>
      <c r="E120" s="23" t="s">
        <v>19</v>
      </c>
      <c r="F120" s="23" t="s">
        <v>13</v>
      </c>
      <c r="G120" s="23" t="s">
        <v>14</v>
      </c>
      <c r="H120" s="23" t="s">
        <v>41</v>
      </c>
      <c r="I120" s="23" t="s">
        <v>22</v>
      </c>
      <c r="J120" s="24">
        <v>220000</v>
      </c>
      <c r="K120" s="23">
        <v>1</v>
      </c>
      <c r="L120" s="23" t="s">
        <v>37</v>
      </c>
      <c r="M120" s="25">
        <f t="shared" si="3"/>
        <v>176000</v>
      </c>
      <c r="N120" s="25">
        <f>'Working Sheet'!$J120*'Working Sheet'!$K120</f>
        <v>220000</v>
      </c>
      <c r="O120" s="26">
        <f>'Working Sheet'!$M120*'Working Sheet'!$K120</f>
        <v>176000</v>
      </c>
      <c r="P120" s="25">
        <f>'Working Sheet'!$N120-'Working Sheet'!$O120</f>
        <v>44000</v>
      </c>
    </row>
    <row r="121" spans="1:16" ht="14.25" customHeight="1" x14ac:dyDescent="0.25">
      <c r="A121" s="18" t="str">
        <f t="shared" ca="1" si="2"/>
        <v>ID_205</v>
      </c>
      <c r="B121" s="17">
        <v>45670</v>
      </c>
      <c r="C121" s="18" t="str">
        <f>TEXT('Working Sheet'!$B121,"mmm")</f>
        <v>Jan</v>
      </c>
      <c r="D121" s="18" t="s">
        <v>29</v>
      </c>
      <c r="E121" s="18" t="s">
        <v>19</v>
      </c>
      <c r="F121" s="18" t="s">
        <v>13</v>
      </c>
      <c r="G121" s="18" t="s">
        <v>20</v>
      </c>
      <c r="H121" s="18" t="s">
        <v>34</v>
      </c>
      <c r="I121" s="18" t="s">
        <v>16</v>
      </c>
      <c r="J121" s="19">
        <v>320000</v>
      </c>
      <c r="K121" s="18">
        <v>10</v>
      </c>
      <c r="L121" s="18" t="s">
        <v>35</v>
      </c>
      <c r="M121" s="20">
        <f t="shared" si="3"/>
        <v>256000</v>
      </c>
      <c r="N121" s="20">
        <f>'Working Sheet'!$J121*'Working Sheet'!$K121</f>
        <v>3200000</v>
      </c>
      <c r="O121" s="21">
        <f>'Working Sheet'!$M121*'Working Sheet'!$K121</f>
        <v>2560000</v>
      </c>
      <c r="P121" s="20">
        <f>'Working Sheet'!$N121-'Working Sheet'!$O121</f>
        <v>640000</v>
      </c>
    </row>
    <row r="122" spans="1:16" ht="14.25" customHeight="1" x14ac:dyDescent="0.25">
      <c r="A122" s="23" t="str">
        <f t="shared" ca="1" si="2"/>
        <v>ID_1186</v>
      </c>
      <c r="B122" s="22">
        <v>45683</v>
      </c>
      <c r="C122" s="23" t="str">
        <f>TEXT('Working Sheet'!$B122,"mmm")</f>
        <v>Jan</v>
      </c>
      <c r="D122" s="23" t="s">
        <v>25</v>
      </c>
      <c r="E122" s="23" t="s">
        <v>12</v>
      </c>
      <c r="F122" s="23" t="s">
        <v>23</v>
      </c>
      <c r="G122" s="23" t="s">
        <v>20</v>
      </c>
      <c r="H122" s="23" t="s">
        <v>27</v>
      </c>
      <c r="I122" s="23" t="s">
        <v>22</v>
      </c>
      <c r="J122" s="24">
        <v>60000</v>
      </c>
      <c r="K122" s="23">
        <v>5</v>
      </c>
      <c r="L122" s="23" t="s">
        <v>24</v>
      </c>
      <c r="M122" s="25">
        <f t="shared" si="3"/>
        <v>48000</v>
      </c>
      <c r="N122" s="25">
        <f>'Working Sheet'!$J122*'Working Sheet'!$K122</f>
        <v>300000</v>
      </c>
      <c r="O122" s="26">
        <f>'Working Sheet'!$M122*'Working Sheet'!$K122</f>
        <v>240000</v>
      </c>
      <c r="P122" s="25">
        <f>'Working Sheet'!$N122-'Working Sheet'!$O122</f>
        <v>60000</v>
      </c>
    </row>
    <row r="123" spans="1:16" ht="14.25" customHeight="1" x14ac:dyDescent="0.25">
      <c r="A123" s="18" t="str">
        <f t="shared" ca="1" si="2"/>
        <v>ID_416</v>
      </c>
      <c r="B123" s="17">
        <v>45757</v>
      </c>
      <c r="C123" s="18" t="str">
        <f>TEXT('Working Sheet'!$B123,"mmm")</f>
        <v>Apr</v>
      </c>
      <c r="D123" s="18" t="s">
        <v>18</v>
      </c>
      <c r="E123" s="18" t="s">
        <v>32</v>
      </c>
      <c r="F123" s="18" t="s">
        <v>13</v>
      </c>
      <c r="G123" s="18" t="s">
        <v>20</v>
      </c>
      <c r="H123" s="18" t="s">
        <v>36</v>
      </c>
      <c r="I123" s="18" t="s">
        <v>31</v>
      </c>
      <c r="J123" s="19">
        <v>150000</v>
      </c>
      <c r="K123" s="18">
        <v>7</v>
      </c>
      <c r="L123" s="18" t="s">
        <v>39</v>
      </c>
      <c r="M123" s="20">
        <f t="shared" si="3"/>
        <v>120000</v>
      </c>
      <c r="N123" s="20">
        <f>'Working Sheet'!$J123*'Working Sheet'!$K123</f>
        <v>1050000</v>
      </c>
      <c r="O123" s="21">
        <f>'Working Sheet'!$M123*'Working Sheet'!$K123</f>
        <v>840000</v>
      </c>
      <c r="P123" s="20">
        <f>'Working Sheet'!$N123-'Working Sheet'!$O123</f>
        <v>210000</v>
      </c>
    </row>
    <row r="124" spans="1:16" ht="14.25" customHeight="1" x14ac:dyDescent="0.25">
      <c r="A124" s="23" t="str">
        <f t="shared" ca="1" si="2"/>
        <v>ID_373</v>
      </c>
      <c r="B124" s="22">
        <v>45774</v>
      </c>
      <c r="C124" s="23" t="str">
        <f>TEXT('Working Sheet'!$B124,"mmm")</f>
        <v>Apr</v>
      </c>
      <c r="D124" s="23" t="s">
        <v>29</v>
      </c>
      <c r="E124" s="23" t="s">
        <v>26</v>
      </c>
      <c r="F124" s="23" t="s">
        <v>13</v>
      </c>
      <c r="G124" s="23" t="s">
        <v>14</v>
      </c>
      <c r="H124" s="23" t="s">
        <v>27</v>
      </c>
      <c r="I124" s="23" t="s">
        <v>22</v>
      </c>
      <c r="J124" s="24">
        <v>60000</v>
      </c>
      <c r="K124" s="23">
        <v>7</v>
      </c>
      <c r="L124" s="23" t="s">
        <v>28</v>
      </c>
      <c r="M124" s="25">
        <f t="shared" si="3"/>
        <v>48000</v>
      </c>
      <c r="N124" s="25">
        <f>'Working Sheet'!$J124*'Working Sheet'!$K124</f>
        <v>420000</v>
      </c>
      <c r="O124" s="26">
        <f>'Working Sheet'!$M124*'Working Sheet'!$K124</f>
        <v>336000</v>
      </c>
      <c r="P124" s="25">
        <f>'Working Sheet'!$N124-'Working Sheet'!$O124</f>
        <v>84000</v>
      </c>
    </row>
    <row r="125" spans="1:16" ht="14.25" customHeight="1" x14ac:dyDescent="0.25">
      <c r="A125" s="18" t="str">
        <f t="shared" ca="1" si="2"/>
        <v>ID_2062</v>
      </c>
      <c r="B125" s="17">
        <v>45698</v>
      </c>
      <c r="C125" s="18" t="str">
        <f>TEXT('Working Sheet'!$B125,"mmm")</f>
        <v>Feb</v>
      </c>
      <c r="D125" s="18" t="s">
        <v>29</v>
      </c>
      <c r="E125" s="18" t="s">
        <v>12</v>
      </c>
      <c r="F125" s="18" t="s">
        <v>23</v>
      </c>
      <c r="G125" s="18" t="s">
        <v>20</v>
      </c>
      <c r="H125" s="18" t="s">
        <v>41</v>
      </c>
      <c r="I125" s="18" t="s">
        <v>22</v>
      </c>
      <c r="J125" s="19">
        <v>220000</v>
      </c>
      <c r="K125" s="18">
        <v>4</v>
      </c>
      <c r="L125" s="18" t="s">
        <v>35</v>
      </c>
      <c r="M125" s="20">
        <f t="shared" si="3"/>
        <v>176000</v>
      </c>
      <c r="N125" s="20">
        <f>'Working Sheet'!$J125*'Working Sheet'!$K125</f>
        <v>880000</v>
      </c>
      <c r="O125" s="21">
        <f>'Working Sheet'!$M125*'Working Sheet'!$K125</f>
        <v>704000</v>
      </c>
      <c r="P125" s="20">
        <f>'Working Sheet'!$N125-'Working Sheet'!$O125</f>
        <v>176000</v>
      </c>
    </row>
    <row r="126" spans="1:16" ht="14.25" customHeight="1" x14ac:dyDescent="0.25">
      <c r="A126" s="23" t="str">
        <f t="shared" ca="1" si="2"/>
        <v>ID_1088</v>
      </c>
      <c r="B126" s="22">
        <v>45709</v>
      </c>
      <c r="C126" s="23" t="str">
        <f>TEXT('Working Sheet'!$B126,"mmm")</f>
        <v>Feb</v>
      </c>
      <c r="D126" s="23" t="s">
        <v>18</v>
      </c>
      <c r="E126" s="23" t="s">
        <v>26</v>
      </c>
      <c r="F126" s="23" t="s">
        <v>23</v>
      </c>
      <c r="G126" s="23" t="s">
        <v>20</v>
      </c>
      <c r="H126" s="23" t="s">
        <v>40</v>
      </c>
      <c r="I126" s="23" t="s">
        <v>31</v>
      </c>
      <c r="J126" s="24">
        <v>250000</v>
      </c>
      <c r="K126" s="23">
        <v>6</v>
      </c>
      <c r="L126" s="23" t="s">
        <v>24</v>
      </c>
      <c r="M126" s="25">
        <f t="shared" si="3"/>
        <v>200000</v>
      </c>
      <c r="N126" s="25">
        <f>'Working Sheet'!$J126*'Working Sheet'!$K126</f>
        <v>1500000</v>
      </c>
      <c r="O126" s="26">
        <f>'Working Sheet'!$M126*'Working Sheet'!$K126</f>
        <v>1200000</v>
      </c>
      <c r="P126" s="25">
        <f>'Working Sheet'!$N126-'Working Sheet'!$O126</f>
        <v>300000</v>
      </c>
    </row>
    <row r="127" spans="1:16" ht="14.25" customHeight="1" x14ac:dyDescent="0.25">
      <c r="A127" s="18" t="str">
        <f t="shared" ca="1" si="2"/>
        <v>ID_1317</v>
      </c>
      <c r="B127" s="17">
        <v>45723</v>
      </c>
      <c r="C127" s="18" t="str">
        <f>TEXT('Working Sheet'!$B127,"mmm")</f>
        <v>Mar</v>
      </c>
      <c r="D127" s="18" t="s">
        <v>29</v>
      </c>
      <c r="E127" s="18" t="s">
        <v>12</v>
      </c>
      <c r="F127" s="18" t="s">
        <v>23</v>
      </c>
      <c r="G127" s="18" t="s">
        <v>14</v>
      </c>
      <c r="H127" s="18" t="s">
        <v>38</v>
      </c>
      <c r="I127" s="18" t="s">
        <v>31</v>
      </c>
      <c r="J127" s="19">
        <v>420000</v>
      </c>
      <c r="K127" s="18">
        <v>10</v>
      </c>
      <c r="L127" s="18" t="s">
        <v>17</v>
      </c>
      <c r="M127" s="20">
        <f t="shared" si="3"/>
        <v>336000</v>
      </c>
      <c r="N127" s="20">
        <f>'Working Sheet'!$J127*'Working Sheet'!$K127</f>
        <v>4200000</v>
      </c>
      <c r="O127" s="21">
        <f>'Working Sheet'!$M127*'Working Sheet'!$K127</f>
        <v>3360000</v>
      </c>
      <c r="P127" s="20">
        <f>'Working Sheet'!$N127-'Working Sheet'!$O127</f>
        <v>840000</v>
      </c>
    </row>
    <row r="128" spans="1:16" ht="14.25" customHeight="1" x14ac:dyDescent="0.25">
      <c r="A128" s="23" t="str">
        <f t="shared" ca="1" si="2"/>
        <v>ID_1805</v>
      </c>
      <c r="B128" s="22">
        <v>45746</v>
      </c>
      <c r="C128" s="23" t="str">
        <f>TEXT('Working Sheet'!$B128,"mmm")</f>
        <v>Mar</v>
      </c>
      <c r="D128" s="23" t="s">
        <v>18</v>
      </c>
      <c r="E128" s="23" t="s">
        <v>12</v>
      </c>
      <c r="F128" s="23" t="s">
        <v>13</v>
      </c>
      <c r="G128" s="23" t="s">
        <v>14</v>
      </c>
      <c r="H128" s="23" t="s">
        <v>21</v>
      </c>
      <c r="I128" s="23" t="s">
        <v>22</v>
      </c>
      <c r="J128" s="24">
        <v>30000</v>
      </c>
      <c r="K128" s="23">
        <v>9</v>
      </c>
      <c r="L128" s="23" t="s">
        <v>39</v>
      </c>
      <c r="M128" s="25">
        <f t="shared" si="3"/>
        <v>24000</v>
      </c>
      <c r="N128" s="25">
        <f>'Working Sheet'!$J128*'Working Sheet'!$K128</f>
        <v>270000</v>
      </c>
      <c r="O128" s="26">
        <f>'Working Sheet'!$M128*'Working Sheet'!$K128</f>
        <v>216000</v>
      </c>
      <c r="P128" s="25">
        <f>'Working Sheet'!$N128-'Working Sheet'!$O128</f>
        <v>54000</v>
      </c>
    </row>
    <row r="129" spans="1:16" ht="14.25" customHeight="1" x14ac:dyDescent="0.25">
      <c r="A129" s="18" t="str">
        <f t="shared" ca="1" si="2"/>
        <v>ID_2057</v>
      </c>
      <c r="B129" s="17">
        <v>45737</v>
      </c>
      <c r="C129" s="18" t="str">
        <f>TEXT('Working Sheet'!$B129,"mmm")</f>
        <v>Mar</v>
      </c>
      <c r="D129" s="18" t="s">
        <v>11</v>
      </c>
      <c r="E129" s="18" t="s">
        <v>26</v>
      </c>
      <c r="F129" s="18" t="s">
        <v>13</v>
      </c>
      <c r="G129" s="18" t="s">
        <v>20</v>
      </c>
      <c r="H129" s="18" t="s">
        <v>33</v>
      </c>
      <c r="I129" s="18" t="s">
        <v>22</v>
      </c>
      <c r="J129" s="19">
        <v>180000</v>
      </c>
      <c r="K129" s="18">
        <v>8</v>
      </c>
      <c r="L129" s="18" t="s">
        <v>28</v>
      </c>
      <c r="M129" s="20">
        <f t="shared" si="3"/>
        <v>144000</v>
      </c>
      <c r="N129" s="20">
        <f>'Working Sheet'!$J129*'Working Sheet'!$K129</f>
        <v>1440000</v>
      </c>
      <c r="O129" s="21">
        <f>'Working Sheet'!$M129*'Working Sheet'!$K129</f>
        <v>1152000</v>
      </c>
      <c r="P129" s="20">
        <f>'Working Sheet'!$N129-'Working Sheet'!$O129</f>
        <v>288000</v>
      </c>
    </row>
    <row r="130" spans="1:16" ht="14.25" customHeight="1" x14ac:dyDescent="0.25">
      <c r="A130" s="23" t="str">
        <f t="shared" ref="A130:A193" ca="1" si="4">"ID_"&amp; RANDBETWEEN(1,2098)</f>
        <v>ID_2093</v>
      </c>
      <c r="B130" s="22">
        <v>45680</v>
      </c>
      <c r="C130" s="23" t="str">
        <f>TEXT('Working Sheet'!$B130,"mmm")</f>
        <v>Jan</v>
      </c>
      <c r="D130" s="23" t="s">
        <v>29</v>
      </c>
      <c r="E130" s="23" t="s">
        <v>19</v>
      </c>
      <c r="F130" s="23" t="s">
        <v>13</v>
      </c>
      <c r="G130" s="23" t="s">
        <v>14</v>
      </c>
      <c r="H130" s="23" t="s">
        <v>38</v>
      </c>
      <c r="I130" s="23" t="s">
        <v>31</v>
      </c>
      <c r="J130" s="24">
        <v>420000</v>
      </c>
      <c r="K130" s="23">
        <v>5</v>
      </c>
      <c r="L130" s="23" t="s">
        <v>37</v>
      </c>
      <c r="M130" s="25">
        <f t="shared" ref="M130:M193" si="5">J130-J130*0.2</f>
        <v>336000</v>
      </c>
      <c r="N130" s="25">
        <f>'Working Sheet'!$J130*'Working Sheet'!$K130</f>
        <v>2100000</v>
      </c>
      <c r="O130" s="26">
        <f>'Working Sheet'!$M130*'Working Sheet'!$K130</f>
        <v>1680000</v>
      </c>
      <c r="P130" s="25">
        <f>'Working Sheet'!$N130-'Working Sheet'!$O130</f>
        <v>420000</v>
      </c>
    </row>
    <row r="131" spans="1:16" ht="14.25" customHeight="1" x14ac:dyDescent="0.25">
      <c r="A131" s="18" t="str">
        <f t="shared" ca="1" si="4"/>
        <v>ID_2039</v>
      </c>
      <c r="B131" s="17">
        <v>45666</v>
      </c>
      <c r="C131" s="18" t="str">
        <f>TEXT('Working Sheet'!$B131,"mmm")</f>
        <v>Jan</v>
      </c>
      <c r="D131" s="18" t="s">
        <v>11</v>
      </c>
      <c r="E131" s="18" t="s">
        <v>12</v>
      </c>
      <c r="F131" s="18" t="s">
        <v>23</v>
      </c>
      <c r="G131" s="18" t="s">
        <v>14</v>
      </c>
      <c r="H131" s="18" t="s">
        <v>27</v>
      </c>
      <c r="I131" s="18" t="s">
        <v>22</v>
      </c>
      <c r="J131" s="19">
        <v>60000</v>
      </c>
      <c r="K131" s="18">
        <v>9</v>
      </c>
      <c r="L131" s="18" t="s">
        <v>17</v>
      </c>
      <c r="M131" s="20">
        <f t="shared" si="5"/>
        <v>48000</v>
      </c>
      <c r="N131" s="20">
        <f>'Working Sheet'!$J131*'Working Sheet'!$K131</f>
        <v>540000</v>
      </c>
      <c r="O131" s="21">
        <f>'Working Sheet'!$M131*'Working Sheet'!$K131</f>
        <v>432000</v>
      </c>
      <c r="P131" s="20">
        <f>'Working Sheet'!$N131-'Working Sheet'!$O131</f>
        <v>108000</v>
      </c>
    </row>
    <row r="132" spans="1:16" ht="14.25" customHeight="1" x14ac:dyDescent="0.25">
      <c r="A132" s="23" t="str">
        <f t="shared" ca="1" si="4"/>
        <v>ID_364</v>
      </c>
      <c r="B132" s="22">
        <v>45700</v>
      </c>
      <c r="C132" s="23" t="str">
        <f>TEXT('Working Sheet'!$B132,"mmm")</f>
        <v>Feb</v>
      </c>
      <c r="D132" s="23" t="s">
        <v>25</v>
      </c>
      <c r="E132" s="23" t="s">
        <v>26</v>
      </c>
      <c r="F132" s="23" t="s">
        <v>23</v>
      </c>
      <c r="G132" s="23" t="s">
        <v>20</v>
      </c>
      <c r="H132" s="23" t="s">
        <v>15</v>
      </c>
      <c r="I132" s="23" t="s">
        <v>16</v>
      </c>
      <c r="J132" s="24">
        <v>85000</v>
      </c>
      <c r="K132" s="23">
        <v>5</v>
      </c>
      <c r="L132" s="23" t="s">
        <v>24</v>
      </c>
      <c r="M132" s="25">
        <f t="shared" si="5"/>
        <v>68000</v>
      </c>
      <c r="N132" s="25">
        <f>'Working Sheet'!$J132*'Working Sheet'!$K132</f>
        <v>425000</v>
      </c>
      <c r="O132" s="26">
        <f>'Working Sheet'!$M132*'Working Sheet'!$K132</f>
        <v>340000</v>
      </c>
      <c r="P132" s="25">
        <f>'Working Sheet'!$N132-'Working Sheet'!$O132</f>
        <v>85000</v>
      </c>
    </row>
    <row r="133" spans="1:16" ht="14.25" customHeight="1" x14ac:dyDescent="0.25">
      <c r="A133" s="18" t="str">
        <f t="shared" ca="1" si="4"/>
        <v>ID_774</v>
      </c>
      <c r="B133" s="17">
        <v>45752</v>
      </c>
      <c r="C133" s="18" t="str">
        <f>TEXT('Working Sheet'!$B133,"mmm")</f>
        <v>Apr</v>
      </c>
      <c r="D133" s="18" t="s">
        <v>25</v>
      </c>
      <c r="E133" s="18" t="s">
        <v>26</v>
      </c>
      <c r="F133" s="18" t="s">
        <v>23</v>
      </c>
      <c r="G133" s="18" t="s">
        <v>14</v>
      </c>
      <c r="H133" s="18" t="s">
        <v>15</v>
      </c>
      <c r="I133" s="18" t="s">
        <v>16</v>
      </c>
      <c r="J133" s="19">
        <v>85000</v>
      </c>
      <c r="K133" s="18">
        <v>1</v>
      </c>
      <c r="L133" s="18" t="s">
        <v>28</v>
      </c>
      <c r="M133" s="20">
        <f t="shared" si="5"/>
        <v>68000</v>
      </c>
      <c r="N133" s="20">
        <f>'Working Sheet'!$J133*'Working Sheet'!$K133</f>
        <v>85000</v>
      </c>
      <c r="O133" s="21">
        <f>'Working Sheet'!$M133*'Working Sheet'!$K133</f>
        <v>68000</v>
      </c>
      <c r="P133" s="20">
        <f>'Working Sheet'!$N133-'Working Sheet'!$O133</f>
        <v>17000</v>
      </c>
    </row>
    <row r="134" spans="1:16" ht="14.25" customHeight="1" x14ac:dyDescent="0.25">
      <c r="A134" s="23" t="str">
        <f t="shared" ca="1" si="4"/>
        <v>ID_797</v>
      </c>
      <c r="B134" s="22">
        <v>45683</v>
      </c>
      <c r="C134" s="23" t="str">
        <f>TEXT('Working Sheet'!$B134,"mmm")</f>
        <v>Jan</v>
      </c>
      <c r="D134" s="23" t="s">
        <v>18</v>
      </c>
      <c r="E134" s="23" t="s">
        <v>19</v>
      </c>
      <c r="F134" s="23" t="s">
        <v>13</v>
      </c>
      <c r="G134" s="23" t="s">
        <v>20</v>
      </c>
      <c r="H134" s="23" t="s">
        <v>27</v>
      </c>
      <c r="I134" s="23" t="s">
        <v>22</v>
      </c>
      <c r="J134" s="24">
        <v>60000</v>
      </c>
      <c r="K134" s="23">
        <v>8</v>
      </c>
      <c r="L134" s="23" t="s">
        <v>35</v>
      </c>
      <c r="M134" s="25">
        <f t="shared" si="5"/>
        <v>48000</v>
      </c>
      <c r="N134" s="25">
        <f>'Working Sheet'!$J134*'Working Sheet'!$K134</f>
        <v>480000</v>
      </c>
      <c r="O134" s="26">
        <f>'Working Sheet'!$M134*'Working Sheet'!$K134</f>
        <v>384000</v>
      </c>
      <c r="P134" s="25">
        <f>'Working Sheet'!$N134-'Working Sheet'!$O134</f>
        <v>96000</v>
      </c>
    </row>
    <row r="135" spans="1:16" ht="14.25" customHeight="1" x14ac:dyDescent="0.25">
      <c r="A135" s="18" t="str">
        <f t="shared" ca="1" si="4"/>
        <v>ID_1329</v>
      </c>
      <c r="B135" s="17">
        <v>45774</v>
      </c>
      <c r="C135" s="18" t="str">
        <f>TEXT('Working Sheet'!$B135,"mmm")</f>
        <v>Apr</v>
      </c>
      <c r="D135" s="18" t="s">
        <v>11</v>
      </c>
      <c r="E135" s="18" t="s">
        <v>26</v>
      </c>
      <c r="F135" s="18" t="s">
        <v>23</v>
      </c>
      <c r="G135" s="18" t="s">
        <v>14</v>
      </c>
      <c r="H135" s="18" t="s">
        <v>36</v>
      </c>
      <c r="I135" s="18" t="s">
        <v>31</v>
      </c>
      <c r="J135" s="19">
        <v>150000</v>
      </c>
      <c r="K135" s="18">
        <v>5</v>
      </c>
      <c r="L135" s="18" t="s">
        <v>37</v>
      </c>
      <c r="M135" s="20">
        <f t="shared" si="5"/>
        <v>120000</v>
      </c>
      <c r="N135" s="20">
        <f>'Working Sheet'!$J135*'Working Sheet'!$K135</f>
        <v>750000</v>
      </c>
      <c r="O135" s="21">
        <f>'Working Sheet'!$M135*'Working Sheet'!$K135</f>
        <v>600000</v>
      </c>
      <c r="P135" s="20">
        <f>'Working Sheet'!$N135-'Working Sheet'!$O135</f>
        <v>150000</v>
      </c>
    </row>
    <row r="136" spans="1:16" ht="14.25" customHeight="1" x14ac:dyDescent="0.25">
      <c r="A136" s="23" t="str">
        <f t="shared" ca="1" si="4"/>
        <v>ID_1014</v>
      </c>
      <c r="B136" s="22">
        <v>45746</v>
      </c>
      <c r="C136" s="23" t="str">
        <f>TEXT('Working Sheet'!$B136,"mmm")</f>
        <v>Mar</v>
      </c>
      <c r="D136" s="23" t="s">
        <v>11</v>
      </c>
      <c r="E136" s="23" t="s">
        <v>32</v>
      </c>
      <c r="F136" s="23" t="s">
        <v>13</v>
      </c>
      <c r="G136" s="23" t="s">
        <v>14</v>
      </c>
      <c r="H136" s="23" t="s">
        <v>34</v>
      </c>
      <c r="I136" s="23" t="s">
        <v>16</v>
      </c>
      <c r="J136" s="24">
        <v>320000</v>
      </c>
      <c r="K136" s="23">
        <v>10</v>
      </c>
      <c r="L136" s="23" t="s">
        <v>35</v>
      </c>
      <c r="M136" s="25">
        <f t="shared" si="5"/>
        <v>256000</v>
      </c>
      <c r="N136" s="25">
        <f>'Working Sheet'!$J136*'Working Sheet'!$K136</f>
        <v>3200000</v>
      </c>
      <c r="O136" s="26">
        <f>'Working Sheet'!$M136*'Working Sheet'!$K136</f>
        <v>2560000</v>
      </c>
      <c r="P136" s="25">
        <f>'Working Sheet'!$N136-'Working Sheet'!$O136</f>
        <v>640000</v>
      </c>
    </row>
    <row r="137" spans="1:16" ht="14.25" customHeight="1" x14ac:dyDescent="0.25">
      <c r="A137" s="18" t="str">
        <f t="shared" ca="1" si="4"/>
        <v>ID_1610</v>
      </c>
      <c r="B137" s="17">
        <v>45686</v>
      </c>
      <c r="C137" s="18" t="str">
        <f>TEXT('Working Sheet'!$B137,"mmm")</f>
        <v>Jan</v>
      </c>
      <c r="D137" s="18" t="s">
        <v>11</v>
      </c>
      <c r="E137" s="18" t="s">
        <v>32</v>
      </c>
      <c r="F137" s="18" t="s">
        <v>23</v>
      </c>
      <c r="G137" s="18" t="s">
        <v>14</v>
      </c>
      <c r="H137" s="18" t="s">
        <v>40</v>
      </c>
      <c r="I137" s="18" t="s">
        <v>31</v>
      </c>
      <c r="J137" s="19">
        <v>250000</v>
      </c>
      <c r="K137" s="18">
        <v>6</v>
      </c>
      <c r="L137" s="18" t="s">
        <v>39</v>
      </c>
      <c r="M137" s="20">
        <f t="shared" si="5"/>
        <v>200000</v>
      </c>
      <c r="N137" s="20">
        <f>'Working Sheet'!$J137*'Working Sheet'!$K137</f>
        <v>1500000</v>
      </c>
      <c r="O137" s="21">
        <f>'Working Sheet'!$M137*'Working Sheet'!$K137</f>
        <v>1200000</v>
      </c>
      <c r="P137" s="20">
        <f>'Working Sheet'!$N137-'Working Sheet'!$O137</f>
        <v>300000</v>
      </c>
    </row>
    <row r="138" spans="1:16" ht="14.25" customHeight="1" x14ac:dyDescent="0.25">
      <c r="A138" s="23" t="str">
        <f t="shared" ca="1" si="4"/>
        <v>ID_874</v>
      </c>
      <c r="B138" s="22">
        <v>45678</v>
      </c>
      <c r="C138" s="23" t="str">
        <f>TEXT('Working Sheet'!$B138,"mmm")</f>
        <v>Jan</v>
      </c>
      <c r="D138" s="23" t="s">
        <v>25</v>
      </c>
      <c r="E138" s="23" t="s">
        <v>26</v>
      </c>
      <c r="F138" s="23" t="s">
        <v>23</v>
      </c>
      <c r="G138" s="23" t="s">
        <v>14</v>
      </c>
      <c r="H138" s="23" t="s">
        <v>36</v>
      </c>
      <c r="I138" s="23" t="s">
        <v>31</v>
      </c>
      <c r="J138" s="24">
        <v>150000</v>
      </c>
      <c r="K138" s="23">
        <v>3</v>
      </c>
      <c r="L138" s="23" t="s">
        <v>17</v>
      </c>
      <c r="M138" s="25">
        <f t="shared" si="5"/>
        <v>120000</v>
      </c>
      <c r="N138" s="25">
        <f>'Working Sheet'!$J138*'Working Sheet'!$K138</f>
        <v>450000</v>
      </c>
      <c r="O138" s="26">
        <f>'Working Sheet'!$M138*'Working Sheet'!$K138</f>
        <v>360000</v>
      </c>
      <c r="P138" s="25">
        <f>'Working Sheet'!$N138-'Working Sheet'!$O138</f>
        <v>90000</v>
      </c>
    </row>
    <row r="139" spans="1:16" ht="14.25" customHeight="1" x14ac:dyDescent="0.25">
      <c r="A139" s="18" t="str">
        <f t="shared" ca="1" si="4"/>
        <v>ID_1573</v>
      </c>
      <c r="B139" s="17">
        <v>45737</v>
      </c>
      <c r="C139" s="18" t="str">
        <f>TEXT('Working Sheet'!$B139,"mmm")</f>
        <v>Mar</v>
      </c>
      <c r="D139" s="18" t="s">
        <v>11</v>
      </c>
      <c r="E139" s="18" t="s">
        <v>19</v>
      </c>
      <c r="F139" s="18" t="s">
        <v>23</v>
      </c>
      <c r="G139" s="18" t="s">
        <v>14</v>
      </c>
      <c r="H139" s="18" t="s">
        <v>27</v>
      </c>
      <c r="I139" s="18" t="s">
        <v>22</v>
      </c>
      <c r="J139" s="19">
        <v>60000</v>
      </c>
      <c r="K139" s="18">
        <v>10</v>
      </c>
      <c r="L139" s="18" t="s">
        <v>37</v>
      </c>
      <c r="M139" s="20">
        <f t="shared" si="5"/>
        <v>48000</v>
      </c>
      <c r="N139" s="20">
        <f>'Working Sheet'!$J139*'Working Sheet'!$K139</f>
        <v>600000</v>
      </c>
      <c r="O139" s="21">
        <f>'Working Sheet'!$M139*'Working Sheet'!$K139</f>
        <v>480000</v>
      </c>
      <c r="P139" s="20">
        <f>'Working Sheet'!$N139-'Working Sheet'!$O139</f>
        <v>120000</v>
      </c>
    </row>
    <row r="140" spans="1:16" ht="14.25" customHeight="1" x14ac:dyDescent="0.25">
      <c r="A140" s="23" t="str">
        <f t="shared" ca="1" si="4"/>
        <v>ID_1932</v>
      </c>
      <c r="B140" s="22">
        <v>45758</v>
      </c>
      <c r="C140" s="23" t="str">
        <f>TEXT('Working Sheet'!$B140,"mmm")</f>
        <v>Apr</v>
      </c>
      <c r="D140" s="23" t="s">
        <v>29</v>
      </c>
      <c r="E140" s="23" t="s">
        <v>26</v>
      </c>
      <c r="F140" s="23" t="s">
        <v>13</v>
      </c>
      <c r="G140" s="23" t="s">
        <v>14</v>
      </c>
      <c r="H140" s="23" t="s">
        <v>36</v>
      </c>
      <c r="I140" s="23" t="s">
        <v>31</v>
      </c>
      <c r="J140" s="24">
        <v>150000</v>
      </c>
      <c r="K140" s="23">
        <v>8</v>
      </c>
      <c r="L140" s="23" t="s">
        <v>28</v>
      </c>
      <c r="M140" s="25">
        <f t="shared" si="5"/>
        <v>120000</v>
      </c>
      <c r="N140" s="25">
        <f>'Working Sheet'!$J140*'Working Sheet'!$K140</f>
        <v>1200000</v>
      </c>
      <c r="O140" s="26">
        <f>'Working Sheet'!$M140*'Working Sheet'!$K140</f>
        <v>960000</v>
      </c>
      <c r="P140" s="25">
        <f>'Working Sheet'!$N140-'Working Sheet'!$O140</f>
        <v>240000</v>
      </c>
    </row>
    <row r="141" spans="1:16" ht="14.25" customHeight="1" x14ac:dyDescent="0.25">
      <c r="A141" s="18" t="str">
        <f t="shared" ca="1" si="4"/>
        <v>ID_526</v>
      </c>
      <c r="B141" s="17">
        <v>45775</v>
      </c>
      <c r="C141" s="18" t="str">
        <f>TEXT('Working Sheet'!$B141,"mmm")</f>
        <v>Apr</v>
      </c>
      <c r="D141" s="18" t="s">
        <v>25</v>
      </c>
      <c r="E141" s="18" t="s">
        <v>12</v>
      </c>
      <c r="F141" s="18" t="s">
        <v>13</v>
      </c>
      <c r="G141" s="18" t="s">
        <v>14</v>
      </c>
      <c r="H141" s="18" t="s">
        <v>40</v>
      </c>
      <c r="I141" s="18" t="s">
        <v>31</v>
      </c>
      <c r="J141" s="19">
        <v>250000</v>
      </c>
      <c r="K141" s="18">
        <v>7</v>
      </c>
      <c r="L141" s="18" t="s">
        <v>37</v>
      </c>
      <c r="M141" s="20">
        <f t="shared" si="5"/>
        <v>200000</v>
      </c>
      <c r="N141" s="20">
        <f>'Working Sheet'!$J141*'Working Sheet'!$K141</f>
        <v>1750000</v>
      </c>
      <c r="O141" s="21">
        <f>'Working Sheet'!$M141*'Working Sheet'!$K141</f>
        <v>1400000</v>
      </c>
      <c r="P141" s="20">
        <f>'Working Sheet'!$N141-'Working Sheet'!$O141</f>
        <v>350000</v>
      </c>
    </row>
    <row r="142" spans="1:16" ht="14.25" customHeight="1" x14ac:dyDescent="0.25">
      <c r="A142" s="23" t="str">
        <f t="shared" ca="1" si="4"/>
        <v>ID_1919</v>
      </c>
      <c r="B142" s="22">
        <v>45774</v>
      </c>
      <c r="C142" s="23" t="str">
        <f>TEXT('Working Sheet'!$B142,"mmm")</f>
        <v>Apr</v>
      </c>
      <c r="D142" s="23" t="s">
        <v>25</v>
      </c>
      <c r="E142" s="23" t="s">
        <v>32</v>
      </c>
      <c r="F142" s="23" t="s">
        <v>23</v>
      </c>
      <c r="G142" s="23" t="s">
        <v>14</v>
      </c>
      <c r="H142" s="23" t="s">
        <v>15</v>
      </c>
      <c r="I142" s="23" t="s">
        <v>16</v>
      </c>
      <c r="J142" s="24">
        <v>85000</v>
      </c>
      <c r="K142" s="23">
        <v>6</v>
      </c>
      <c r="L142" s="23" t="s">
        <v>35</v>
      </c>
      <c r="M142" s="25">
        <f t="shared" si="5"/>
        <v>68000</v>
      </c>
      <c r="N142" s="25">
        <f>'Working Sheet'!$J142*'Working Sheet'!$K142</f>
        <v>510000</v>
      </c>
      <c r="O142" s="26">
        <f>'Working Sheet'!$M142*'Working Sheet'!$K142</f>
        <v>408000</v>
      </c>
      <c r="P142" s="25">
        <f>'Working Sheet'!$N142-'Working Sheet'!$O142</f>
        <v>102000</v>
      </c>
    </row>
    <row r="143" spans="1:16" ht="14.25" customHeight="1" x14ac:dyDescent="0.25">
      <c r="A143" s="18" t="str">
        <f t="shared" ca="1" si="4"/>
        <v>ID_1553</v>
      </c>
      <c r="B143" s="17">
        <v>45699</v>
      </c>
      <c r="C143" s="18" t="str">
        <f>TEXT('Working Sheet'!$B143,"mmm")</f>
        <v>Feb</v>
      </c>
      <c r="D143" s="18" t="s">
        <v>29</v>
      </c>
      <c r="E143" s="18" t="s">
        <v>12</v>
      </c>
      <c r="F143" s="18" t="s">
        <v>23</v>
      </c>
      <c r="G143" s="18" t="s">
        <v>14</v>
      </c>
      <c r="H143" s="18" t="s">
        <v>33</v>
      </c>
      <c r="I143" s="18" t="s">
        <v>22</v>
      </c>
      <c r="J143" s="19">
        <v>180000</v>
      </c>
      <c r="K143" s="18">
        <v>9</v>
      </c>
      <c r="L143" s="18" t="s">
        <v>37</v>
      </c>
      <c r="M143" s="20">
        <f t="shared" si="5"/>
        <v>144000</v>
      </c>
      <c r="N143" s="20">
        <f>'Working Sheet'!$J143*'Working Sheet'!$K143</f>
        <v>1620000</v>
      </c>
      <c r="O143" s="21">
        <f>'Working Sheet'!$M143*'Working Sheet'!$K143</f>
        <v>1296000</v>
      </c>
      <c r="P143" s="20">
        <f>'Working Sheet'!$N143-'Working Sheet'!$O143</f>
        <v>324000</v>
      </c>
    </row>
    <row r="144" spans="1:16" ht="14.25" customHeight="1" x14ac:dyDescent="0.25">
      <c r="A144" s="23" t="str">
        <f t="shared" ca="1" si="4"/>
        <v>ID_976</v>
      </c>
      <c r="B144" s="22">
        <v>45740</v>
      </c>
      <c r="C144" s="23" t="str">
        <f>TEXT('Working Sheet'!$B144,"mmm")</f>
        <v>Mar</v>
      </c>
      <c r="D144" s="23" t="s">
        <v>11</v>
      </c>
      <c r="E144" s="23" t="s">
        <v>32</v>
      </c>
      <c r="F144" s="23" t="s">
        <v>23</v>
      </c>
      <c r="G144" s="23" t="s">
        <v>14</v>
      </c>
      <c r="H144" s="23" t="s">
        <v>21</v>
      </c>
      <c r="I144" s="23" t="s">
        <v>22</v>
      </c>
      <c r="J144" s="24">
        <v>30000</v>
      </c>
      <c r="K144" s="23">
        <v>8</v>
      </c>
      <c r="L144" s="23" t="s">
        <v>37</v>
      </c>
      <c r="M144" s="25">
        <f t="shared" si="5"/>
        <v>24000</v>
      </c>
      <c r="N144" s="25">
        <f>'Working Sheet'!$J144*'Working Sheet'!$K144</f>
        <v>240000</v>
      </c>
      <c r="O144" s="26">
        <f>'Working Sheet'!$M144*'Working Sheet'!$K144</f>
        <v>192000</v>
      </c>
      <c r="P144" s="25">
        <f>'Working Sheet'!$N144-'Working Sheet'!$O144</f>
        <v>48000</v>
      </c>
    </row>
    <row r="145" spans="1:16" ht="14.25" customHeight="1" x14ac:dyDescent="0.25">
      <c r="A145" s="18" t="str">
        <f t="shared" ca="1" si="4"/>
        <v>ID_1144</v>
      </c>
      <c r="B145" s="17">
        <v>45679</v>
      </c>
      <c r="C145" s="18" t="str">
        <f>TEXT('Working Sheet'!$B145,"mmm")</f>
        <v>Jan</v>
      </c>
      <c r="D145" s="18" t="s">
        <v>25</v>
      </c>
      <c r="E145" s="18" t="s">
        <v>12</v>
      </c>
      <c r="F145" s="18" t="s">
        <v>23</v>
      </c>
      <c r="G145" s="18" t="s">
        <v>20</v>
      </c>
      <c r="H145" s="18" t="s">
        <v>15</v>
      </c>
      <c r="I145" s="18" t="s">
        <v>16</v>
      </c>
      <c r="J145" s="19">
        <v>85000</v>
      </c>
      <c r="K145" s="18">
        <v>1</v>
      </c>
      <c r="L145" s="18" t="s">
        <v>24</v>
      </c>
      <c r="M145" s="20">
        <f t="shared" si="5"/>
        <v>68000</v>
      </c>
      <c r="N145" s="20">
        <f>'Working Sheet'!$J145*'Working Sheet'!$K145</f>
        <v>85000</v>
      </c>
      <c r="O145" s="21">
        <f>'Working Sheet'!$M145*'Working Sheet'!$K145</f>
        <v>68000</v>
      </c>
      <c r="P145" s="20">
        <f>'Working Sheet'!$N145-'Working Sheet'!$O145</f>
        <v>17000</v>
      </c>
    </row>
    <row r="146" spans="1:16" ht="14.25" customHeight="1" x14ac:dyDescent="0.25">
      <c r="A146" s="23" t="str">
        <f t="shared" ca="1" si="4"/>
        <v>ID_1351</v>
      </c>
      <c r="B146" s="22">
        <v>45693</v>
      </c>
      <c r="C146" s="23" t="str">
        <f>TEXT('Working Sheet'!$B146,"mmm")</f>
        <v>Feb</v>
      </c>
      <c r="D146" s="23" t="s">
        <v>11</v>
      </c>
      <c r="E146" s="23" t="s">
        <v>32</v>
      </c>
      <c r="F146" s="23" t="s">
        <v>23</v>
      </c>
      <c r="G146" s="23" t="s">
        <v>14</v>
      </c>
      <c r="H146" s="23" t="s">
        <v>21</v>
      </c>
      <c r="I146" s="23" t="s">
        <v>22</v>
      </c>
      <c r="J146" s="24">
        <v>30000</v>
      </c>
      <c r="K146" s="23">
        <v>8</v>
      </c>
      <c r="L146" s="23" t="s">
        <v>39</v>
      </c>
      <c r="M146" s="25">
        <f t="shared" si="5"/>
        <v>24000</v>
      </c>
      <c r="N146" s="25">
        <f>'Working Sheet'!$J146*'Working Sheet'!$K146</f>
        <v>240000</v>
      </c>
      <c r="O146" s="26">
        <f>'Working Sheet'!$M146*'Working Sheet'!$K146</f>
        <v>192000</v>
      </c>
      <c r="P146" s="25">
        <f>'Working Sheet'!$N146-'Working Sheet'!$O146</f>
        <v>48000</v>
      </c>
    </row>
    <row r="147" spans="1:16" ht="14.25" customHeight="1" x14ac:dyDescent="0.25">
      <c r="A147" s="18" t="str">
        <f t="shared" ca="1" si="4"/>
        <v>ID_1720</v>
      </c>
      <c r="B147" s="17">
        <v>45673</v>
      </c>
      <c r="C147" s="18" t="str">
        <f>TEXT('Working Sheet'!$B147,"mmm")</f>
        <v>Jan</v>
      </c>
      <c r="D147" s="18" t="s">
        <v>29</v>
      </c>
      <c r="E147" s="18" t="s">
        <v>26</v>
      </c>
      <c r="F147" s="18" t="s">
        <v>13</v>
      </c>
      <c r="G147" s="18" t="s">
        <v>14</v>
      </c>
      <c r="H147" s="18" t="s">
        <v>34</v>
      </c>
      <c r="I147" s="18" t="s">
        <v>16</v>
      </c>
      <c r="J147" s="19">
        <v>320000</v>
      </c>
      <c r="K147" s="18">
        <v>2</v>
      </c>
      <c r="L147" s="18" t="s">
        <v>37</v>
      </c>
      <c r="M147" s="20">
        <f t="shared" si="5"/>
        <v>256000</v>
      </c>
      <c r="N147" s="20">
        <f>'Working Sheet'!$J147*'Working Sheet'!$K147</f>
        <v>640000</v>
      </c>
      <c r="O147" s="21">
        <f>'Working Sheet'!$M147*'Working Sheet'!$K147</f>
        <v>512000</v>
      </c>
      <c r="P147" s="20">
        <f>'Working Sheet'!$N147-'Working Sheet'!$O147</f>
        <v>128000</v>
      </c>
    </row>
    <row r="148" spans="1:16" ht="14.25" customHeight="1" x14ac:dyDescent="0.25">
      <c r="A148" s="23" t="str">
        <f t="shared" ca="1" si="4"/>
        <v>ID_616</v>
      </c>
      <c r="B148" s="22">
        <v>45731</v>
      </c>
      <c r="C148" s="23" t="str">
        <f>TEXT('Working Sheet'!$B148,"mmm")</f>
        <v>Mar</v>
      </c>
      <c r="D148" s="23" t="s">
        <v>18</v>
      </c>
      <c r="E148" s="23" t="s">
        <v>12</v>
      </c>
      <c r="F148" s="23" t="s">
        <v>13</v>
      </c>
      <c r="G148" s="23" t="s">
        <v>14</v>
      </c>
      <c r="H148" s="23" t="s">
        <v>36</v>
      </c>
      <c r="I148" s="23" t="s">
        <v>31</v>
      </c>
      <c r="J148" s="24">
        <v>150000</v>
      </c>
      <c r="K148" s="23">
        <v>5</v>
      </c>
      <c r="L148" s="23" t="s">
        <v>37</v>
      </c>
      <c r="M148" s="25">
        <f t="shared" si="5"/>
        <v>120000</v>
      </c>
      <c r="N148" s="25">
        <f>'Working Sheet'!$J148*'Working Sheet'!$K148</f>
        <v>750000</v>
      </c>
      <c r="O148" s="26">
        <f>'Working Sheet'!$M148*'Working Sheet'!$K148</f>
        <v>600000</v>
      </c>
      <c r="P148" s="25">
        <f>'Working Sheet'!$N148-'Working Sheet'!$O148</f>
        <v>150000</v>
      </c>
    </row>
    <row r="149" spans="1:16" ht="14.25" customHeight="1" x14ac:dyDescent="0.25">
      <c r="A149" s="18" t="str">
        <f t="shared" ca="1" si="4"/>
        <v>ID_166</v>
      </c>
      <c r="B149" s="17">
        <v>45739</v>
      </c>
      <c r="C149" s="18" t="str">
        <f>TEXT('Working Sheet'!$B149,"mmm")</f>
        <v>Mar</v>
      </c>
      <c r="D149" s="18" t="s">
        <v>18</v>
      </c>
      <c r="E149" s="18" t="s">
        <v>26</v>
      </c>
      <c r="F149" s="18" t="s">
        <v>23</v>
      </c>
      <c r="G149" s="18" t="s">
        <v>14</v>
      </c>
      <c r="H149" s="18" t="s">
        <v>40</v>
      </c>
      <c r="I149" s="18" t="s">
        <v>31</v>
      </c>
      <c r="J149" s="19">
        <v>250000</v>
      </c>
      <c r="K149" s="18">
        <v>5</v>
      </c>
      <c r="L149" s="18" t="s">
        <v>39</v>
      </c>
      <c r="M149" s="20">
        <f t="shared" si="5"/>
        <v>200000</v>
      </c>
      <c r="N149" s="20">
        <f>'Working Sheet'!$J149*'Working Sheet'!$K149</f>
        <v>1250000</v>
      </c>
      <c r="O149" s="21">
        <f>'Working Sheet'!$M149*'Working Sheet'!$K149</f>
        <v>1000000</v>
      </c>
      <c r="P149" s="20">
        <f>'Working Sheet'!$N149-'Working Sheet'!$O149</f>
        <v>250000</v>
      </c>
    </row>
    <row r="150" spans="1:16" ht="14.25" customHeight="1" x14ac:dyDescent="0.25">
      <c r="A150" s="23" t="str">
        <f t="shared" ca="1" si="4"/>
        <v>ID_2019</v>
      </c>
      <c r="B150" s="22">
        <v>45676</v>
      </c>
      <c r="C150" s="23" t="str">
        <f>TEXT('Working Sheet'!$B150,"mmm")</f>
        <v>Jan</v>
      </c>
      <c r="D150" s="23" t="s">
        <v>29</v>
      </c>
      <c r="E150" s="23" t="s">
        <v>32</v>
      </c>
      <c r="F150" s="23" t="s">
        <v>23</v>
      </c>
      <c r="G150" s="23" t="s">
        <v>14</v>
      </c>
      <c r="H150" s="23" t="s">
        <v>41</v>
      </c>
      <c r="I150" s="23" t="s">
        <v>22</v>
      </c>
      <c r="J150" s="24">
        <v>220000</v>
      </c>
      <c r="K150" s="23">
        <v>10</v>
      </c>
      <c r="L150" s="23" t="s">
        <v>24</v>
      </c>
      <c r="M150" s="25">
        <f t="shared" si="5"/>
        <v>176000</v>
      </c>
      <c r="N150" s="25">
        <f>'Working Sheet'!$J150*'Working Sheet'!$K150</f>
        <v>2200000</v>
      </c>
      <c r="O150" s="26">
        <f>'Working Sheet'!$M150*'Working Sheet'!$K150</f>
        <v>1760000</v>
      </c>
      <c r="P150" s="25">
        <f>'Working Sheet'!$N150-'Working Sheet'!$O150</f>
        <v>440000</v>
      </c>
    </row>
    <row r="151" spans="1:16" ht="14.25" customHeight="1" x14ac:dyDescent="0.25">
      <c r="A151" s="18" t="str">
        <f t="shared" ca="1" si="4"/>
        <v>ID_2</v>
      </c>
      <c r="B151" s="17">
        <v>45760</v>
      </c>
      <c r="C151" s="18" t="str">
        <f>TEXT('Working Sheet'!$B151,"mmm")</f>
        <v>Apr</v>
      </c>
      <c r="D151" s="18" t="s">
        <v>29</v>
      </c>
      <c r="E151" s="18" t="s">
        <v>26</v>
      </c>
      <c r="F151" s="18" t="s">
        <v>23</v>
      </c>
      <c r="G151" s="18" t="s">
        <v>14</v>
      </c>
      <c r="H151" s="18" t="s">
        <v>27</v>
      </c>
      <c r="I151" s="18" t="s">
        <v>22</v>
      </c>
      <c r="J151" s="19">
        <v>60000</v>
      </c>
      <c r="K151" s="18">
        <v>2</v>
      </c>
      <c r="L151" s="18" t="s">
        <v>35</v>
      </c>
      <c r="M151" s="20">
        <f t="shared" si="5"/>
        <v>48000</v>
      </c>
      <c r="N151" s="20">
        <f>'Working Sheet'!$J151*'Working Sheet'!$K151</f>
        <v>120000</v>
      </c>
      <c r="O151" s="21">
        <f>'Working Sheet'!$M151*'Working Sheet'!$K151</f>
        <v>96000</v>
      </c>
      <c r="P151" s="20">
        <f>'Working Sheet'!$N151-'Working Sheet'!$O151</f>
        <v>24000</v>
      </c>
    </row>
    <row r="152" spans="1:16" ht="14.25" customHeight="1" x14ac:dyDescent="0.25">
      <c r="A152" s="23" t="str">
        <f t="shared" ca="1" si="4"/>
        <v>ID_815</v>
      </c>
      <c r="B152" s="22">
        <v>45673</v>
      </c>
      <c r="C152" s="23" t="str">
        <f>TEXT('Working Sheet'!$B152,"mmm")</f>
        <v>Jan</v>
      </c>
      <c r="D152" s="23" t="s">
        <v>29</v>
      </c>
      <c r="E152" s="23" t="s">
        <v>26</v>
      </c>
      <c r="F152" s="23" t="s">
        <v>23</v>
      </c>
      <c r="G152" s="23" t="s">
        <v>20</v>
      </c>
      <c r="H152" s="23" t="s">
        <v>40</v>
      </c>
      <c r="I152" s="23" t="s">
        <v>31</v>
      </c>
      <c r="J152" s="24">
        <v>250000</v>
      </c>
      <c r="K152" s="23">
        <v>1</v>
      </c>
      <c r="L152" s="23" t="s">
        <v>37</v>
      </c>
      <c r="M152" s="25">
        <f t="shared" si="5"/>
        <v>200000</v>
      </c>
      <c r="N152" s="25">
        <f>'Working Sheet'!$J152*'Working Sheet'!$K152</f>
        <v>250000</v>
      </c>
      <c r="O152" s="26">
        <f>'Working Sheet'!$M152*'Working Sheet'!$K152</f>
        <v>200000</v>
      </c>
      <c r="P152" s="25">
        <f>'Working Sheet'!$N152-'Working Sheet'!$O152</f>
        <v>50000</v>
      </c>
    </row>
    <row r="153" spans="1:16" ht="14.25" customHeight="1" x14ac:dyDescent="0.25">
      <c r="A153" s="18" t="str">
        <f t="shared" ca="1" si="4"/>
        <v>ID_293</v>
      </c>
      <c r="B153" s="17">
        <v>45672</v>
      </c>
      <c r="C153" s="18" t="str">
        <f>TEXT('Working Sheet'!$B153,"mmm")</f>
        <v>Jan</v>
      </c>
      <c r="D153" s="18" t="s">
        <v>11</v>
      </c>
      <c r="E153" s="18" t="s">
        <v>12</v>
      </c>
      <c r="F153" s="18" t="s">
        <v>13</v>
      </c>
      <c r="G153" s="18" t="s">
        <v>14</v>
      </c>
      <c r="H153" s="18" t="s">
        <v>33</v>
      </c>
      <c r="I153" s="18" t="s">
        <v>22</v>
      </c>
      <c r="J153" s="19">
        <v>180000</v>
      </c>
      <c r="K153" s="18">
        <v>8</v>
      </c>
      <c r="L153" s="18" t="s">
        <v>39</v>
      </c>
      <c r="M153" s="20">
        <f t="shared" si="5"/>
        <v>144000</v>
      </c>
      <c r="N153" s="20">
        <f>'Working Sheet'!$J153*'Working Sheet'!$K153</f>
        <v>1440000</v>
      </c>
      <c r="O153" s="21">
        <f>'Working Sheet'!$M153*'Working Sheet'!$K153</f>
        <v>1152000</v>
      </c>
      <c r="P153" s="20">
        <f>'Working Sheet'!$N153-'Working Sheet'!$O153</f>
        <v>288000</v>
      </c>
    </row>
    <row r="154" spans="1:16" ht="14.25" customHeight="1" x14ac:dyDescent="0.25">
      <c r="A154" s="23" t="str">
        <f t="shared" ca="1" si="4"/>
        <v>ID_1472</v>
      </c>
      <c r="B154" s="22">
        <v>45658</v>
      </c>
      <c r="C154" s="23" t="str">
        <f>TEXT('Working Sheet'!$B154,"mmm")</f>
        <v>Jan</v>
      </c>
      <c r="D154" s="23" t="s">
        <v>29</v>
      </c>
      <c r="E154" s="23" t="s">
        <v>19</v>
      </c>
      <c r="F154" s="23" t="s">
        <v>13</v>
      </c>
      <c r="G154" s="23" t="s">
        <v>14</v>
      </c>
      <c r="H154" s="23" t="s">
        <v>36</v>
      </c>
      <c r="I154" s="23" t="s">
        <v>31</v>
      </c>
      <c r="J154" s="24">
        <v>150000</v>
      </c>
      <c r="K154" s="23">
        <v>1</v>
      </c>
      <c r="L154" s="23" t="s">
        <v>17</v>
      </c>
      <c r="M154" s="25">
        <f t="shared" si="5"/>
        <v>120000</v>
      </c>
      <c r="N154" s="25">
        <f>'Working Sheet'!$J154*'Working Sheet'!$K154</f>
        <v>150000</v>
      </c>
      <c r="O154" s="26">
        <f>'Working Sheet'!$M154*'Working Sheet'!$K154</f>
        <v>120000</v>
      </c>
      <c r="P154" s="25">
        <f>'Working Sheet'!$N154-'Working Sheet'!$O154</f>
        <v>30000</v>
      </c>
    </row>
    <row r="155" spans="1:16" ht="14.25" customHeight="1" x14ac:dyDescent="0.25">
      <c r="A155" s="18" t="str">
        <f t="shared" ca="1" si="4"/>
        <v>ID_687</v>
      </c>
      <c r="B155" s="17">
        <v>45689</v>
      </c>
      <c r="C155" s="18" t="str">
        <f>TEXT('Working Sheet'!$B155,"mmm")</f>
        <v>Feb</v>
      </c>
      <c r="D155" s="18" t="s">
        <v>29</v>
      </c>
      <c r="E155" s="18" t="s">
        <v>32</v>
      </c>
      <c r="F155" s="18" t="s">
        <v>13</v>
      </c>
      <c r="G155" s="18" t="s">
        <v>14</v>
      </c>
      <c r="H155" s="18" t="s">
        <v>21</v>
      </c>
      <c r="I155" s="18" t="s">
        <v>22</v>
      </c>
      <c r="J155" s="19">
        <v>30000</v>
      </c>
      <c r="K155" s="18">
        <v>6</v>
      </c>
      <c r="L155" s="18" t="s">
        <v>24</v>
      </c>
      <c r="M155" s="20">
        <f t="shared" si="5"/>
        <v>24000</v>
      </c>
      <c r="N155" s="20">
        <f>'Working Sheet'!$J155*'Working Sheet'!$K155</f>
        <v>180000</v>
      </c>
      <c r="O155" s="21">
        <f>'Working Sheet'!$M155*'Working Sheet'!$K155</f>
        <v>144000</v>
      </c>
      <c r="P155" s="20">
        <f>'Working Sheet'!$N155-'Working Sheet'!$O155</f>
        <v>36000</v>
      </c>
    </row>
    <row r="156" spans="1:16" ht="14.25" customHeight="1" x14ac:dyDescent="0.25">
      <c r="A156" s="23" t="str">
        <f t="shared" ca="1" si="4"/>
        <v>ID_546</v>
      </c>
      <c r="B156" s="22">
        <v>45678</v>
      </c>
      <c r="C156" s="23" t="str">
        <f>TEXT('Working Sheet'!$B156,"mmm")</f>
        <v>Jan</v>
      </c>
      <c r="D156" s="23" t="s">
        <v>11</v>
      </c>
      <c r="E156" s="23" t="s">
        <v>12</v>
      </c>
      <c r="F156" s="23" t="s">
        <v>23</v>
      </c>
      <c r="G156" s="23" t="s">
        <v>14</v>
      </c>
      <c r="H156" s="23" t="s">
        <v>41</v>
      </c>
      <c r="I156" s="23" t="s">
        <v>22</v>
      </c>
      <c r="J156" s="24">
        <v>220000</v>
      </c>
      <c r="K156" s="23">
        <v>10</v>
      </c>
      <c r="L156" s="23" t="s">
        <v>39</v>
      </c>
      <c r="M156" s="25">
        <f t="shared" si="5"/>
        <v>176000</v>
      </c>
      <c r="N156" s="25">
        <f>'Working Sheet'!$J156*'Working Sheet'!$K156</f>
        <v>2200000</v>
      </c>
      <c r="O156" s="26">
        <f>'Working Sheet'!$M156*'Working Sheet'!$K156</f>
        <v>1760000</v>
      </c>
      <c r="P156" s="25">
        <f>'Working Sheet'!$N156-'Working Sheet'!$O156</f>
        <v>440000</v>
      </c>
    </row>
    <row r="157" spans="1:16" ht="14.25" customHeight="1" x14ac:dyDescent="0.25">
      <c r="A157" s="18" t="str">
        <f t="shared" ca="1" si="4"/>
        <v>ID_1383</v>
      </c>
      <c r="B157" s="17">
        <v>45674</v>
      </c>
      <c r="C157" s="18" t="str">
        <f>TEXT('Working Sheet'!$B157,"mmm")</f>
        <v>Jan</v>
      </c>
      <c r="D157" s="18" t="s">
        <v>11</v>
      </c>
      <c r="E157" s="18" t="s">
        <v>12</v>
      </c>
      <c r="F157" s="18" t="s">
        <v>13</v>
      </c>
      <c r="G157" s="18" t="s">
        <v>20</v>
      </c>
      <c r="H157" s="18" t="s">
        <v>38</v>
      </c>
      <c r="I157" s="18" t="s">
        <v>31</v>
      </c>
      <c r="J157" s="19">
        <v>420000</v>
      </c>
      <c r="K157" s="18">
        <v>1</v>
      </c>
      <c r="L157" s="18" t="s">
        <v>24</v>
      </c>
      <c r="M157" s="20">
        <f t="shared" si="5"/>
        <v>336000</v>
      </c>
      <c r="N157" s="20">
        <f>'Working Sheet'!$J157*'Working Sheet'!$K157</f>
        <v>420000</v>
      </c>
      <c r="O157" s="21">
        <f>'Working Sheet'!$M157*'Working Sheet'!$K157</f>
        <v>336000</v>
      </c>
      <c r="P157" s="20">
        <f>'Working Sheet'!$N157-'Working Sheet'!$O157</f>
        <v>84000</v>
      </c>
    </row>
    <row r="158" spans="1:16" ht="14.25" customHeight="1" x14ac:dyDescent="0.25">
      <c r="A158" s="23" t="str">
        <f t="shared" ca="1" si="4"/>
        <v>ID_2027</v>
      </c>
      <c r="B158" s="22">
        <v>45671</v>
      </c>
      <c r="C158" s="23" t="str">
        <f>TEXT('Working Sheet'!$B158,"mmm")</f>
        <v>Jan</v>
      </c>
      <c r="D158" s="23" t="s">
        <v>11</v>
      </c>
      <c r="E158" s="23" t="s">
        <v>19</v>
      </c>
      <c r="F158" s="23" t="s">
        <v>23</v>
      </c>
      <c r="G158" s="23" t="s">
        <v>20</v>
      </c>
      <c r="H158" s="23" t="s">
        <v>30</v>
      </c>
      <c r="I158" s="23" t="s">
        <v>31</v>
      </c>
      <c r="J158" s="24">
        <v>300000</v>
      </c>
      <c r="K158" s="23">
        <v>8</v>
      </c>
      <c r="L158" s="23" t="s">
        <v>24</v>
      </c>
      <c r="M158" s="25">
        <f t="shared" si="5"/>
        <v>240000</v>
      </c>
      <c r="N158" s="25">
        <f>'Working Sheet'!$J158*'Working Sheet'!$K158</f>
        <v>2400000</v>
      </c>
      <c r="O158" s="26">
        <f>'Working Sheet'!$M158*'Working Sheet'!$K158</f>
        <v>1920000</v>
      </c>
      <c r="P158" s="25">
        <f>'Working Sheet'!$N158-'Working Sheet'!$O158</f>
        <v>480000</v>
      </c>
    </row>
    <row r="159" spans="1:16" ht="14.25" customHeight="1" x14ac:dyDescent="0.25">
      <c r="A159" s="18" t="str">
        <f t="shared" ca="1" si="4"/>
        <v>ID_318</v>
      </c>
      <c r="B159" s="17">
        <v>45714</v>
      </c>
      <c r="C159" s="18" t="str">
        <f>TEXT('Working Sheet'!$B159,"mmm")</f>
        <v>Feb</v>
      </c>
      <c r="D159" s="18" t="s">
        <v>29</v>
      </c>
      <c r="E159" s="18" t="s">
        <v>32</v>
      </c>
      <c r="F159" s="18" t="s">
        <v>23</v>
      </c>
      <c r="G159" s="18" t="s">
        <v>14</v>
      </c>
      <c r="H159" s="18" t="s">
        <v>40</v>
      </c>
      <c r="I159" s="18" t="s">
        <v>31</v>
      </c>
      <c r="J159" s="19">
        <v>250000</v>
      </c>
      <c r="K159" s="18">
        <v>3</v>
      </c>
      <c r="L159" s="18" t="s">
        <v>17</v>
      </c>
      <c r="M159" s="20">
        <f t="shared" si="5"/>
        <v>200000</v>
      </c>
      <c r="N159" s="20">
        <f>'Working Sheet'!$J159*'Working Sheet'!$K159</f>
        <v>750000</v>
      </c>
      <c r="O159" s="21">
        <f>'Working Sheet'!$M159*'Working Sheet'!$K159</f>
        <v>600000</v>
      </c>
      <c r="P159" s="20">
        <f>'Working Sheet'!$N159-'Working Sheet'!$O159</f>
        <v>150000</v>
      </c>
    </row>
    <row r="160" spans="1:16" ht="14.25" customHeight="1" x14ac:dyDescent="0.25">
      <c r="A160" s="23" t="str">
        <f t="shared" ca="1" si="4"/>
        <v>ID_1151</v>
      </c>
      <c r="B160" s="22">
        <v>45729</v>
      </c>
      <c r="C160" s="23" t="str">
        <f>TEXT('Working Sheet'!$B160,"mmm")</f>
        <v>Mar</v>
      </c>
      <c r="D160" s="23" t="s">
        <v>11</v>
      </c>
      <c r="E160" s="23" t="s">
        <v>32</v>
      </c>
      <c r="F160" s="23" t="s">
        <v>23</v>
      </c>
      <c r="G160" s="23" t="s">
        <v>14</v>
      </c>
      <c r="H160" s="23" t="s">
        <v>30</v>
      </c>
      <c r="I160" s="23" t="s">
        <v>31</v>
      </c>
      <c r="J160" s="24">
        <v>300000</v>
      </c>
      <c r="K160" s="23">
        <v>4</v>
      </c>
      <c r="L160" s="23" t="s">
        <v>35</v>
      </c>
      <c r="M160" s="25">
        <f t="shared" si="5"/>
        <v>240000</v>
      </c>
      <c r="N160" s="25">
        <f>'Working Sheet'!$J160*'Working Sheet'!$K160</f>
        <v>1200000</v>
      </c>
      <c r="O160" s="26">
        <f>'Working Sheet'!$M160*'Working Sheet'!$K160</f>
        <v>960000</v>
      </c>
      <c r="P160" s="25">
        <f>'Working Sheet'!$N160-'Working Sheet'!$O160</f>
        <v>240000</v>
      </c>
    </row>
    <row r="161" spans="1:16" ht="14.25" customHeight="1" x14ac:dyDescent="0.25">
      <c r="A161" s="18" t="str">
        <f t="shared" ca="1" si="4"/>
        <v>ID_1939</v>
      </c>
      <c r="B161" s="17">
        <v>45749</v>
      </c>
      <c r="C161" s="18" t="str">
        <f>TEXT('Working Sheet'!$B161,"mmm")</f>
        <v>Apr</v>
      </c>
      <c r="D161" s="18" t="s">
        <v>11</v>
      </c>
      <c r="E161" s="18" t="s">
        <v>26</v>
      </c>
      <c r="F161" s="18" t="s">
        <v>13</v>
      </c>
      <c r="G161" s="18" t="s">
        <v>14</v>
      </c>
      <c r="H161" s="18" t="s">
        <v>36</v>
      </c>
      <c r="I161" s="18" t="s">
        <v>31</v>
      </c>
      <c r="J161" s="19">
        <v>150000</v>
      </c>
      <c r="K161" s="18">
        <v>6</v>
      </c>
      <c r="L161" s="18" t="s">
        <v>35</v>
      </c>
      <c r="M161" s="20">
        <f t="shared" si="5"/>
        <v>120000</v>
      </c>
      <c r="N161" s="20">
        <f>'Working Sheet'!$J161*'Working Sheet'!$K161</f>
        <v>900000</v>
      </c>
      <c r="O161" s="21">
        <f>'Working Sheet'!$M161*'Working Sheet'!$K161</f>
        <v>720000</v>
      </c>
      <c r="P161" s="20">
        <f>'Working Sheet'!$N161-'Working Sheet'!$O161</f>
        <v>180000</v>
      </c>
    </row>
    <row r="162" spans="1:16" ht="14.25" customHeight="1" x14ac:dyDescent="0.25">
      <c r="A162" s="23" t="str">
        <f t="shared" ca="1" si="4"/>
        <v>ID_534</v>
      </c>
      <c r="B162" s="22">
        <v>45761</v>
      </c>
      <c r="C162" s="23" t="str">
        <f>TEXT('Working Sheet'!$B162,"mmm")</f>
        <v>Apr</v>
      </c>
      <c r="D162" s="23" t="s">
        <v>11</v>
      </c>
      <c r="E162" s="23" t="s">
        <v>32</v>
      </c>
      <c r="F162" s="23" t="s">
        <v>13</v>
      </c>
      <c r="G162" s="23" t="s">
        <v>14</v>
      </c>
      <c r="H162" s="23" t="s">
        <v>38</v>
      </c>
      <c r="I162" s="23" t="s">
        <v>31</v>
      </c>
      <c r="J162" s="24">
        <v>420000</v>
      </c>
      <c r="K162" s="23">
        <v>2</v>
      </c>
      <c r="L162" s="23" t="s">
        <v>17</v>
      </c>
      <c r="M162" s="25">
        <f t="shared" si="5"/>
        <v>336000</v>
      </c>
      <c r="N162" s="25">
        <f>'Working Sheet'!$J162*'Working Sheet'!$K162</f>
        <v>840000</v>
      </c>
      <c r="O162" s="26">
        <f>'Working Sheet'!$M162*'Working Sheet'!$K162</f>
        <v>672000</v>
      </c>
      <c r="P162" s="25">
        <f>'Working Sheet'!$N162-'Working Sheet'!$O162</f>
        <v>168000</v>
      </c>
    </row>
    <row r="163" spans="1:16" ht="14.25" customHeight="1" x14ac:dyDescent="0.25">
      <c r="A163" s="18" t="str">
        <f t="shared" ca="1" si="4"/>
        <v>ID_1547</v>
      </c>
      <c r="B163" s="17">
        <v>45684</v>
      </c>
      <c r="C163" s="18" t="str">
        <f>TEXT('Working Sheet'!$B163,"mmm")</f>
        <v>Jan</v>
      </c>
      <c r="D163" s="18" t="s">
        <v>25</v>
      </c>
      <c r="E163" s="18" t="s">
        <v>19</v>
      </c>
      <c r="F163" s="18" t="s">
        <v>13</v>
      </c>
      <c r="G163" s="18" t="s">
        <v>14</v>
      </c>
      <c r="H163" s="18" t="s">
        <v>41</v>
      </c>
      <c r="I163" s="18" t="s">
        <v>22</v>
      </c>
      <c r="J163" s="19">
        <v>220000</v>
      </c>
      <c r="K163" s="18">
        <v>1</v>
      </c>
      <c r="L163" s="18" t="s">
        <v>24</v>
      </c>
      <c r="M163" s="20">
        <f t="shared" si="5"/>
        <v>176000</v>
      </c>
      <c r="N163" s="20">
        <f>'Working Sheet'!$J163*'Working Sheet'!$K163</f>
        <v>220000</v>
      </c>
      <c r="O163" s="21">
        <f>'Working Sheet'!$M163*'Working Sheet'!$K163</f>
        <v>176000</v>
      </c>
      <c r="P163" s="20">
        <f>'Working Sheet'!$N163-'Working Sheet'!$O163</f>
        <v>44000</v>
      </c>
    </row>
    <row r="164" spans="1:16" ht="14.25" customHeight="1" x14ac:dyDescent="0.25">
      <c r="A164" s="23" t="str">
        <f t="shared" ca="1" si="4"/>
        <v>ID_1830</v>
      </c>
      <c r="B164" s="22">
        <v>45764</v>
      </c>
      <c r="C164" s="23" t="str">
        <f>TEXT('Working Sheet'!$B164,"mmm")</f>
        <v>Apr</v>
      </c>
      <c r="D164" s="23" t="s">
        <v>25</v>
      </c>
      <c r="E164" s="23" t="s">
        <v>32</v>
      </c>
      <c r="F164" s="23" t="s">
        <v>13</v>
      </c>
      <c r="G164" s="23" t="s">
        <v>20</v>
      </c>
      <c r="H164" s="23" t="s">
        <v>41</v>
      </c>
      <c r="I164" s="23" t="s">
        <v>22</v>
      </c>
      <c r="J164" s="24">
        <v>220000</v>
      </c>
      <c r="K164" s="23">
        <v>8</v>
      </c>
      <c r="L164" s="23" t="s">
        <v>37</v>
      </c>
      <c r="M164" s="25">
        <f t="shared" si="5"/>
        <v>176000</v>
      </c>
      <c r="N164" s="25">
        <f>'Working Sheet'!$J164*'Working Sheet'!$K164</f>
        <v>1760000</v>
      </c>
      <c r="O164" s="26">
        <f>'Working Sheet'!$M164*'Working Sheet'!$K164</f>
        <v>1408000</v>
      </c>
      <c r="P164" s="25">
        <f>'Working Sheet'!$N164-'Working Sheet'!$O164</f>
        <v>352000</v>
      </c>
    </row>
    <row r="165" spans="1:16" ht="14.25" customHeight="1" x14ac:dyDescent="0.25">
      <c r="A165" s="18" t="str">
        <f t="shared" ca="1" si="4"/>
        <v>ID_605</v>
      </c>
      <c r="B165" s="17">
        <v>45735</v>
      </c>
      <c r="C165" s="18" t="str">
        <f>TEXT('Working Sheet'!$B165,"mmm")</f>
        <v>Mar</v>
      </c>
      <c r="D165" s="18" t="s">
        <v>29</v>
      </c>
      <c r="E165" s="18" t="s">
        <v>26</v>
      </c>
      <c r="F165" s="18" t="s">
        <v>13</v>
      </c>
      <c r="G165" s="18" t="s">
        <v>20</v>
      </c>
      <c r="H165" s="18" t="s">
        <v>21</v>
      </c>
      <c r="I165" s="18" t="s">
        <v>22</v>
      </c>
      <c r="J165" s="19">
        <v>30000</v>
      </c>
      <c r="K165" s="18">
        <v>10</v>
      </c>
      <c r="L165" s="18" t="s">
        <v>39</v>
      </c>
      <c r="M165" s="20">
        <f t="shared" si="5"/>
        <v>24000</v>
      </c>
      <c r="N165" s="20">
        <f>'Working Sheet'!$J165*'Working Sheet'!$K165</f>
        <v>300000</v>
      </c>
      <c r="O165" s="21">
        <f>'Working Sheet'!$M165*'Working Sheet'!$K165</f>
        <v>240000</v>
      </c>
      <c r="P165" s="20">
        <f>'Working Sheet'!$N165-'Working Sheet'!$O165</f>
        <v>60000</v>
      </c>
    </row>
    <row r="166" spans="1:16" ht="14.25" customHeight="1" x14ac:dyDescent="0.25">
      <c r="A166" s="23" t="str">
        <f t="shared" ca="1" si="4"/>
        <v>ID_1737</v>
      </c>
      <c r="B166" s="22">
        <v>45718</v>
      </c>
      <c r="C166" s="23" t="str">
        <f>TEXT('Working Sheet'!$B166,"mmm")</f>
        <v>Mar</v>
      </c>
      <c r="D166" s="23" t="s">
        <v>29</v>
      </c>
      <c r="E166" s="23" t="s">
        <v>19</v>
      </c>
      <c r="F166" s="23" t="s">
        <v>23</v>
      </c>
      <c r="G166" s="23" t="s">
        <v>14</v>
      </c>
      <c r="H166" s="23" t="s">
        <v>21</v>
      </c>
      <c r="I166" s="23" t="s">
        <v>22</v>
      </c>
      <c r="J166" s="24">
        <v>30000</v>
      </c>
      <c r="K166" s="23">
        <v>4</v>
      </c>
      <c r="L166" s="23" t="s">
        <v>39</v>
      </c>
      <c r="M166" s="25">
        <f t="shared" si="5"/>
        <v>24000</v>
      </c>
      <c r="N166" s="25">
        <f>'Working Sheet'!$J166*'Working Sheet'!$K166</f>
        <v>120000</v>
      </c>
      <c r="O166" s="26">
        <f>'Working Sheet'!$M166*'Working Sheet'!$K166</f>
        <v>96000</v>
      </c>
      <c r="P166" s="25">
        <f>'Working Sheet'!$N166-'Working Sheet'!$O166</f>
        <v>24000</v>
      </c>
    </row>
    <row r="167" spans="1:16" ht="14.25" customHeight="1" x14ac:dyDescent="0.25">
      <c r="A167" s="18" t="str">
        <f t="shared" ca="1" si="4"/>
        <v>ID_2063</v>
      </c>
      <c r="B167" s="17">
        <v>45754</v>
      </c>
      <c r="C167" s="18" t="str">
        <f>TEXT('Working Sheet'!$B167,"mmm")</f>
        <v>Apr</v>
      </c>
      <c r="D167" s="18" t="s">
        <v>11</v>
      </c>
      <c r="E167" s="18" t="s">
        <v>12</v>
      </c>
      <c r="F167" s="18" t="s">
        <v>23</v>
      </c>
      <c r="G167" s="18" t="s">
        <v>14</v>
      </c>
      <c r="H167" s="18" t="s">
        <v>33</v>
      </c>
      <c r="I167" s="18" t="s">
        <v>22</v>
      </c>
      <c r="J167" s="19">
        <v>180000</v>
      </c>
      <c r="K167" s="18">
        <v>6</v>
      </c>
      <c r="L167" s="18" t="s">
        <v>17</v>
      </c>
      <c r="M167" s="20">
        <f t="shared" si="5"/>
        <v>144000</v>
      </c>
      <c r="N167" s="20">
        <f>'Working Sheet'!$J167*'Working Sheet'!$K167</f>
        <v>1080000</v>
      </c>
      <c r="O167" s="21">
        <f>'Working Sheet'!$M167*'Working Sheet'!$K167</f>
        <v>864000</v>
      </c>
      <c r="P167" s="20">
        <f>'Working Sheet'!$N167-'Working Sheet'!$O167</f>
        <v>216000</v>
      </c>
    </row>
    <row r="168" spans="1:16" ht="14.25" customHeight="1" x14ac:dyDescent="0.25">
      <c r="A168" s="23" t="str">
        <f t="shared" ca="1" si="4"/>
        <v>ID_1853</v>
      </c>
      <c r="B168" s="22">
        <v>45750</v>
      </c>
      <c r="C168" s="23" t="str">
        <f>TEXT('Working Sheet'!$B168,"mmm")</f>
        <v>Apr</v>
      </c>
      <c r="D168" s="23" t="s">
        <v>11</v>
      </c>
      <c r="E168" s="23" t="s">
        <v>32</v>
      </c>
      <c r="F168" s="23" t="s">
        <v>23</v>
      </c>
      <c r="G168" s="23" t="s">
        <v>14</v>
      </c>
      <c r="H168" s="23" t="s">
        <v>30</v>
      </c>
      <c r="I168" s="23" t="s">
        <v>31</v>
      </c>
      <c r="J168" s="24">
        <v>300000</v>
      </c>
      <c r="K168" s="23">
        <v>2</v>
      </c>
      <c r="L168" s="23" t="s">
        <v>39</v>
      </c>
      <c r="M168" s="25">
        <f t="shared" si="5"/>
        <v>240000</v>
      </c>
      <c r="N168" s="25">
        <f>'Working Sheet'!$J168*'Working Sheet'!$K168</f>
        <v>600000</v>
      </c>
      <c r="O168" s="26">
        <f>'Working Sheet'!$M168*'Working Sheet'!$K168</f>
        <v>480000</v>
      </c>
      <c r="P168" s="25">
        <f>'Working Sheet'!$N168-'Working Sheet'!$O168</f>
        <v>120000</v>
      </c>
    </row>
    <row r="169" spans="1:16" ht="14.25" customHeight="1" x14ac:dyDescent="0.25">
      <c r="A169" s="18" t="str">
        <f t="shared" ca="1" si="4"/>
        <v>ID_1606</v>
      </c>
      <c r="B169" s="17">
        <v>45684</v>
      </c>
      <c r="C169" s="18" t="str">
        <f>TEXT('Working Sheet'!$B169,"mmm")</f>
        <v>Jan</v>
      </c>
      <c r="D169" s="18" t="s">
        <v>18</v>
      </c>
      <c r="E169" s="18" t="s">
        <v>19</v>
      </c>
      <c r="F169" s="18" t="s">
        <v>13</v>
      </c>
      <c r="G169" s="18" t="s">
        <v>14</v>
      </c>
      <c r="H169" s="18" t="s">
        <v>36</v>
      </c>
      <c r="I169" s="18" t="s">
        <v>31</v>
      </c>
      <c r="J169" s="19">
        <v>150000</v>
      </c>
      <c r="K169" s="18">
        <v>9</v>
      </c>
      <c r="L169" s="18" t="s">
        <v>17</v>
      </c>
      <c r="M169" s="20">
        <f t="shared" si="5"/>
        <v>120000</v>
      </c>
      <c r="N169" s="20">
        <f>'Working Sheet'!$J169*'Working Sheet'!$K169</f>
        <v>1350000</v>
      </c>
      <c r="O169" s="21">
        <f>'Working Sheet'!$M169*'Working Sheet'!$K169</f>
        <v>1080000</v>
      </c>
      <c r="P169" s="20">
        <f>'Working Sheet'!$N169-'Working Sheet'!$O169</f>
        <v>270000</v>
      </c>
    </row>
    <row r="170" spans="1:16" ht="14.25" customHeight="1" x14ac:dyDescent="0.25">
      <c r="A170" s="23" t="str">
        <f t="shared" ca="1" si="4"/>
        <v>ID_726</v>
      </c>
      <c r="B170" s="22">
        <v>45746</v>
      </c>
      <c r="C170" s="23" t="str">
        <f>TEXT('Working Sheet'!$B170,"mmm")</f>
        <v>Mar</v>
      </c>
      <c r="D170" s="23" t="s">
        <v>29</v>
      </c>
      <c r="E170" s="23" t="s">
        <v>12</v>
      </c>
      <c r="F170" s="23" t="s">
        <v>13</v>
      </c>
      <c r="G170" s="23" t="s">
        <v>20</v>
      </c>
      <c r="H170" s="23" t="s">
        <v>36</v>
      </c>
      <c r="I170" s="23" t="s">
        <v>31</v>
      </c>
      <c r="J170" s="24">
        <v>150000</v>
      </c>
      <c r="K170" s="23">
        <v>9</v>
      </c>
      <c r="L170" s="23" t="s">
        <v>24</v>
      </c>
      <c r="M170" s="25">
        <f t="shared" si="5"/>
        <v>120000</v>
      </c>
      <c r="N170" s="25">
        <f>'Working Sheet'!$J170*'Working Sheet'!$K170</f>
        <v>1350000</v>
      </c>
      <c r="O170" s="26">
        <f>'Working Sheet'!$M170*'Working Sheet'!$K170</f>
        <v>1080000</v>
      </c>
      <c r="P170" s="25">
        <f>'Working Sheet'!$N170-'Working Sheet'!$O170</f>
        <v>270000</v>
      </c>
    </row>
    <row r="171" spans="1:16" ht="14.25" customHeight="1" x14ac:dyDescent="0.25">
      <c r="A171" s="18" t="str">
        <f t="shared" ca="1" si="4"/>
        <v>ID_878</v>
      </c>
      <c r="B171" s="17">
        <v>45695</v>
      </c>
      <c r="C171" s="18" t="str">
        <f>TEXT('Working Sheet'!$B171,"mmm")</f>
        <v>Feb</v>
      </c>
      <c r="D171" s="18" t="s">
        <v>11</v>
      </c>
      <c r="E171" s="18" t="s">
        <v>12</v>
      </c>
      <c r="F171" s="18" t="s">
        <v>13</v>
      </c>
      <c r="G171" s="18" t="s">
        <v>14</v>
      </c>
      <c r="H171" s="18" t="s">
        <v>21</v>
      </c>
      <c r="I171" s="18" t="s">
        <v>22</v>
      </c>
      <c r="J171" s="19">
        <v>30000</v>
      </c>
      <c r="K171" s="18">
        <v>4</v>
      </c>
      <c r="L171" s="18" t="s">
        <v>17</v>
      </c>
      <c r="M171" s="20">
        <f t="shared" si="5"/>
        <v>24000</v>
      </c>
      <c r="N171" s="20">
        <f>'Working Sheet'!$J171*'Working Sheet'!$K171</f>
        <v>120000</v>
      </c>
      <c r="O171" s="21">
        <f>'Working Sheet'!$M171*'Working Sheet'!$K171</f>
        <v>96000</v>
      </c>
      <c r="P171" s="20">
        <f>'Working Sheet'!$N171-'Working Sheet'!$O171</f>
        <v>24000</v>
      </c>
    </row>
    <row r="172" spans="1:16" ht="14.25" customHeight="1" x14ac:dyDescent="0.25">
      <c r="A172" s="23" t="str">
        <f t="shared" ca="1" si="4"/>
        <v>ID_844</v>
      </c>
      <c r="B172" s="22">
        <v>45778</v>
      </c>
      <c r="C172" s="23" t="str">
        <f>TEXT('Working Sheet'!$B172,"mmm")</f>
        <v>May</v>
      </c>
      <c r="D172" s="23" t="s">
        <v>18</v>
      </c>
      <c r="E172" s="23" t="s">
        <v>26</v>
      </c>
      <c r="F172" s="23" t="s">
        <v>23</v>
      </c>
      <c r="G172" s="23" t="s">
        <v>14</v>
      </c>
      <c r="H172" s="23" t="s">
        <v>27</v>
      </c>
      <c r="I172" s="23" t="s">
        <v>22</v>
      </c>
      <c r="J172" s="24">
        <v>60000</v>
      </c>
      <c r="K172" s="23">
        <v>9</v>
      </c>
      <c r="L172" s="23" t="s">
        <v>28</v>
      </c>
      <c r="M172" s="25">
        <f t="shared" si="5"/>
        <v>48000</v>
      </c>
      <c r="N172" s="25">
        <f>'Working Sheet'!$J172*'Working Sheet'!$K172</f>
        <v>540000</v>
      </c>
      <c r="O172" s="26">
        <f>'Working Sheet'!$M172*'Working Sheet'!$K172</f>
        <v>432000</v>
      </c>
      <c r="P172" s="25">
        <f>'Working Sheet'!$N172-'Working Sheet'!$O172</f>
        <v>108000</v>
      </c>
    </row>
    <row r="173" spans="1:16" ht="14.25" customHeight="1" x14ac:dyDescent="0.25">
      <c r="A173" s="18" t="str">
        <f t="shared" ca="1" si="4"/>
        <v>ID_1721</v>
      </c>
      <c r="B173" s="17">
        <v>45667</v>
      </c>
      <c r="C173" s="18" t="str">
        <f>TEXT('Working Sheet'!$B173,"mmm")</f>
        <v>Jan</v>
      </c>
      <c r="D173" s="18" t="s">
        <v>25</v>
      </c>
      <c r="E173" s="18" t="s">
        <v>19</v>
      </c>
      <c r="F173" s="18" t="s">
        <v>13</v>
      </c>
      <c r="G173" s="18" t="s">
        <v>20</v>
      </c>
      <c r="H173" s="18" t="s">
        <v>30</v>
      </c>
      <c r="I173" s="18" t="s">
        <v>31</v>
      </c>
      <c r="J173" s="19">
        <v>300000</v>
      </c>
      <c r="K173" s="18">
        <v>9</v>
      </c>
      <c r="L173" s="18" t="s">
        <v>28</v>
      </c>
      <c r="M173" s="20">
        <f t="shared" si="5"/>
        <v>240000</v>
      </c>
      <c r="N173" s="20">
        <f>'Working Sheet'!$J173*'Working Sheet'!$K173</f>
        <v>2700000</v>
      </c>
      <c r="O173" s="21">
        <f>'Working Sheet'!$M173*'Working Sheet'!$K173</f>
        <v>2160000</v>
      </c>
      <c r="P173" s="20">
        <f>'Working Sheet'!$N173-'Working Sheet'!$O173</f>
        <v>540000</v>
      </c>
    </row>
    <row r="174" spans="1:16" ht="14.25" customHeight="1" x14ac:dyDescent="0.25">
      <c r="A174" s="23" t="str">
        <f t="shared" ca="1" si="4"/>
        <v>ID_1207</v>
      </c>
      <c r="B174" s="22">
        <v>45768</v>
      </c>
      <c r="C174" s="23" t="str">
        <f>TEXT('Working Sheet'!$B174,"mmm")</f>
        <v>Apr</v>
      </c>
      <c r="D174" s="23" t="s">
        <v>29</v>
      </c>
      <c r="E174" s="23" t="s">
        <v>32</v>
      </c>
      <c r="F174" s="23" t="s">
        <v>13</v>
      </c>
      <c r="G174" s="23" t="s">
        <v>14</v>
      </c>
      <c r="H174" s="23" t="s">
        <v>34</v>
      </c>
      <c r="I174" s="23" t="s">
        <v>16</v>
      </c>
      <c r="J174" s="24">
        <v>320000</v>
      </c>
      <c r="K174" s="23">
        <v>3</v>
      </c>
      <c r="L174" s="23" t="s">
        <v>39</v>
      </c>
      <c r="M174" s="25">
        <f t="shared" si="5"/>
        <v>256000</v>
      </c>
      <c r="N174" s="25">
        <f>'Working Sheet'!$J174*'Working Sheet'!$K174</f>
        <v>960000</v>
      </c>
      <c r="O174" s="26">
        <f>'Working Sheet'!$M174*'Working Sheet'!$K174</f>
        <v>768000</v>
      </c>
      <c r="P174" s="25">
        <f>'Working Sheet'!$N174-'Working Sheet'!$O174</f>
        <v>192000</v>
      </c>
    </row>
    <row r="175" spans="1:16" ht="14.25" customHeight="1" x14ac:dyDescent="0.25">
      <c r="A175" s="18" t="str">
        <f t="shared" ca="1" si="4"/>
        <v>ID_386</v>
      </c>
      <c r="B175" s="17">
        <v>45772</v>
      </c>
      <c r="C175" s="18" t="str">
        <f>TEXT('Working Sheet'!$B175,"mmm")</f>
        <v>Apr</v>
      </c>
      <c r="D175" s="18" t="s">
        <v>11</v>
      </c>
      <c r="E175" s="18" t="s">
        <v>12</v>
      </c>
      <c r="F175" s="18" t="s">
        <v>13</v>
      </c>
      <c r="G175" s="18" t="s">
        <v>14</v>
      </c>
      <c r="H175" s="18" t="s">
        <v>36</v>
      </c>
      <c r="I175" s="18" t="s">
        <v>31</v>
      </c>
      <c r="J175" s="19">
        <v>150000</v>
      </c>
      <c r="K175" s="18">
        <v>1</v>
      </c>
      <c r="L175" s="18" t="s">
        <v>17</v>
      </c>
      <c r="M175" s="20">
        <f t="shared" si="5"/>
        <v>120000</v>
      </c>
      <c r="N175" s="20">
        <f>'Working Sheet'!$J175*'Working Sheet'!$K175</f>
        <v>150000</v>
      </c>
      <c r="O175" s="21">
        <f>'Working Sheet'!$M175*'Working Sheet'!$K175</f>
        <v>120000</v>
      </c>
      <c r="P175" s="20">
        <f>'Working Sheet'!$N175-'Working Sheet'!$O175</f>
        <v>30000</v>
      </c>
    </row>
    <row r="176" spans="1:16" ht="14.25" customHeight="1" x14ac:dyDescent="0.25">
      <c r="A176" s="23" t="str">
        <f t="shared" ca="1" si="4"/>
        <v>ID_1097</v>
      </c>
      <c r="B176" s="22">
        <v>45749</v>
      </c>
      <c r="C176" s="23" t="str">
        <f>TEXT('Working Sheet'!$B176,"mmm")</f>
        <v>Apr</v>
      </c>
      <c r="D176" s="23" t="s">
        <v>29</v>
      </c>
      <c r="E176" s="23" t="s">
        <v>19</v>
      </c>
      <c r="F176" s="23" t="s">
        <v>23</v>
      </c>
      <c r="G176" s="23" t="s">
        <v>14</v>
      </c>
      <c r="H176" s="23" t="s">
        <v>30</v>
      </c>
      <c r="I176" s="23" t="s">
        <v>31</v>
      </c>
      <c r="J176" s="24">
        <v>300000</v>
      </c>
      <c r="K176" s="23">
        <v>9</v>
      </c>
      <c r="L176" s="23" t="s">
        <v>28</v>
      </c>
      <c r="M176" s="25">
        <f t="shared" si="5"/>
        <v>240000</v>
      </c>
      <c r="N176" s="25">
        <f>'Working Sheet'!$J176*'Working Sheet'!$K176</f>
        <v>2700000</v>
      </c>
      <c r="O176" s="26">
        <f>'Working Sheet'!$M176*'Working Sheet'!$K176</f>
        <v>2160000</v>
      </c>
      <c r="P176" s="25">
        <f>'Working Sheet'!$N176-'Working Sheet'!$O176</f>
        <v>540000</v>
      </c>
    </row>
    <row r="177" spans="1:16" ht="14.25" customHeight="1" x14ac:dyDescent="0.25">
      <c r="A177" s="18" t="str">
        <f t="shared" ca="1" si="4"/>
        <v>ID_574</v>
      </c>
      <c r="B177" s="17">
        <v>45671</v>
      </c>
      <c r="C177" s="18" t="str">
        <f>TEXT('Working Sheet'!$B177,"mmm")</f>
        <v>Jan</v>
      </c>
      <c r="D177" s="18" t="s">
        <v>18</v>
      </c>
      <c r="E177" s="18" t="s">
        <v>19</v>
      </c>
      <c r="F177" s="18" t="s">
        <v>13</v>
      </c>
      <c r="G177" s="18" t="s">
        <v>14</v>
      </c>
      <c r="H177" s="18" t="s">
        <v>41</v>
      </c>
      <c r="I177" s="18" t="s">
        <v>22</v>
      </c>
      <c r="J177" s="19">
        <v>220000</v>
      </c>
      <c r="K177" s="18">
        <v>3</v>
      </c>
      <c r="L177" s="18" t="s">
        <v>24</v>
      </c>
      <c r="M177" s="20">
        <f t="shared" si="5"/>
        <v>176000</v>
      </c>
      <c r="N177" s="20">
        <f>'Working Sheet'!$J177*'Working Sheet'!$K177</f>
        <v>660000</v>
      </c>
      <c r="O177" s="21">
        <f>'Working Sheet'!$M177*'Working Sheet'!$K177</f>
        <v>528000</v>
      </c>
      <c r="P177" s="20">
        <f>'Working Sheet'!$N177-'Working Sheet'!$O177</f>
        <v>132000</v>
      </c>
    </row>
    <row r="178" spans="1:16" ht="14.25" customHeight="1" x14ac:dyDescent="0.25">
      <c r="A178" s="23" t="str">
        <f t="shared" ca="1" si="4"/>
        <v>ID_1379</v>
      </c>
      <c r="B178" s="22">
        <v>45766</v>
      </c>
      <c r="C178" s="23" t="str">
        <f>TEXT('Working Sheet'!$B178,"mmm")</f>
        <v>Apr</v>
      </c>
      <c r="D178" s="23" t="s">
        <v>11</v>
      </c>
      <c r="E178" s="23" t="s">
        <v>26</v>
      </c>
      <c r="F178" s="23" t="s">
        <v>23</v>
      </c>
      <c r="G178" s="23" t="s">
        <v>14</v>
      </c>
      <c r="H178" s="23" t="s">
        <v>41</v>
      </c>
      <c r="I178" s="23" t="s">
        <v>22</v>
      </c>
      <c r="J178" s="24">
        <v>220000</v>
      </c>
      <c r="K178" s="23">
        <v>9</v>
      </c>
      <c r="L178" s="23" t="s">
        <v>39</v>
      </c>
      <c r="M178" s="25">
        <f t="shared" si="5"/>
        <v>176000</v>
      </c>
      <c r="N178" s="25">
        <f>'Working Sheet'!$J178*'Working Sheet'!$K178</f>
        <v>1980000</v>
      </c>
      <c r="O178" s="26">
        <f>'Working Sheet'!$M178*'Working Sheet'!$K178</f>
        <v>1584000</v>
      </c>
      <c r="P178" s="25">
        <f>'Working Sheet'!$N178-'Working Sheet'!$O178</f>
        <v>396000</v>
      </c>
    </row>
    <row r="179" spans="1:16" ht="14.25" customHeight="1" x14ac:dyDescent="0.25">
      <c r="A179" s="18" t="str">
        <f t="shared" ca="1" si="4"/>
        <v>ID_1667</v>
      </c>
      <c r="B179" s="17">
        <v>45664</v>
      </c>
      <c r="C179" s="18" t="str">
        <f>TEXT('Working Sheet'!$B179,"mmm")</f>
        <v>Jan</v>
      </c>
      <c r="D179" s="18" t="s">
        <v>18</v>
      </c>
      <c r="E179" s="18" t="s">
        <v>26</v>
      </c>
      <c r="F179" s="18" t="s">
        <v>23</v>
      </c>
      <c r="G179" s="18" t="s">
        <v>20</v>
      </c>
      <c r="H179" s="18" t="s">
        <v>27</v>
      </c>
      <c r="I179" s="18" t="s">
        <v>22</v>
      </c>
      <c r="J179" s="19">
        <v>60000</v>
      </c>
      <c r="K179" s="18">
        <v>6</v>
      </c>
      <c r="L179" s="18" t="s">
        <v>39</v>
      </c>
      <c r="M179" s="20">
        <f t="shared" si="5"/>
        <v>48000</v>
      </c>
      <c r="N179" s="20">
        <f>'Working Sheet'!$J179*'Working Sheet'!$K179</f>
        <v>360000</v>
      </c>
      <c r="O179" s="21">
        <f>'Working Sheet'!$M179*'Working Sheet'!$K179</f>
        <v>288000</v>
      </c>
      <c r="P179" s="20">
        <f>'Working Sheet'!$N179-'Working Sheet'!$O179</f>
        <v>72000</v>
      </c>
    </row>
    <row r="180" spans="1:16" ht="14.25" customHeight="1" x14ac:dyDescent="0.25">
      <c r="A180" s="23" t="str">
        <f t="shared" ca="1" si="4"/>
        <v>ID_925</v>
      </c>
      <c r="B180" s="22">
        <v>45692</v>
      </c>
      <c r="C180" s="23" t="str">
        <f>TEXT('Working Sheet'!$B180,"mmm")</f>
        <v>Feb</v>
      </c>
      <c r="D180" s="23" t="s">
        <v>29</v>
      </c>
      <c r="E180" s="23" t="s">
        <v>26</v>
      </c>
      <c r="F180" s="23" t="s">
        <v>13</v>
      </c>
      <c r="G180" s="23" t="s">
        <v>20</v>
      </c>
      <c r="H180" s="23" t="s">
        <v>21</v>
      </c>
      <c r="I180" s="23" t="s">
        <v>22</v>
      </c>
      <c r="J180" s="24">
        <v>30000</v>
      </c>
      <c r="K180" s="23">
        <v>10</v>
      </c>
      <c r="L180" s="23" t="s">
        <v>35</v>
      </c>
      <c r="M180" s="25">
        <f t="shared" si="5"/>
        <v>24000</v>
      </c>
      <c r="N180" s="25">
        <f>'Working Sheet'!$J180*'Working Sheet'!$K180</f>
        <v>300000</v>
      </c>
      <c r="O180" s="26">
        <f>'Working Sheet'!$M180*'Working Sheet'!$K180</f>
        <v>240000</v>
      </c>
      <c r="P180" s="25">
        <f>'Working Sheet'!$N180-'Working Sheet'!$O180</f>
        <v>60000</v>
      </c>
    </row>
    <row r="181" spans="1:16" ht="14.25" customHeight="1" x14ac:dyDescent="0.25">
      <c r="A181" s="18" t="str">
        <f t="shared" ca="1" si="4"/>
        <v>ID_92</v>
      </c>
      <c r="B181" s="17">
        <v>45659</v>
      </c>
      <c r="C181" s="18" t="str">
        <f>TEXT('Working Sheet'!$B181,"mmm")</f>
        <v>Jan</v>
      </c>
      <c r="D181" s="18" t="s">
        <v>25</v>
      </c>
      <c r="E181" s="18" t="s">
        <v>26</v>
      </c>
      <c r="F181" s="18" t="s">
        <v>23</v>
      </c>
      <c r="G181" s="18" t="s">
        <v>20</v>
      </c>
      <c r="H181" s="18" t="s">
        <v>38</v>
      </c>
      <c r="I181" s="18" t="s">
        <v>31</v>
      </c>
      <c r="J181" s="19">
        <v>420000</v>
      </c>
      <c r="K181" s="18">
        <v>8</v>
      </c>
      <c r="L181" s="18" t="s">
        <v>39</v>
      </c>
      <c r="M181" s="20">
        <f t="shared" si="5"/>
        <v>336000</v>
      </c>
      <c r="N181" s="20">
        <f>'Working Sheet'!$J181*'Working Sheet'!$K181</f>
        <v>3360000</v>
      </c>
      <c r="O181" s="21">
        <f>'Working Sheet'!$M181*'Working Sheet'!$K181</f>
        <v>2688000</v>
      </c>
      <c r="P181" s="20">
        <f>'Working Sheet'!$N181-'Working Sheet'!$O181</f>
        <v>672000</v>
      </c>
    </row>
    <row r="182" spans="1:16" ht="14.25" customHeight="1" x14ac:dyDescent="0.25">
      <c r="A182" s="23" t="str">
        <f t="shared" ca="1" si="4"/>
        <v>ID_65</v>
      </c>
      <c r="B182" s="22">
        <v>45742</v>
      </c>
      <c r="C182" s="23" t="str">
        <f>TEXT('Working Sheet'!$B182,"mmm")</f>
        <v>Mar</v>
      </c>
      <c r="D182" s="23" t="s">
        <v>25</v>
      </c>
      <c r="E182" s="23" t="s">
        <v>26</v>
      </c>
      <c r="F182" s="23" t="s">
        <v>23</v>
      </c>
      <c r="G182" s="23" t="s">
        <v>14</v>
      </c>
      <c r="H182" s="23" t="s">
        <v>27</v>
      </c>
      <c r="I182" s="23" t="s">
        <v>22</v>
      </c>
      <c r="J182" s="24">
        <v>60000</v>
      </c>
      <c r="K182" s="23">
        <v>9</v>
      </c>
      <c r="L182" s="23" t="s">
        <v>17</v>
      </c>
      <c r="M182" s="25">
        <f t="shared" si="5"/>
        <v>48000</v>
      </c>
      <c r="N182" s="25">
        <f>'Working Sheet'!$J182*'Working Sheet'!$K182</f>
        <v>540000</v>
      </c>
      <c r="O182" s="26">
        <f>'Working Sheet'!$M182*'Working Sheet'!$K182</f>
        <v>432000</v>
      </c>
      <c r="P182" s="25">
        <f>'Working Sheet'!$N182-'Working Sheet'!$O182</f>
        <v>108000</v>
      </c>
    </row>
    <row r="183" spans="1:16" ht="14.25" customHeight="1" x14ac:dyDescent="0.25">
      <c r="A183" s="18" t="str">
        <f t="shared" ca="1" si="4"/>
        <v>ID_1738</v>
      </c>
      <c r="B183" s="17">
        <v>45675</v>
      </c>
      <c r="C183" s="18" t="str">
        <f>TEXT('Working Sheet'!$B183,"mmm")</f>
        <v>Jan</v>
      </c>
      <c r="D183" s="18" t="s">
        <v>18</v>
      </c>
      <c r="E183" s="18" t="s">
        <v>26</v>
      </c>
      <c r="F183" s="18" t="s">
        <v>23</v>
      </c>
      <c r="G183" s="18" t="s">
        <v>14</v>
      </c>
      <c r="H183" s="18" t="s">
        <v>40</v>
      </c>
      <c r="I183" s="18" t="s">
        <v>31</v>
      </c>
      <c r="J183" s="19">
        <v>250000</v>
      </c>
      <c r="K183" s="18">
        <v>1</v>
      </c>
      <c r="L183" s="18" t="s">
        <v>35</v>
      </c>
      <c r="M183" s="20">
        <f t="shared" si="5"/>
        <v>200000</v>
      </c>
      <c r="N183" s="20">
        <f>'Working Sheet'!$J183*'Working Sheet'!$K183</f>
        <v>250000</v>
      </c>
      <c r="O183" s="21">
        <f>'Working Sheet'!$M183*'Working Sheet'!$K183</f>
        <v>200000</v>
      </c>
      <c r="P183" s="20">
        <f>'Working Sheet'!$N183-'Working Sheet'!$O183</f>
        <v>50000</v>
      </c>
    </row>
    <row r="184" spans="1:16" ht="14.25" customHeight="1" x14ac:dyDescent="0.25">
      <c r="A184" s="23" t="str">
        <f t="shared" ca="1" si="4"/>
        <v>ID_1804</v>
      </c>
      <c r="B184" s="22">
        <v>45711</v>
      </c>
      <c r="C184" s="23" t="str">
        <f>TEXT('Working Sheet'!$B184,"mmm")</f>
        <v>Feb</v>
      </c>
      <c r="D184" s="23" t="s">
        <v>25</v>
      </c>
      <c r="E184" s="23" t="s">
        <v>26</v>
      </c>
      <c r="F184" s="23" t="s">
        <v>13</v>
      </c>
      <c r="G184" s="23" t="s">
        <v>14</v>
      </c>
      <c r="H184" s="23" t="s">
        <v>27</v>
      </c>
      <c r="I184" s="23" t="s">
        <v>22</v>
      </c>
      <c r="J184" s="24">
        <v>60000</v>
      </c>
      <c r="K184" s="23">
        <v>1</v>
      </c>
      <c r="L184" s="23" t="s">
        <v>39</v>
      </c>
      <c r="M184" s="25">
        <f t="shared" si="5"/>
        <v>48000</v>
      </c>
      <c r="N184" s="25">
        <f>'Working Sheet'!$J184*'Working Sheet'!$K184</f>
        <v>60000</v>
      </c>
      <c r="O184" s="26">
        <f>'Working Sheet'!$M184*'Working Sheet'!$K184</f>
        <v>48000</v>
      </c>
      <c r="P184" s="25">
        <f>'Working Sheet'!$N184-'Working Sheet'!$O184</f>
        <v>12000</v>
      </c>
    </row>
    <row r="185" spans="1:16" ht="14.25" customHeight="1" x14ac:dyDescent="0.25">
      <c r="A185" s="18" t="str">
        <f t="shared" ca="1" si="4"/>
        <v>ID_656</v>
      </c>
      <c r="B185" s="17">
        <v>45763</v>
      </c>
      <c r="C185" s="18" t="str">
        <f>TEXT('Working Sheet'!$B185,"mmm")</f>
        <v>Apr</v>
      </c>
      <c r="D185" s="18" t="s">
        <v>25</v>
      </c>
      <c r="E185" s="18" t="s">
        <v>32</v>
      </c>
      <c r="F185" s="18" t="s">
        <v>13</v>
      </c>
      <c r="G185" s="18" t="s">
        <v>14</v>
      </c>
      <c r="H185" s="18" t="s">
        <v>38</v>
      </c>
      <c r="I185" s="18" t="s">
        <v>31</v>
      </c>
      <c r="J185" s="19">
        <v>420000</v>
      </c>
      <c r="K185" s="18">
        <v>8</v>
      </c>
      <c r="L185" s="18" t="s">
        <v>39</v>
      </c>
      <c r="M185" s="20">
        <f t="shared" si="5"/>
        <v>336000</v>
      </c>
      <c r="N185" s="20">
        <f>'Working Sheet'!$J185*'Working Sheet'!$K185</f>
        <v>3360000</v>
      </c>
      <c r="O185" s="21">
        <f>'Working Sheet'!$M185*'Working Sheet'!$K185</f>
        <v>2688000</v>
      </c>
      <c r="P185" s="20">
        <f>'Working Sheet'!$N185-'Working Sheet'!$O185</f>
        <v>672000</v>
      </c>
    </row>
    <row r="186" spans="1:16" ht="14.25" customHeight="1" x14ac:dyDescent="0.25">
      <c r="A186" s="23" t="str">
        <f t="shared" ca="1" si="4"/>
        <v>ID_2016</v>
      </c>
      <c r="B186" s="22">
        <v>45691</v>
      </c>
      <c r="C186" s="23" t="str">
        <f>TEXT('Working Sheet'!$B186,"mmm")</f>
        <v>Feb</v>
      </c>
      <c r="D186" s="23" t="s">
        <v>25</v>
      </c>
      <c r="E186" s="23" t="s">
        <v>12</v>
      </c>
      <c r="F186" s="23" t="s">
        <v>23</v>
      </c>
      <c r="G186" s="23" t="s">
        <v>20</v>
      </c>
      <c r="H186" s="23" t="s">
        <v>33</v>
      </c>
      <c r="I186" s="23" t="s">
        <v>22</v>
      </c>
      <c r="J186" s="24">
        <v>180000</v>
      </c>
      <c r="K186" s="23">
        <v>4</v>
      </c>
      <c r="L186" s="23" t="s">
        <v>39</v>
      </c>
      <c r="M186" s="25">
        <f t="shared" si="5"/>
        <v>144000</v>
      </c>
      <c r="N186" s="25">
        <f>'Working Sheet'!$J186*'Working Sheet'!$K186</f>
        <v>720000</v>
      </c>
      <c r="O186" s="26">
        <f>'Working Sheet'!$M186*'Working Sheet'!$K186</f>
        <v>576000</v>
      </c>
      <c r="P186" s="25">
        <f>'Working Sheet'!$N186-'Working Sheet'!$O186</f>
        <v>144000</v>
      </c>
    </row>
    <row r="187" spans="1:16" ht="14.25" customHeight="1" x14ac:dyDescent="0.25">
      <c r="A187" s="18" t="str">
        <f t="shared" ca="1" si="4"/>
        <v>ID_1955</v>
      </c>
      <c r="B187" s="17">
        <v>45733</v>
      </c>
      <c r="C187" s="18" t="str">
        <f>TEXT('Working Sheet'!$B187,"mmm")</f>
        <v>Mar</v>
      </c>
      <c r="D187" s="18" t="s">
        <v>18</v>
      </c>
      <c r="E187" s="18" t="s">
        <v>26</v>
      </c>
      <c r="F187" s="18" t="s">
        <v>13</v>
      </c>
      <c r="G187" s="18" t="s">
        <v>20</v>
      </c>
      <c r="H187" s="18" t="s">
        <v>33</v>
      </c>
      <c r="I187" s="18" t="s">
        <v>22</v>
      </c>
      <c r="J187" s="19">
        <v>180000</v>
      </c>
      <c r="K187" s="18">
        <v>7</v>
      </c>
      <c r="L187" s="18" t="s">
        <v>39</v>
      </c>
      <c r="M187" s="20">
        <f t="shared" si="5"/>
        <v>144000</v>
      </c>
      <c r="N187" s="20">
        <f>'Working Sheet'!$J187*'Working Sheet'!$K187</f>
        <v>1260000</v>
      </c>
      <c r="O187" s="21">
        <f>'Working Sheet'!$M187*'Working Sheet'!$K187</f>
        <v>1008000</v>
      </c>
      <c r="P187" s="20">
        <f>'Working Sheet'!$N187-'Working Sheet'!$O187</f>
        <v>252000</v>
      </c>
    </row>
    <row r="188" spans="1:16" ht="14.25" customHeight="1" x14ac:dyDescent="0.25">
      <c r="A188" s="23" t="str">
        <f t="shared" ca="1" si="4"/>
        <v>ID_1556</v>
      </c>
      <c r="B188" s="22">
        <v>45660</v>
      </c>
      <c r="C188" s="23" t="str">
        <f>TEXT('Working Sheet'!$B188,"mmm")</f>
        <v>Jan</v>
      </c>
      <c r="D188" s="23" t="s">
        <v>29</v>
      </c>
      <c r="E188" s="23" t="s">
        <v>26</v>
      </c>
      <c r="F188" s="23" t="s">
        <v>13</v>
      </c>
      <c r="G188" s="23" t="s">
        <v>14</v>
      </c>
      <c r="H188" s="23" t="s">
        <v>21</v>
      </c>
      <c r="I188" s="23" t="s">
        <v>22</v>
      </c>
      <c r="J188" s="24">
        <v>30000</v>
      </c>
      <c r="K188" s="23">
        <v>6</v>
      </c>
      <c r="L188" s="23" t="s">
        <v>37</v>
      </c>
      <c r="M188" s="25">
        <f t="shared" si="5"/>
        <v>24000</v>
      </c>
      <c r="N188" s="25">
        <f>'Working Sheet'!$J188*'Working Sheet'!$K188</f>
        <v>180000</v>
      </c>
      <c r="O188" s="26">
        <f>'Working Sheet'!$M188*'Working Sheet'!$K188</f>
        <v>144000</v>
      </c>
      <c r="P188" s="25">
        <f>'Working Sheet'!$N188-'Working Sheet'!$O188</f>
        <v>36000</v>
      </c>
    </row>
    <row r="189" spans="1:16" ht="14.25" customHeight="1" x14ac:dyDescent="0.25">
      <c r="A189" s="18" t="str">
        <f t="shared" ca="1" si="4"/>
        <v>ID_884</v>
      </c>
      <c r="B189" s="17">
        <v>45708</v>
      </c>
      <c r="C189" s="18" t="str">
        <f>TEXT('Working Sheet'!$B189,"mmm")</f>
        <v>Feb</v>
      </c>
      <c r="D189" s="18" t="s">
        <v>18</v>
      </c>
      <c r="E189" s="18" t="s">
        <v>12</v>
      </c>
      <c r="F189" s="18" t="s">
        <v>13</v>
      </c>
      <c r="G189" s="18" t="s">
        <v>14</v>
      </c>
      <c r="H189" s="18" t="s">
        <v>33</v>
      </c>
      <c r="I189" s="18" t="s">
        <v>22</v>
      </c>
      <c r="J189" s="19">
        <v>180000</v>
      </c>
      <c r="K189" s="18">
        <v>4</v>
      </c>
      <c r="L189" s="18" t="s">
        <v>24</v>
      </c>
      <c r="M189" s="20">
        <f t="shared" si="5"/>
        <v>144000</v>
      </c>
      <c r="N189" s="20">
        <f>'Working Sheet'!$J189*'Working Sheet'!$K189</f>
        <v>720000</v>
      </c>
      <c r="O189" s="21">
        <f>'Working Sheet'!$M189*'Working Sheet'!$K189</f>
        <v>576000</v>
      </c>
      <c r="P189" s="20">
        <f>'Working Sheet'!$N189-'Working Sheet'!$O189</f>
        <v>144000</v>
      </c>
    </row>
    <row r="190" spans="1:16" ht="14.25" customHeight="1" x14ac:dyDescent="0.25">
      <c r="A190" s="23" t="str">
        <f t="shared" ca="1" si="4"/>
        <v>ID_937</v>
      </c>
      <c r="B190" s="22">
        <v>45772</v>
      </c>
      <c r="C190" s="23" t="str">
        <f>TEXT('Working Sheet'!$B190,"mmm")</f>
        <v>Apr</v>
      </c>
      <c r="D190" s="23" t="s">
        <v>18</v>
      </c>
      <c r="E190" s="23" t="s">
        <v>32</v>
      </c>
      <c r="F190" s="23" t="s">
        <v>23</v>
      </c>
      <c r="G190" s="23" t="s">
        <v>20</v>
      </c>
      <c r="H190" s="23" t="s">
        <v>30</v>
      </c>
      <c r="I190" s="23" t="s">
        <v>31</v>
      </c>
      <c r="J190" s="24">
        <v>300000</v>
      </c>
      <c r="K190" s="23">
        <v>3</v>
      </c>
      <c r="L190" s="23" t="s">
        <v>28</v>
      </c>
      <c r="M190" s="25">
        <f t="shared" si="5"/>
        <v>240000</v>
      </c>
      <c r="N190" s="25">
        <f>'Working Sheet'!$J190*'Working Sheet'!$K190</f>
        <v>900000</v>
      </c>
      <c r="O190" s="26">
        <f>'Working Sheet'!$M190*'Working Sheet'!$K190</f>
        <v>720000</v>
      </c>
      <c r="P190" s="25">
        <f>'Working Sheet'!$N190-'Working Sheet'!$O190</f>
        <v>180000</v>
      </c>
    </row>
    <row r="191" spans="1:16" ht="14.25" customHeight="1" x14ac:dyDescent="0.25">
      <c r="A191" s="18" t="str">
        <f t="shared" ca="1" si="4"/>
        <v>ID_1812</v>
      </c>
      <c r="B191" s="17">
        <v>45678</v>
      </c>
      <c r="C191" s="18" t="str">
        <f>TEXT('Working Sheet'!$B191,"mmm")</f>
        <v>Jan</v>
      </c>
      <c r="D191" s="18" t="s">
        <v>11</v>
      </c>
      <c r="E191" s="18" t="s">
        <v>19</v>
      </c>
      <c r="F191" s="18" t="s">
        <v>13</v>
      </c>
      <c r="G191" s="18" t="s">
        <v>14</v>
      </c>
      <c r="H191" s="18" t="s">
        <v>27</v>
      </c>
      <c r="I191" s="18" t="s">
        <v>22</v>
      </c>
      <c r="J191" s="19">
        <v>60000</v>
      </c>
      <c r="K191" s="18">
        <v>3</v>
      </c>
      <c r="L191" s="18" t="s">
        <v>17</v>
      </c>
      <c r="M191" s="20">
        <f t="shared" si="5"/>
        <v>48000</v>
      </c>
      <c r="N191" s="20">
        <f>'Working Sheet'!$J191*'Working Sheet'!$K191</f>
        <v>180000</v>
      </c>
      <c r="O191" s="21">
        <f>'Working Sheet'!$M191*'Working Sheet'!$K191</f>
        <v>144000</v>
      </c>
      <c r="P191" s="20">
        <f>'Working Sheet'!$N191-'Working Sheet'!$O191</f>
        <v>36000</v>
      </c>
    </row>
    <row r="192" spans="1:16" ht="14.25" customHeight="1" x14ac:dyDescent="0.25">
      <c r="A192" s="23" t="str">
        <f t="shared" ca="1" si="4"/>
        <v>ID_1291</v>
      </c>
      <c r="B192" s="22">
        <v>45708</v>
      </c>
      <c r="C192" s="23" t="str">
        <f>TEXT('Working Sheet'!$B192,"mmm")</f>
        <v>Feb</v>
      </c>
      <c r="D192" s="23" t="s">
        <v>18</v>
      </c>
      <c r="E192" s="23" t="s">
        <v>12</v>
      </c>
      <c r="F192" s="23" t="s">
        <v>23</v>
      </c>
      <c r="G192" s="23" t="s">
        <v>14</v>
      </c>
      <c r="H192" s="23" t="s">
        <v>41</v>
      </c>
      <c r="I192" s="23" t="s">
        <v>22</v>
      </c>
      <c r="J192" s="24">
        <v>220000</v>
      </c>
      <c r="K192" s="23">
        <v>1</v>
      </c>
      <c r="L192" s="23" t="s">
        <v>28</v>
      </c>
      <c r="M192" s="25">
        <f t="shared" si="5"/>
        <v>176000</v>
      </c>
      <c r="N192" s="25">
        <f>'Working Sheet'!$J192*'Working Sheet'!$K192</f>
        <v>220000</v>
      </c>
      <c r="O192" s="26">
        <f>'Working Sheet'!$M192*'Working Sheet'!$K192</f>
        <v>176000</v>
      </c>
      <c r="P192" s="25">
        <f>'Working Sheet'!$N192-'Working Sheet'!$O192</f>
        <v>44000</v>
      </c>
    </row>
    <row r="193" spans="1:16" ht="14.25" customHeight="1" x14ac:dyDescent="0.25">
      <c r="A193" s="18" t="str">
        <f t="shared" ca="1" si="4"/>
        <v>ID_1154</v>
      </c>
      <c r="B193" s="17">
        <v>45693</v>
      </c>
      <c r="C193" s="18" t="str">
        <f>TEXT('Working Sheet'!$B193,"mmm")</f>
        <v>Feb</v>
      </c>
      <c r="D193" s="18" t="s">
        <v>29</v>
      </c>
      <c r="E193" s="18" t="s">
        <v>19</v>
      </c>
      <c r="F193" s="18" t="s">
        <v>13</v>
      </c>
      <c r="G193" s="18" t="s">
        <v>14</v>
      </c>
      <c r="H193" s="18" t="s">
        <v>30</v>
      </c>
      <c r="I193" s="18" t="s">
        <v>31</v>
      </c>
      <c r="J193" s="19">
        <v>300000</v>
      </c>
      <c r="K193" s="18">
        <v>2</v>
      </c>
      <c r="L193" s="18" t="s">
        <v>24</v>
      </c>
      <c r="M193" s="20">
        <f t="shared" si="5"/>
        <v>240000</v>
      </c>
      <c r="N193" s="20">
        <f>'Working Sheet'!$J193*'Working Sheet'!$K193</f>
        <v>600000</v>
      </c>
      <c r="O193" s="21">
        <f>'Working Sheet'!$M193*'Working Sheet'!$K193</f>
        <v>480000</v>
      </c>
      <c r="P193" s="20">
        <f>'Working Sheet'!$N193-'Working Sheet'!$O193</f>
        <v>120000</v>
      </c>
    </row>
    <row r="194" spans="1:16" ht="14.25" customHeight="1" x14ac:dyDescent="0.25">
      <c r="A194" s="23" t="str">
        <f t="shared" ref="A194:A257" ca="1" si="6">"ID_"&amp; RANDBETWEEN(1,2098)</f>
        <v>ID_1121</v>
      </c>
      <c r="B194" s="22">
        <v>45721</v>
      </c>
      <c r="C194" s="23" t="str">
        <f>TEXT('Working Sheet'!$B194,"mmm")</f>
        <v>Mar</v>
      </c>
      <c r="D194" s="23" t="s">
        <v>25</v>
      </c>
      <c r="E194" s="23" t="s">
        <v>26</v>
      </c>
      <c r="F194" s="23" t="s">
        <v>13</v>
      </c>
      <c r="G194" s="23" t="s">
        <v>14</v>
      </c>
      <c r="H194" s="23" t="s">
        <v>36</v>
      </c>
      <c r="I194" s="23" t="s">
        <v>31</v>
      </c>
      <c r="J194" s="24">
        <v>150000</v>
      </c>
      <c r="K194" s="23">
        <v>3</v>
      </c>
      <c r="L194" s="23" t="s">
        <v>24</v>
      </c>
      <c r="M194" s="25">
        <f t="shared" ref="M194:M257" si="7">J194-J194*0.2</f>
        <v>120000</v>
      </c>
      <c r="N194" s="25">
        <f>'Working Sheet'!$J194*'Working Sheet'!$K194</f>
        <v>450000</v>
      </c>
      <c r="O194" s="26">
        <f>'Working Sheet'!$M194*'Working Sheet'!$K194</f>
        <v>360000</v>
      </c>
      <c r="P194" s="25">
        <f>'Working Sheet'!$N194-'Working Sheet'!$O194</f>
        <v>90000</v>
      </c>
    </row>
    <row r="195" spans="1:16" ht="14.25" customHeight="1" x14ac:dyDescent="0.25">
      <c r="A195" s="18" t="str">
        <f t="shared" ca="1" si="6"/>
        <v>ID_1254</v>
      </c>
      <c r="B195" s="17">
        <v>45692</v>
      </c>
      <c r="C195" s="18" t="str">
        <f>TEXT('Working Sheet'!$B195,"mmm")</f>
        <v>Feb</v>
      </c>
      <c r="D195" s="18" t="s">
        <v>29</v>
      </c>
      <c r="E195" s="18" t="s">
        <v>19</v>
      </c>
      <c r="F195" s="18" t="s">
        <v>23</v>
      </c>
      <c r="G195" s="18" t="s">
        <v>14</v>
      </c>
      <c r="H195" s="18" t="s">
        <v>15</v>
      </c>
      <c r="I195" s="18" t="s">
        <v>16</v>
      </c>
      <c r="J195" s="19">
        <v>85000</v>
      </c>
      <c r="K195" s="18">
        <v>1</v>
      </c>
      <c r="L195" s="18" t="s">
        <v>24</v>
      </c>
      <c r="M195" s="20">
        <f t="shared" si="7"/>
        <v>68000</v>
      </c>
      <c r="N195" s="20">
        <f>'Working Sheet'!$J195*'Working Sheet'!$K195</f>
        <v>85000</v>
      </c>
      <c r="O195" s="21">
        <f>'Working Sheet'!$M195*'Working Sheet'!$K195</f>
        <v>68000</v>
      </c>
      <c r="P195" s="20">
        <f>'Working Sheet'!$N195-'Working Sheet'!$O195</f>
        <v>17000</v>
      </c>
    </row>
    <row r="196" spans="1:16" ht="14.25" customHeight="1" x14ac:dyDescent="0.25">
      <c r="A196" s="23" t="str">
        <f t="shared" ca="1" si="6"/>
        <v>ID_252</v>
      </c>
      <c r="B196" s="22">
        <v>45659</v>
      </c>
      <c r="C196" s="23" t="str">
        <f>TEXT('Working Sheet'!$B196,"mmm")</f>
        <v>Jan</v>
      </c>
      <c r="D196" s="23" t="s">
        <v>25</v>
      </c>
      <c r="E196" s="23" t="s">
        <v>19</v>
      </c>
      <c r="F196" s="23" t="s">
        <v>13</v>
      </c>
      <c r="G196" s="23" t="s">
        <v>20</v>
      </c>
      <c r="H196" s="23" t="s">
        <v>21</v>
      </c>
      <c r="I196" s="23" t="s">
        <v>22</v>
      </c>
      <c r="J196" s="24">
        <v>30000</v>
      </c>
      <c r="K196" s="23">
        <v>6</v>
      </c>
      <c r="L196" s="23" t="s">
        <v>17</v>
      </c>
      <c r="M196" s="25">
        <f t="shared" si="7"/>
        <v>24000</v>
      </c>
      <c r="N196" s="25">
        <f>'Working Sheet'!$J196*'Working Sheet'!$K196</f>
        <v>180000</v>
      </c>
      <c r="O196" s="26">
        <f>'Working Sheet'!$M196*'Working Sheet'!$K196</f>
        <v>144000</v>
      </c>
      <c r="P196" s="25">
        <f>'Working Sheet'!$N196-'Working Sheet'!$O196</f>
        <v>36000</v>
      </c>
    </row>
    <row r="197" spans="1:16" ht="14.25" customHeight="1" x14ac:dyDescent="0.25">
      <c r="A197" s="18" t="str">
        <f t="shared" ca="1" si="6"/>
        <v>ID_16</v>
      </c>
      <c r="B197" s="17">
        <v>45718</v>
      </c>
      <c r="C197" s="18" t="str">
        <f>TEXT('Working Sheet'!$B197,"mmm")</f>
        <v>Mar</v>
      </c>
      <c r="D197" s="18" t="s">
        <v>11</v>
      </c>
      <c r="E197" s="18" t="s">
        <v>26</v>
      </c>
      <c r="F197" s="18" t="s">
        <v>23</v>
      </c>
      <c r="G197" s="18" t="s">
        <v>14</v>
      </c>
      <c r="H197" s="18" t="s">
        <v>36</v>
      </c>
      <c r="I197" s="18" t="s">
        <v>31</v>
      </c>
      <c r="J197" s="19">
        <v>150000</v>
      </c>
      <c r="K197" s="18">
        <v>5</v>
      </c>
      <c r="L197" s="18" t="s">
        <v>28</v>
      </c>
      <c r="M197" s="20">
        <f t="shared" si="7"/>
        <v>120000</v>
      </c>
      <c r="N197" s="20">
        <f>'Working Sheet'!$J197*'Working Sheet'!$K197</f>
        <v>750000</v>
      </c>
      <c r="O197" s="21">
        <f>'Working Sheet'!$M197*'Working Sheet'!$K197</f>
        <v>600000</v>
      </c>
      <c r="P197" s="20">
        <f>'Working Sheet'!$N197-'Working Sheet'!$O197</f>
        <v>150000</v>
      </c>
    </row>
    <row r="198" spans="1:16" ht="14.25" customHeight="1" x14ac:dyDescent="0.25">
      <c r="A198" s="23" t="str">
        <f t="shared" ca="1" si="6"/>
        <v>ID_417</v>
      </c>
      <c r="B198" s="22">
        <v>45766</v>
      </c>
      <c r="C198" s="23" t="str">
        <f>TEXT('Working Sheet'!$B198,"mmm")</f>
        <v>Apr</v>
      </c>
      <c r="D198" s="23" t="s">
        <v>11</v>
      </c>
      <c r="E198" s="23" t="s">
        <v>19</v>
      </c>
      <c r="F198" s="23" t="s">
        <v>13</v>
      </c>
      <c r="G198" s="23" t="s">
        <v>20</v>
      </c>
      <c r="H198" s="23" t="s">
        <v>21</v>
      </c>
      <c r="I198" s="23" t="s">
        <v>22</v>
      </c>
      <c r="J198" s="24">
        <v>30000</v>
      </c>
      <c r="K198" s="23">
        <v>5</v>
      </c>
      <c r="L198" s="23" t="s">
        <v>37</v>
      </c>
      <c r="M198" s="25">
        <f t="shared" si="7"/>
        <v>24000</v>
      </c>
      <c r="N198" s="25">
        <f>'Working Sheet'!$J198*'Working Sheet'!$K198</f>
        <v>150000</v>
      </c>
      <c r="O198" s="26">
        <f>'Working Sheet'!$M198*'Working Sheet'!$K198</f>
        <v>120000</v>
      </c>
      <c r="P198" s="25">
        <f>'Working Sheet'!$N198-'Working Sheet'!$O198</f>
        <v>30000</v>
      </c>
    </row>
    <row r="199" spans="1:16" ht="14.25" customHeight="1" x14ac:dyDescent="0.25">
      <c r="A199" s="18" t="str">
        <f t="shared" ca="1" si="6"/>
        <v>ID_236</v>
      </c>
      <c r="B199" s="17">
        <v>45759</v>
      </c>
      <c r="C199" s="18" t="str">
        <f>TEXT('Working Sheet'!$B199,"mmm")</f>
        <v>Apr</v>
      </c>
      <c r="D199" s="18" t="s">
        <v>18</v>
      </c>
      <c r="E199" s="18" t="s">
        <v>19</v>
      </c>
      <c r="F199" s="18" t="s">
        <v>13</v>
      </c>
      <c r="G199" s="18" t="s">
        <v>20</v>
      </c>
      <c r="H199" s="18" t="s">
        <v>33</v>
      </c>
      <c r="I199" s="18" t="s">
        <v>22</v>
      </c>
      <c r="J199" s="19">
        <v>180000</v>
      </c>
      <c r="K199" s="18">
        <v>9</v>
      </c>
      <c r="L199" s="18" t="s">
        <v>39</v>
      </c>
      <c r="M199" s="20">
        <f t="shared" si="7"/>
        <v>144000</v>
      </c>
      <c r="N199" s="20">
        <f>'Working Sheet'!$J199*'Working Sheet'!$K199</f>
        <v>1620000</v>
      </c>
      <c r="O199" s="21">
        <f>'Working Sheet'!$M199*'Working Sheet'!$K199</f>
        <v>1296000</v>
      </c>
      <c r="P199" s="20">
        <f>'Working Sheet'!$N199-'Working Sheet'!$O199</f>
        <v>324000</v>
      </c>
    </row>
    <row r="200" spans="1:16" ht="14.25" customHeight="1" x14ac:dyDescent="0.25">
      <c r="A200" s="23" t="str">
        <f t="shared" ca="1" si="6"/>
        <v>ID_1069</v>
      </c>
      <c r="B200" s="22">
        <v>45693</v>
      </c>
      <c r="C200" s="23" t="str">
        <f>TEXT('Working Sheet'!$B200,"mmm")</f>
        <v>Feb</v>
      </c>
      <c r="D200" s="23" t="s">
        <v>29</v>
      </c>
      <c r="E200" s="23" t="s">
        <v>26</v>
      </c>
      <c r="F200" s="23" t="s">
        <v>23</v>
      </c>
      <c r="G200" s="23" t="s">
        <v>20</v>
      </c>
      <c r="H200" s="23" t="s">
        <v>27</v>
      </c>
      <c r="I200" s="23" t="s">
        <v>22</v>
      </c>
      <c r="J200" s="24">
        <v>60000</v>
      </c>
      <c r="K200" s="23">
        <v>6</v>
      </c>
      <c r="L200" s="23" t="s">
        <v>28</v>
      </c>
      <c r="M200" s="25">
        <f t="shared" si="7"/>
        <v>48000</v>
      </c>
      <c r="N200" s="25">
        <f>'Working Sheet'!$J200*'Working Sheet'!$K200</f>
        <v>360000</v>
      </c>
      <c r="O200" s="26">
        <f>'Working Sheet'!$M200*'Working Sheet'!$K200</f>
        <v>288000</v>
      </c>
      <c r="P200" s="25">
        <f>'Working Sheet'!$N200-'Working Sheet'!$O200</f>
        <v>72000</v>
      </c>
    </row>
    <row r="201" spans="1:16" ht="14.25" customHeight="1" x14ac:dyDescent="0.25">
      <c r="A201" s="18" t="str">
        <f t="shared" ca="1" si="6"/>
        <v>ID_582</v>
      </c>
      <c r="B201" s="17">
        <v>45735</v>
      </c>
      <c r="C201" s="18" t="str">
        <f>TEXT('Working Sheet'!$B201,"mmm")</f>
        <v>Mar</v>
      </c>
      <c r="D201" s="18" t="s">
        <v>29</v>
      </c>
      <c r="E201" s="18" t="s">
        <v>19</v>
      </c>
      <c r="F201" s="18" t="s">
        <v>13</v>
      </c>
      <c r="G201" s="18" t="s">
        <v>20</v>
      </c>
      <c r="H201" s="18" t="s">
        <v>40</v>
      </c>
      <c r="I201" s="18" t="s">
        <v>31</v>
      </c>
      <c r="J201" s="19">
        <v>250000</v>
      </c>
      <c r="K201" s="18">
        <v>10</v>
      </c>
      <c r="L201" s="18" t="s">
        <v>24</v>
      </c>
      <c r="M201" s="20">
        <f t="shared" si="7"/>
        <v>200000</v>
      </c>
      <c r="N201" s="20">
        <f>'Working Sheet'!$J201*'Working Sheet'!$K201</f>
        <v>2500000</v>
      </c>
      <c r="O201" s="21">
        <f>'Working Sheet'!$M201*'Working Sheet'!$K201</f>
        <v>2000000</v>
      </c>
      <c r="P201" s="20">
        <f>'Working Sheet'!$N201-'Working Sheet'!$O201</f>
        <v>500000</v>
      </c>
    </row>
    <row r="202" spans="1:16" ht="14.25" customHeight="1" x14ac:dyDescent="0.25">
      <c r="A202" s="23" t="str">
        <f t="shared" ca="1" si="6"/>
        <v>ID_167</v>
      </c>
      <c r="B202" s="22">
        <v>45692</v>
      </c>
      <c r="C202" s="23" t="str">
        <f>TEXT('Working Sheet'!$B202,"mmm")</f>
        <v>Feb</v>
      </c>
      <c r="D202" s="23" t="s">
        <v>25</v>
      </c>
      <c r="E202" s="23" t="s">
        <v>26</v>
      </c>
      <c r="F202" s="23" t="s">
        <v>13</v>
      </c>
      <c r="G202" s="23" t="s">
        <v>20</v>
      </c>
      <c r="H202" s="23" t="s">
        <v>38</v>
      </c>
      <c r="I202" s="23" t="s">
        <v>31</v>
      </c>
      <c r="J202" s="24">
        <v>420000</v>
      </c>
      <c r="K202" s="23">
        <v>3</v>
      </c>
      <c r="L202" s="23" t="s">
        <v>24</v>
      </c>
      <c r="M202" s="25">
        <f t="shared" si="7"/>
        <v>336000</v>
      </c>
      <c r="N202" s="25">
        <f>'Working Sheet'!$J202*'Working Sheet'!$K202</f>
        <v>1260000</v>
      </c>
      <c r="O202" s="26">
        <f>'Working Sheet'!$M202*'Working Sheet'!$K202</f>
        <v>1008000</v>
      </c>
      <c r="P202" s="25">
        <f>'Working Sheet'!$N202-'Working Sheet'!$O202</f>
        <v>252000</v>
      </c>
    </row>
    <row r="203" spans="1:16" ht="14.25" customHeight="1" x14ac:dyDescent="0.25">
      <c r="A203" s="18" t="str">
        <f t="shared" ca="1" si="6"/>
        <v>ID_765</v>
      </c>
      <c r="B203" s="17">
        <v>45669</v>
      </c>
      <c r="C203" s="18" t="str">
        <f>TEXT('Working Sheet'!$B203,"mmm")</f>
        <v>Jan</v>
      </c>
      <c r="D203" s="18" t="s">
        <v>29</v>
      </c>
      <c r="E203" s="18" t="s">
        <v>12</v>
      </c>
      <c r="F203" s="18" t="s">
        <v>23</v>
      </c>
      <c r="G203" s="18" t="s">
        <v>20</v>
      </c>
      <c r="H203" s="18" t="s">
        <v>36</v>
      </c>
      <c r="I203" s="18" t="s">
        <v>31</v>
      </c>
      <c r="J203" s="19">
        <v>150000</v>
      </c>
      <c r="K203" s="18">
        <v>3</v>
      </c>
      <c r="L203" s="18" t="s">
        <v>24</v>
      </c>
      <c r="M203" s="20">
        <f t="shared" si="7"/>
        <v>120000</v>
      </c>
      <c r="N203" s="20">
        <f>'Working Sheet'!$J203*'Working Sheet'!$K203</f>
        <v>450000</v>
      </c>
      <c r="O203" s="21">
        <f>'Working Sheet'!$M203*'Working Sheet'!$K203</f>
        <v>360000</v>
      </c>
      <c r="P203" s="20">
        <f>'Working Sheet'!$N203-'Working Sheet'!$O203</f>
        <v>90000</v>
      </c>
    </row>
    <row r="204" spans="1:16" ht="14.25" customHeight="1" x14ac:dyDescent="0.25">
      <c r="A204" s="23" t="str">
        <f t="shared" ca="1" si="6"/>
        <v>ID_2015</v>
      </c>
      <c r="B204" s="22">
        <v>45747</v>
      </c>
      <c r="C204" s="23" t="str">
        <f>TEXT('Working Sheet'!$B204,"mmm")</f>
        <v>Mar</v>
      </c>
      <c r="D204" s="23" t="s">
        <v>25</v>
      </c>
      <c r="E204" s="23" t="s">
        <v>32</v>
      </c>
      <c r="F204" s="23" t="s">
        <v>23</v>
      </c>
      <c r="G204" s="23" t="s">
        <v>20</v>
      </c>
      <c r="H204" s="23" t="s">
        <v>41</v>
      </c>
      <c r="I204" s="23" t="s">
        <v>22</v>
      </c>
      <c r="J204" s="24">
        <v>220000</v>
      </c>
      <c r="K204" s="23">
        <v>4</v>
      </c>
      <c r="L204" s="23" t="s">
        <v>24</v>
      </c>
      <c r="M204" s="25">
        <f t="shared" si="7"/>
        <v>176000</v>
      </c>
      <c r="N204" s="25">
        <f>'Working Sheet'!$J204*'Working Sheet'!$K204</f>
        <v>880000</v>
      </c>
      <c r="O204" s="26">
        <f>'Working Sheet'!$M204*'Working Sheet'!$K204</f>
        <v>704000</v>
      </c>
      <c r="P204" s="25">
        <f>'Working Sheet'!$N204-'Working Sheet'!$O204</f>
        <v>176000</v>
      </c>
    </row>
    <row r="205" spans="1:16" ht="14.25" customHeight="1" x14ac:dyDescent="0.25">
      <c r="A205" s="18" t="str">
        <f t="shared" ca="1" si="6"/>
        <v>ID_1025</v>
      </c>
      <c r="B205" s="17">
        <v>45658</v>
      </c>
      <c r="C205" s="18" t="str">
        <f>TEXT('Working Sheet'!$B205,"mmm")</f>
        <v>Jan</v>
      </c>
      <c r="D205" s="18" t="s">
        <v>25</v>
      </c>
      <c r="E205" s="18" t="s">
        <v>19</v>
      </c>
      <c r="F205" s="18" t="s">
        <v>23</v>
      </c>
      <c r="G205" s="18" t="s">
        <v>20</v>
      </c>
      <c r="H205" s="18" t="s">
        <v>15</v>
      </c>
      <c r="I205" s="18" t="s">
        <v>16</v>
      </c>
      <c r="J205" s="19">
        <v>85000</v>
      </c>
      <c r="K205" s="18">
        <v>10</v>
      </c>
      <c r="L205" s="18" t="s">
        <v>24</v>
      </c>
      <c r="M205" s="20">
        <f t="shared" si="7"/>
        <v>68000</v>
      </c>
      <c r="N205" s="20">
        <f>'Working Sheet'!$J205*'Working Sheet'!$K205</f>
        <v>850000</v>
      </c>
      <c r="O205" s="21">
        <f>'Working Sheet'!$M205*'Working Sheet'!$K205</f>
        <v>680000</v>
      </c>
      <c r="P205" s="20">
        <f>'Working Sheet'!$N205-'Working Sheet'!$O205</f>
        <v>170000</v>
      </c>
    </row>
    <row r="206" spans="1:16" ht="14.25" customHeight="1" x14ac:dyDescent="0.25">
      <c r="A206" s="23" t="str">
        <f t="shared" ca="1" si="6"/>
        <v>ID_2028</v>
      </c>
      <c r="B206" s="22">
        <v>45736</v>
      </c>
      <c r="C206" s="23" t="str">
        <f>TEXT('Working Sheet'!$B206,"mmm")</f>
        <v>Mar</v>
      </c>
      <c r="D206" s="23" t="s">
        <v>29</v>
      </c>
      <c r="E206" s="23" t="s">
        <v>26</v>
      </c>
      <c r="F206" s="23" t="s">
        <v>13</v>
      </c>
      <c r="G206" s="23" t="s">
        <v>20</v>
      </c>
      <c r="H206" s="23" t="s">
        <v>30</v>
      </c>
      <c r="I206" s="23" t="s">
        <v>31</v>
      </c>
      <c r="J206" s="24">
        <v>300000</v>
      </c>
      <c r="K206" s="23">
        <v>6</v>
      </c>
      <c r="L206" s="23" t="s">
        <v>39</v>
      </c>
      <c r="M206" s="25">
        <f t="shared" si="7"/>
        <v>240000</v>
      </c>
      <c r="N206" s="25">
        <f>'Working Sheet'!$J206*'Working Sheet'!$K206</f>
        <v>1800000</v>
      </c>
      <c r="O206" s="26">
        <f>'Working Sheet'!$M206*'Working Sheet'!$K206</f>
        <v>1440000</v>
      </c>
      <c r="P206" s="25">
        <f>'Working Sheet'!$N206-'Working Sheet'!$O206</f>
        <v>360000</v>
      </c>
    </row>
    <row r="207" spans="1:16" ht="14.25" customHeight="1" x14ac:dyDescent="0.25">
      <c r="A207" s="18" t="str">
        <f t="shared" ca="1" si="6"/>
        <v>ID_566</v>
      </c>
      <c r="B207" s="17">
        <v>45713</v>
      </c>
      <c r="C207" s="18" t="str">
        <f>TEXT('Working Sheet'!$B207,"mmm")</f>
        <v>Feb</v>
      </c>
      <c r="D207" s="18" t="s">
        <v>11</v>
      </c>
      <c r="E207" s="18" t="s">
        <v>12</v>
      </c>
      <c r="F207" s="18" t="s">
        <v>13</v>
      </c>
      <c r="G207" s="18" t="s">
        <v>14</v>
      </c>
      <c r="H207" s="18" t="s">
        <v>30</v>
      </c>
      <c r="I207" s="18" t="s">
        <v>31</v>
      </c>
      <c r="J207" s="19">
        <v>300000</v>
      </c>
      <c r="K207" s="18">
        <v>8</v>
      </c>
      <c r="L207" s="18" t="s">
        <v>37</v>
      </c>
      <c r="M207" s="20">
        <f t="shared" si="7"/>
        <v>240000</v>
      </c>
      <c r="N207" s="20">
        <f>'Working Sheet'!$J207*'Working Sheet'!$K207</f>
        <v>2400000</v>
      </c>
      <c r="O207" s="21">
        <f>'Working Sheet'!$M207*'Working Sheet'!$K207</f>
        <v>1920000</v>
      </c>
      <c r="P207" s="20">
        <f>'Working Sheet'!$N207-'Working Sheet'!$O207</f>
        <v>480000</v>
      </c>
    </row>
    <row r="208" spans="1:16" ht="14.25" customHeight="1" x14ac:dyDescent="0.25">
      <c r="A208" s="23" t="str">
        <f t="shared" ca="1" si="6"/>
        <v>ID_1237</v>
      </c>
      <c r="B208" s="22">
        <v>45691</v>
      </c>
      <c r="C208" s="23" t="str">
        <f>TEXT('Working Sheet'!$B208,"mmm")</f>
        <v>Feb</v>
      </c>
      <c r="D208" s="23" t="s">
        <v>25</v>
      </c>
      <c r="E208" s="23" t="s">
        <v>32</v>
      </c>
      <c r="F208" s="23" t="s">
        <v>23</v>
      </c>
      <c r="G208" s="23" t="s">
        <v>20</v>
      </c>
      <c r="H208" s="23" t="s">
        <v>34</v>
      </c>
      <c r="I208" s="23" t="s">
        <v>16</v>
      </c>
      <c r="J208" s="24">
        <v>320000</v>
      </c>
      <c r="K208" s="23">
        <v>4</v>
      </c>
      <c r="L208" s="23" t="s">
        <v>28</v>
      </c>
      <c r="M208" s="25">
        <f t="shared" si="7"/>
        <v>256000</v>
      </c>
      <c r="N208" s="25">
        <f>'Working Sheet'!$J208*'Working Sheet'!$K208</f>
        <v>1280000</v>
      </c>
      <c r="O208" s="26">
        <f>'Working Sheet'!$M208*'Working Sheet'!$K208</f>
        <v>1024000</v>
      </c>
      <c r="P208" s="25">
        <f>'Working Sheet'!$N208-'Working Sheet'!$O208</f>
        <v>256000</v>
      </c>
    </row>
    <row r="209" spans="1:16" ht="14.25" customHeight="1" x14ac:dyDescent="0.25">
      <c r="A209" s="18" t="str">
        <f t="shared" ca="1" si="6"/>
        <v>ID_1742</v>
      </c>
      <c r="B209" s="17">
        <v>45753</v>
      </c>
      <c r="C209" s="18" t="str">
        <f>TEXT('Working Sheet'!$B209,"mmm")</f>
        <v>Apr</v>
      </c>
      <c r="D209" s="18" t="s">
        <v>25</v>
      </c>
      <c r="E209" s="18" t="s">
        <v>19</v>
      </c>
      <c r="F209" s="18" t="s">
        <v>23</v>
      </c>
      <c r="G209" s="18" t="s">
        <v>14</v>
      </c>
      <c r="H209" s="18" t="s">
        <v>33</v>
      </c>
      <c r="I209" s="18" t="s">
        <v>22</v>
      </c>
      <c r="J209" s="19">
        <v>180000</v>
      </c>
      <c r="K209" s="18">
        <v>5</v>
      </c>
      <c r="L209" s="18" t="s">
        <v>39</v>
      </c>
      <c r="M209" s="20">
        <f t="shared" si="7"/>
        <v>144000</v>
      </c>
      <c r="N209" s="20">
        <f>'Working Sheet'!$J209*'Working Sheet'!$K209</f>
        <v>900000</v>
      </c>
      <c r="O209" s="21">
        <f>'Working Sheet'!$M209*'Working Sheet'!$K209</f>
        <v>720000</v>
      </c>
      <c r="P209" s="20">
        <f>'Working Sheet'!$N209-'Working Sheet'!$O209</f>
        <v>180000</v>
      </c>
    </row>
    <row r="210" spans="1:16" ht="14.25" customHeight="1" x14ac:dyDescent="0.25">
      <c r="A210" s="23" t="str">
        <f t="shared" ca="1" si="6"/>
        <v>ID_429</v>
      </c>
      <c r="B210" s="22">
        <v>45658</v>
      </c>
      <c r="C210" s="23" t="str">
        <f>TEXT('Working Sheet'!$B210,"mmm")</f>
        <v>Jan</v>
      </c>
      <c r="D210" s="23" t="s">
        <v>11</v>
      </c>
      <c r="E210" s="23" t="s">
        <v>12</v>
      </c>
      <c r="F210" s="23" t="s">
        <v>13</v>
      </c>
      <c r="G210" s="23" t="s">
        <v>20</v>
      </c>
      <c r="H210" s="23" t="s">
        <v>33</v>
      </c>
      <c r="I210" s="23" t="s">
        <v>22</v>
      </c>
      <c r="J210" s="24">
        <v>180000</v>
      </c>
      <c r="K210" s="23">
        <v>6</v>
      </c>
      <c r="L210" s="23" t="s">
        <v>35</v>
      </c>
      <c r="M210" s="25">
        <f t="shared" si="7"/>
        <v>144000</v>
      </c>
      <c r="N210" s="25">
        <f>'Working Sheet'!$J210*'Working Sheet'!$K210</f>
        <v>1080000</v>
      </c>
      <c r="O210" s="26">
        <f>'Working Sheet'!$M210*'Working Sheet'!$K210</f>
        <v>864000</v>
      </c>
      <c r="P210" s="25">
        <f>'Working Sheet'!$N210-'Working Sheet'!$O210</f>
        <v>216000</v>
      </c>
    </row>
    <row r="211" spans="1:16" ht="14.25" customHeight="1" x14ac:dyDescent="0.25">
      <c r="A211" s="18" t="str">
        <f t="shared" ca="1" si="6"/>
        <v>ID_598</v>
      </c>
      <c r="B211" s="17">
        <v>45731</v>
      </c>
      <c r="C211" s="18" t="str">
        <f>TEXT('Working Sheet'!$B211,"mmm")</f>
        <v>Mar</v>
      </c>
      <c r="D211" s="18" t="s">
        <v>18</v>
      </c>
      <c r="E211" s="18" t="s">
        <v>26</v>
      </c>
      <c r="F211" s="18" t="s">
        <v>23</v>
      </c>
      <c r="G211" s="18" t="s">
        <v>20</v>
      </c>
      <c r="H211" s="18" t="s">
        <v>36</v>
      </c>
      <c r="I211" s="18" t="s">
        <v>31</v>
      </c>
      <c r="J211" s="19">
        <v>150000</v>
      </c>
      <c r="K211" s="18">
        <v>9</v>
      </c>
      <c r="L211" s="18" t="s">
        <v>28</v>
      </c>
      <c r="M211" s="20">
        <f t="shared" si="7"/>
        <v>120000</v>
      </c>
      <c r="N211" s="20">
        <f>'Working Sheet'!$J211*'Working Sheet'!$K211</f>
        <v>1350000</v>
      </c>
      <c r="O211" s="21">
        <f>'Working Sheet'!$M211*'Working Sheet'!$K211</f>
        <v>1080000</v>
      </c>
      <c r="P211" s="20">
        <f>'Working Sheet'!$N211-'Working Sheet'!$O211</f>
        <v>270000</v>
      </c>
    </row>
    <row r="212" spans="1:16" ht="14.25" customHeight="1" x14ac:dyDescent="0.25">
      <c r="A212" s="23" t="str">
        <f t="shared" ca="1" si="6"/>
        <v>ID_2062</v>
      </c>
      <c r="B212" s="22">
        <v>45688</v>
      </c>
      <c r="C212" s="23" t="str">
        <f>TEXT('Working Sheet'!$B212,"mmm")</f>
        <v>Jan</v>
      </c>
      <c r="D212" s="23" t="s">
        <v>11</v>
      </c>
      <c r="E212" s="23" t="s">
        <v>12</v>
      </c>
      <c r="F212" s="23" t="s">
        <v>13</v>
      </c>
      <c r="G212" s="23" t="s">
        <v>14</v>
      </c>
      <c r="H212" s="23" t="s">
        <v>36</v>
      </c>
      <c r="I212" s="23" t="s">
        <v>31</v>
      </c>
      <c r="J212" s="24">
        <v>150000</v>
      </c>
      <c r="K212" s="23">
        <v>1</v>
      </c>
      <c r="L212" s="23" t="s">
        <v>35</v>
      </c>
      <c r="M212" s="25">
        <f t="shared" si="7"/>
        <v>120000</v>
      </c>
      <c r="N212" s="25">
        <f>'Working Sheet'!$J212*'Working Sheet'!$K212</f>
        <v>150000</v>
      </c>
      <c r="O212" s="26">
        <f>'Working Sheet'!$M212*'Working Sheet'!$K212</f>
        <v>120000</v>
      </c>
      <c r="P212" s="25">
        <f>'Working Sheet'!$N212-'Working Sheet'!$O212</f>
        <v>30000</v>
      </c>
    </row>
    <row r="213" spans="1:16" ht="14.25" customHeight="1" x14ac:dyDescent="0.25">
      <c r="A213" s="18" t="str">
        <f t="shared" ca="1" si="6"/>
        <v>ID_1549</v>
      </c>
      <c r="B213" s="17">
        <v>45669</v>
      </c>
      <c r="C213" s="18" t="str">
        <f>TEXT('Working Sheet'!$B213,"mmm")</f>
        <v>Jan</v>
      </c>
      <c r="D213" s="18" t="s">
        <v>18</v>
      </c>
      <c r="E213" s="18" t="s">
        <v>26</v>
      </c>
      <c r="F213" s="18" t="s">
        <v>13</v>
      </c>
      <c r="G213" s="18" t="s">
        <v>14</v>
      </c>
      <c r="H213" s="18" t="s">
        <v>33</v>
      </c>
      <c r="I213" s="18" t="s">
        <v>22</v>
      </c>
      <c r="J213" s="19">
        <v>180000</v>
      </c>
      <c r="K213" s="18">
        <v>8</v>
      </c>
      <c r="L213" s="18" t="s">
        <v>35</v>
      </c>
      <c r="M213" s="20">
        <f t="shared" si="7"/>
        <v>144000</v>
      </c>
      <c r="N213" s="20">
        <f>'Working Sheet'!$J213*'Working Sheet'!$K213</f>
        <v>1440000</v>
      </c>
      <c r="O213" s="21">
        <f>'Working Sheet'!$M213*'Working Sheet'!$K213</f>
        <v>1152000</v>
      </c>
      <c r="P213" s="20">
        <f>'Working Sheet'!$N213-'Working Sheet'!$O213</f>
        <v>288000</v>
      </c>
    </row>
    <row r="214" spans="1:16" ht="14.25" customHeight="1" x14ac:dyDescent="0.25">
      <c r="A214" s="23" t="str">
        <f t="shared" ca="1" si="6"/>
        <v>ID_840</v>
      </c>
      <c r="B214" s="22">
        <v>45727</v>
      </c>
      <c r="C214" s="23" t="str">
        <f>TEXT('Working Sheet'!$B214,"mmm")</f>
        <v>Mar</v>
      </c>
      <c r="D214" s="23" t="s">
        <v>11</v>
      </c>
      <c r="E214" s="23" t="s">
        <v>12</v>
      </c>
      <c r="F214" s="23" t="s">
        <v>13</v>
      </c>
      <c r="G214" s="23" t="s">
        <v>20</v>
      </c>
      <c r="H214" s="23" t="s">
        <v>33</v>
      </c>
      <c r="I214" s="23" t="s">
        <v>22</v>
      </c>
      <c r="J214" s="24">
        <v>180000</v>
      </c>
      <c r="K214" s="23">
        <v>6</v>
      </c>
      <c r="L214" s="23" t="s">
        <v>28</v>
      </c>
      <c r="M214" s="25">
        <f t="shared" si="7"/>
        <v>144000</v>
      </c>
      <c r="N214" s="25">
        <f>'Working Sheet'!$J214*'Working Sheet'!$K214</f>
        <v>1080000</v>
      </c>
      <c r="O214" s="26">
        <f>'Working Sheet'!$M214*'Working Sheet'!$K214</f>
        <v>864000</v>
      </c>
      <c r="P214" s="25">
        <f>'Working Sheet'!$N214-'Working Sheet'!$O214</f>
        <v>216000</v>
      </c>
    </row>
    <row r="215" spans="1:16" ht="14.25" customHeight="1" x14ac:dyDescent="0.25">
      <c r="A215" s="18" t="str">
        <f t="shared" ca="1" si="6"/>
        <v>ID_1882</v>
      </c>
      <c r="B215" s="17">
        <v>45758</v>
      </c>
      <c r="C215" s="18" t="str">
        <f>TEXT('Working Sheet'!$B215,"mmm")</f>
        <v>Apr</v>
      </c>
      <c r="D215" s="18" t="s">
        <v>29</v>
      </c>
      <c r="E215" s="18" t="s">
        <v>32</v>
      </c>
      <c r="F215" s="18" t="s">
        <v>23</v>
      </c>
      <c r="G215" s="18" t="s">
        <v>14</v>
      </c>
      <c r="H215" s="18" t="s">
        <v>33</v>
      </c>
      <c r="I215" s="18" t="s">
        <v>22</v>
      </c>
      <c r="J215" s="19">
        <v>180000</v>
      </c>
      <c r="K215" s="18">
        <v>3</v>
      </c>
      <c r="L215" s="18" t="s">
        <v>37</v>
      </c>
      <c r="M215" s="20">
        <f t="shared" si="7"/>
        <v>144000</v>
      </c>
      <c r="N215" s="20">
        <f>'Working Sheet'!$J215*'Working Sheet'!$K215</f>
        <v>540000</v>
      </c>
      <c r="O215" s="21">
        <f>'Working Sheet'!$M215*'Working Sheet'!$K215</f>
        <v>432000</v>
      </c>
      <c r="P215" s="20">
        <f>'Working Sheet'!$N215-'Working Sheet'!$O215</f>
        <v>108000</v>
      </c>
    </row>
    <row r="216" spans="1:16" ht="14.25" customHeight="1" x14ac:dyDescent="0.25">
      <c r="A216" s="23" t="str">
        <f t="shared" ca="1" si="6"/>
        <v>ID_466</v>
      </c>
      <c r="B216" s="22">
        <v>45730</v>
      </c>
      <c r="C216" s="23" t="str">
        <f>TEXT('Working Sheet'!$B216,"mmm")</f>
        <v>Mar</v>
      </c>
      <c r="D216" s="23" t="s">
        <v>29</v>
      </c>
      <c r="E216" s="23" t="s">
        <v>26</v>
      </c>
      <c r="F216" s="23" t="s">
        <v>13</v>
      </c>
      <c r="G216" s="23" t="s">
        <v>14</v>
      </c>
      <c r="H216" s="23" t="s">
        <v>36</v>
      </c>
      <c r="I216" s="23" t="s">
        <v>31</v>
      </c>
      <c r="J216" s="24">
        <v>150000</v>
      </c>
      <c r="K216" s="23">
        <v>10</v>
      </c>
      <c r="L216" s="23" t="s">
        <v>17</v>
      </c>
      <c r="M216" s="25">
        <f t="shared" si="7"/>
        <v>120000</v>
      </c>
      <c r="N216" s="25">
        <f>'Working Sheet'!$J216*'Working Sheet'!$K216</f>
        <v>1500000</v>
      </c>
      <c r="O216" s="26">
        <f>'Working Sheet'!$M216*'Working Sheet'!$K216</f>
        <v>1200000</v>
      </c>
      <c r="P216" s="25">
        <f>'Working Sheet'!$N216-'Working Sheet'!$O216</f>
        <v>300000</v>
      </c>
    </row>
    <row r="217" spans="1:16" ht="14.25" customHeight="1" x14ac:dyDescent="0.25">
      <c r="A217" s="18" t="str">
        <f t="shared" ca="1" si="6"/>
        <v>ID_1354</v>
      </c>
      <c r="B217" s="17">
        <v>45759</v>
      </c>
      <c r="C217" s="18" t="str">
        <f>TEXT('Working Sheet'!$B217,"mmm")</f>
        <v>Apr</v>
      </c>
      <c r="D217" s="18" t="s">
        <v>25</v>
      </c>
      <c r="E217" s="18" t="s">
        <v>26</v>
      </c>
      <c r="F217" s="18" t="s">
        <v>13</v>
      </c>
      <c r="G217" s="18" t="s">
        <v>20</v>
      </c>
      <c r="H217" s="18" t="s">
        <v>33</v>
      </c>
      <c r="I217" s="18" t="s">
        <v>22</v>
      </c>
      <c r="J217" s="19">
        <v>180000</v>
      </c>
      <c r="K217" s="18">
        <v>8</v>
      </c>
      <c r="L217" s="18" t="s">
        <v>37</v>
      </c>
      <c r="M217" s="20">
        <f t="shared" si="7"/>
        <v>144000</v>
      </c>
      <c r="N217" s="20">
        <f>'Working Sheet'!$J217*'Working Sheet'!$K217</f>
        <v>1440000</v>
      </c>
      <c r="O217" s="21">
        <f>'Working Sheet'!$M217*'Working Sheet'!$K217</f>
        <v>1152000</v>
      </c>
      <c r="P217" s="20">
        <f>'Working Sheet'!$N217-'Working Sheet'!$O217</f>
        <v>288000</v>
      </c>
    </row>
    <row r="218" spans="1:16" ht="14.25" customHeight="1" x14ac:dyDescent="0.25">
      <c r="A218" s="23" t="str">
        <f t="shared" ca="1" si="6"/>
        <v>ID_263</v>
      </c>
      <c r="B218" s="22">
        <v>45708</v>
      </c>
      <c r="C218" s="23" t="str">
        <f>TEXT('Working Sheet'!$B218,"mmm")</f>
        <v>Feb</v>
      </c>
      <c r="D218" s="23" t="s">
        <v>11</v>
      </c>
      <c r="E218" s="23" t="s">
        <v>26</v>
      </c>
      <c r="F218" s="23" t="s">
        <v>13</v>
      </c>
      <c r="G218" s="23" t="s">
        <v>20</v>
      </c>
      <c r="H218" s="23" t="s">
        <v>30</v>
      </c>
      <c r="I218" s="23" t="s">
        <v>31</v>
      </c>
      <c r="J218" s="24">
        <v>300000</v>
      </c>
      <c r="K218" s="23">
        <v>8</v>
      </c>
      <c r="L218" s="23" t="s">
        <v>28</v>
      </c>
      <c r="M218" s="25">
        <f t="shared" si="7"/>
        <v>240000</v>
      </c>
      <c r="N218" s="25">
        <f>'Working Sheet'!$J218*'Working Sheet'!$K218</f>
        <v>2400000</v>
      </c>
      <c r="O218" s="26">
        <f>'Working Sheet'!$M218*'Working Sheet'!$K218</f>
        <v>1920000</v>
      </c>
      <c r="P218" s="25">
        <f>'Working Sheet'!$N218-'Working Sheet'!$O218</f>
        <v>480000</v>
      </c>
    </row>
    <row r="219" spans="1:16" ht="14.25" customHeight="1" x14ac:dyDescent="0.25">
      <c r="A219" s="18" t="str">
        <f t="shared" ca="1" si="6"/>
        <v>ID_702</v>
      </c>
      <c r="B219" s="17">
        <v>45693</v>
      </c>
      <c r="C219" s="18" t="str">
        <f>TEXT('Working Sheet'!$B219,"mmm")</f>
        <v>Feb</v>
      </c>
      <c r="D219" s="18" t="s">
        <v>11</v>
      </c>
      <c r="E219" s="18" t="s">
        <v>26</v>
      </c>
      <c r="F219" s="18" t="s">
        <v>13</v>
      </c>
      <c r="G219" s="18" t="s">
        <v>20</v>
      </c>
      <c r="H219" s="18" t="s">
        <v>34</v>
      </c>
      <c r="I219" s="18" t="s">
        <v>16</v>
      </c>
      <c r="J219" s="19">
        <v>320000</v>
      </c>
      <c r="K219" s="18">
        <v>9</v>
      </c>
      <c r="L219" s="18" t="s">
        <v>35</v>
      </c>
      <c r="M219" s="20">
        <f t="shared" si="7"/>
        <v>256000</v>
      </c>
      <c r="N219" s="20">
        <f>'Working Sheet'!$J219*'Working Sheet'!$K219</f>
        <v>2880000</v>
      </c>
      <c r="O219" s="21">
        <f>'Working Sheet'!$M219*'Working Sheet'!$K219</f>
        <v>2304000</v>
      </c>
      <c r="P219" s="20">
        <f>'Working Sheet'!$N219-'Working Sheet'!$O219</f>
        <v>576000</v>
      </c>
    </row>
    <row r="220" spans="1:16" ht="14.25" customHeight="1" x14ac:dyDescent="0.25">
      <c r="A220" s="23" t="str">
        <f t="shared" ca="1" si="6"/>
        <v>ID_1701</v>
      </c>
      <c r="B220" s="22">
        <v>45675</v>
      </c>
      <c r="C220" s="23" t="str">
        <f>TEXT('Working Sheet'!$B220,"mmm")</f>
        <v>Jan</v>
      </c>
      <c r="D220" s="23" t="s">
        <v>25</v>
      </c>
      <c r="E220" s="23" t="s">
        <v>26</v>
      </c>
      <c r="F220" s="23" t="s">
        <v>13</v>
      </c>
      <c r="G220" s="23" t="s">
        <v>14</v>
      </c>
      <c r="H220" s="23" t="s">
        <v>34</v>
      </c>
      <c r="I220" s="23" t="s">
        <v>16</v>
      </c>
      <c r="J220" s="24">
        <v>320000</v>
      </c>
      <c r="K220" s="23">
        <v>7</v>
      </c>
      <c r="L220" s="23" t="s">
        <v>39</v>
      </c>
      <c r="M220" s="25">
        <f t="shared" si="7"/>
        <v>256000</v>
      </c>
      <c r="N220" s="25">
        <f>'Working Sheet'!$J220*'Working Sheet'!$K220</f>
        <v>2240000</v>
      </c>
      <c r="O220" s="26">
        <f>'Working Sheet'!$M220*'Working Sheet'!$K220</f>
        <v>1792000</v>
      </c>
      <c r="P220" s="25">
        <f>'Working Sheet'!$N220-'Working Sheet'!$O220</f>
        <v>448000</v>
      </c>
    </row>
    <row r="221" spans="1:16" ht="14.25" customHeight="1" x14ac:dyDescent="0.25">
      <c r="A221" s="18" t="str">
        <f t="shared" ca="1" si="6"/>
        <v>ID_1651</v>
      </c>
      <c r="B221" s="17">
        <v>45773</v>
      </c>
      <c r="C221" s="18" t="str">
        <f>TEXT('Working Sheet'!$B221,"mmm")</f>
        <v>Apr</v>
      </c>
      <c r="D221" s="18" t="s">
        <v>18</v>
      </c>
      <c r="E221" s="18" t="s">
        <v>32</v>
      </c>
      <c r="F221" s="18" t="s">
        <v>13</v>
      </c>
      <c r="G221" s="18" t="s">
        <v>14</v>
      </c>
      <c r="H221" s="18" t="s">
        <v>36</v>
      </c>
      <c r="I221" s="18" t="s">
        <v>31</v>
      </c>
      <c r="J221" s="19">
        <v>150000</v>
      </c>
      <c r="K221" s="18">
        <v>7</v>
      </c>
      <c r="L221" s="18" t="s">
        <v>24</v>
      </c>
      <c r="M221" s="20">
        <f t="shared" si="7"/>
        <v>120000</v>
      </c>
      <c r="N221" s="20">
        <f>'Working Sheet'!$J221*'Working Sheet'!$K221</f>
        <v>1050000</v>
      </c>
      <c r="O221" s="21">
        <f>'Working Sheet'!$M221*'Working Sheet'!$K221</f>
        <v>840000</v>
      </c>
      <c r="P221" s="20">
        <f>'Working Sheet'!$N221-'Working Sheet'!$O221</f>
        <v>210000</v>
      </c>
    </row>
    <row r="222" spans="1:16" ht="14.25" customHeight="1" x14ac:dyDescent="0.25">
      <c r="A222" s="23" t="str">
        <f t="shared" ca="1" si="6"/>
        <v>ID_1038</v>
      </c>
      <c r="B222" s="22">
        <v>45678</v>
      </c>
      <c r="C222" s="23" t="str">
        <f>TEXT('Working Sheet'!$B222,"mmm")</f>
        <v>Jan</v>
      </c>
      <c r="D222" s="23" t="s">
        <v>18</v>
      </c>
      <c r="E222" s="23" t="s">
        <v>32</v>
      </c>
      <c r="F222" s="23" t="s">
        <v>13</v>
      </c>
      <c r="G222" s="23" t="s">
        <v>20</v>
      </c>
      <c r="H222" s="23" t="s">
        <v>41</v>
      </c>
      <c r="I222" s="23" t="s">
        <v>22</v>
      </c>
      <c r="J222" s="24">
        <v>220000</v>
      </c>
      <c r="K222" s="23">
        <v>6</v>
      </c>
      <c r="L222" s="23" t="s">
        <v>39</v>
      </c>
      <c r="M222" s="25">
        <f t="shared" si="7"/>
        <v>176000</v>
      </c>
      <c r="N222" s="25">
        <f>'Working Sheet'!$J222*'Working Sheet'!$K222</f>
        <v>1320000</v>
      </c>
      <c r="O222" s="26">
        <f>'Working Sheet'!$M222*'Working Sheet'!$K222</f>
        <v>1056000</v>
      </c>
      <c r="P222" s="25">
        <f>'Working Sheet'!$N222-'Working Sheet'!$O222</f>
        <v>264000</v>
      </c>
    </row>
    <row r="223" spans="1:16" ht="14.25" customHeight="1" x14ac:dyDescent="0.25">
      <c r="A223" s="18" t="str">
        <f t="shared" ca="1" si="6"/>
        <v>ID_1850</v>
      </c>
      <c r="B223" s="17">
        <v>45732</v>
      </c>
      <c r="C223" s="18" t="str">
        <f>TEXT('Working Sheet'!$B223,"mmm")</f>
        <v>Mar</v>
      </c>
      <c r="D223" s="18" t="s">
        <v>29</v>
      </c>
      <c r="E223" s="18" t="s">
        <v>19</v>
      </c>
      <c r="F223" s="18" t="s">
        <v>13</v>
      </c>
      <c r="G223" s="18" t="s">
        <v>14</v>
      </c>
      <c r="H223" s="18" t="s">
        <v>40</v>
      </c>
      <c r="I223" s="18" t="s">
        <v>31</v>
      </c>
      <c r="J223" s="19">
        <v>250000</v>
      </c>
      <c r="K223" s="18">
        <v>1</v>
      </c>
      <c r="L223" s="18" t="s">
        <v>35</v>
      </c>
      <c r="M223" s="20">
        <f t="shared" si="7"/>
        <v>200000</v>
      </c>
      <c r="N223" s="20">
        <f>'Working Sheet'!$J223*'Working Sheet'!$K223</f>
        <v>250000</v>
      </c>
      <c r="O223" s="21">
        <f>'Working Sheet'!$M223*'Working Sheet'!$K223</f>
        <v>200000</v>
      </c>
      <c r="P223" s="20">
        <f>'Working Sheet'!$N223-'Working Sheet'!$O223</f>
        <v>50000</v>
      </c>
    </row>
    <row r="224" spans="1:16" ht="14.25" customHeight="1" x14ac:dyDescent="0.25">
      <c r="A224" s="23" t="str">
        <f t="shared" ca="1" si="6"/>
        <v>ID_1275</v>
      </c>
      <c r="B224" s="22">
        <v>45734</v>
      </c>
      <c r="C224" s="23" t="str">
        <f>TEXT('Working Sheet'!$B224,"mmm")</f>
        <v>Mar</v>
      </c>
      <c r="D224" s="23" t="s">
        <v>11</v>
      </c>
      <c r="E224" s="23" t="s">
        <v>19</v>
      </c>
      <c r="F224" s="23" t="s">
        <v>13</v>
      </c>
      <c r="G224" s="23" t="s">
        <v>14</v>
      </c>
      <c r="H224" s="23" t="s">
        <v>27</v>
      </c>
      <c r="I224" s="23" t="s">
        <v>22</v>
      </c>
      <c r="J224" s="24">
        <v>60000</v>
      </c>
      <c r="K224" s="23">
        <v>4</v>
      </c>
      <c r="L224" s="23" t="s">
        <v>24</v>
      </c>
      <c r="M224" s="25">
        <f t="shared" si="7"/>
        <v>48000</v>
      </c>
      <c r="N224" s="25">
        <f>'Working Sheet'!$J224*'Working Sheet'!$K224</f>
        <v>240000</v>
      </c>
      <c r="O224" s="26">
        <f>'Working Sheet'!$M224*'Working Sheet'!$K224</f>
        <v>192000</v>
      </c>
      <c r="P224" s="25">
        <f>'Working Sheet'!$N224-'Working Sheet'!$O224</f>
        <v>48000</v>
      </c>
    </row>
    <row r="225" spans="1:16" ht="14.25" customHeight="1" x14ac:dyDescent="0.25">
      <c r="A225" s="18" t="str">
        <f t="shared" ca="1" si="6"/>
        <v>ID_2015</v>
      </c>
      <c r="B225" s="17">
        <v>45659</v>
      </c>
      <c r="C225" s="18" t="str">
        <f>TEXT('Working Sheet'!$B225,"mmm")</f>
        <v>Jan</v>
      </c>
      <c r="D225" s="18" t="s">
        <v>29</v>
      </c>
      <c r="E225" s="18" t="s">
        <v>19</v>
      </c>
      <c r="F225" s="18" t="s">
        <v>13</v>
      </c>
      <c r="G225" s="18" t="s">
        <v>14</v>
      </c>
      <c r="H225" s="18" t="s">
        <v>15</v>
      </c>
      <c r="I225" s="18" t="s">
        <v>16</v>
      </c>
      <c r="J225" s="19">
        <v>85000</v>
      </c>
      <c r="K225" s="18">
        <v>9</v>
      </c>
      <c r="L225" s="18" t="s">
        <v>24</v>
      </c>
      <c r="M225" s="20">
        <f t="shared" si="7"/>
        <v>68000</v>
      </c>
      <c r="N225" s="20">
        <f>'Working Sheet'!$J225*'Working Sheet'!$K225</f>
        <v>765000</v>
      </c>
      <c r="O225" s="21">
        <f>'Working Sheet'!$M225*'Working Sheet'!$K225</f>
        <v>612000</v>
      </c>
      <c r="P225" s="20">
        <f>'Working Sheet'!$N225-'Working Sheet'!$O225</f>
        <v>153000</v>
      </c>
    </row>
    <row r="226" spans="1:16" ht="14.25" customHeight="1" x14ac:dyDescent="0.25">
      <c r="A226" s="23" t="str">
        <f t="shared" ca="1" si="6"/>
        <v>ID_564</v>
      </c>
      <c r="B226" s="22">
        <v>45718</v>
      </c>
      <c r="C226" s="23" t="str">
        <f>TEXT('Working Sheet'!$B226,"mmm")</f>
        <v>Mar</v>
      </c>
      <c r="D226" s="23" t="s">
        <v>11</v>
      </c>
      <c r="E226" s="23" t="s">
        <v>12</v>
      </c>
      <c r="F226" s="23" t="s">
        <v>13</v>
      </c>
      <c r="G226" s="23" t="s">
        <v>14</v>
      </c>
      <c r="H226" s="23" t="s">
        <v>33</v>
      </c>
      <c r="I226" s="23" t="s">
        <v>22</v>
      </c>
      <c r="J226" s="24">
        <v>180000</v>
      </c>
      <c r="K226" s="23">
        <v>5</v>
      </c>
      <c r="L226" s="23" t="s">
        <v>17</v>
      </c>
      <c r="M226" s="25">
        <f t="shared" si="7"/>
        <v>144000</v>
      </c>
      <c r="N226" s="25">
        <f>'Working Sheet'!$J226*'Working Sheet'!$K226</f>
        <v>900000</v>
      </c>
      <c r="O226" s="26">
        <f>'Working Sheet'!$M226*'Working Sheet'!$K226</f>
        <v>720000</v>
      </c>
      <c r="P226" s="25">
        <f>'Working Sheet'!$N226-'Working Sheet'!$O226</f>
        <v>180000</v>
      </c>
    </row>
    <row r="227" spans="1:16" ht="14.25" customHeight="1" x14ac:dyDescent="0.25">
      <c r="A227" s="18" t="str">
        <f t="shared" ca="1" si="6"/>
        <v>ID_394</v>
      </c>
      <c r="B227" s="17">
        <v>45681</v>
      </c>
      <c r="C227" s="18" t="str">
        <f>TEXT('Working Sheet'!$B227,"mmm")</f>
        <v>Jan</v>
      </c>
      <c r="D227" s="18" t="s">
        <v>11</v>
      </c>
      <c r="E227" s="18" t="s">
        <v>19</v>
      </c>
      <c r="F227" s="18" t="s">
        <v>13</v>
      </c>
      <c r="G227" s="18" t="s">
        <v>20</v>
      </c>
      <c r="H227" s="18" t="s">
        <v>36</v>
      </c>
      <c r="I227" s="18" t="s">
        <v>31</v>
      </c>
      <c r="J227" s="19">
        <v>150000</v>
      </c>
      <c r="K227" s="18">
        <v>4</v>
      </c>
      <c r="L227" s="18" t="s">
        <v>17</v>
      </c>
      <c r="M227" s="20">
        <f t="shared" si="7"/>
        <v>120000</v>
      </c>
      <c r="N227" s="20">
        <f>'Working Sheet'!$J227*'Working Sheet'!$K227</f>
        <v>600000</v>
      </c>
      <c r="O227" s="21">
        <f>'Working Sheet'!$M227*'Working Sheet'!$K227</f>
        <v>480000</v>
      </c>
      <c r="P227" s="20">
        <f>'Working Sheet'!$N227-'Working Sheet'!$O227</f>
        <v>120000</v>
      </c>
    </row>
    <row r="228" spans="1:16" ht="14.25" customHeight="1" x14ac:dyDescent="0.25">
      <c r="A228" s="23" t="str">
        <f t="shared" ca="1" si="6"/>
        <v>ID_959</v>
      </c>
      <c r="B228" s="22">
        <v>45703</v>
      </c>
      <c r="C228" s="23" t="str">
        <f>TEXT('Working Sheet'!$B228,"mmm")</f>
        <v>Feb</v>
      </c>
      <c r="D228" s="23" t="s">
        <v>29</v>
      </c>
      <c r="E228" s="23" t="s">
        <v>19</v>
      </c>
      <c r="F228" s="23" t="s">
        <v>13</v>
      </c>
      <c r="G228" s="23" t="s">
        <v>14</v>
      </c>
      <c r="H228" s="23" t="s">
        <v>36</v>
      </c>
      <c r="I228" s="23" t="s">
        <v>31</v>
      </c>
      <c r="J228" s="24">
        <v>150000</v>
      </c>
      <c r="K228" s="23">
        <v>4</v>
      </c>
      <c r="L228" s="23" t="s">
        <v>28</v>
      </c>
      <c r="M228" s="25">
        <f t="shared" si="7"/>
        <v>120000</v>
      </c>
      <c r="N228" s="25">
        <f>'Working Sheet'!$J228*'Working Sheet'!$K228</f>
        <v>600000</v>
      </c>
      <c r="O228" s="26">
        <f>'Working Sheet'!$M228*'Working Sheet'!$K228</f>
        <v>480000</v>
      </c>
      <c r="P228" s="25">
        <f>'Working Sheet'!$N228-'Working Sheet'!$O228</f>
        <v>120000</v>
      </c>
    </row>
    <row r="229" spans="1:16" ht="14.25" customHeight="1" x14ac:dyDescent="0.25">
      <c r="A229" s="18" t="str">
        <f t="shared" ca="1" si="6"/>
        <v>ID_950</v>
      </c>
      <c r="B229" s="17">
        <v>45763</v>
      </c>
      <c r="C229" s="18" t="str">
        <f>TEXT('Working Sheet'!$B229,"mmm")</f>
        <v>Apr</v>
      </c>
      <c r="D229" s="18" t="s">
        <v>18</v>
      </c>
      <c r="E229" s="18" t="s">
        <v>19</v>
      </c>
      <c r="F229" s="18" t="s">
        <v>23</v>
      </c>
      <c r="G229" s="18" t="s">
        <v>14</v>
      </c>
      <c r="H229" s="18" t="s">
        <v>21</v>
      </c>
      <c r="I229" s="18" t="s">
        <v>22</v>
      </c>
      <c r="J229" s="19">
        <v>30000</v>
      </c>
      <c r="K229" s="18">
        <v>2</v>
      </c>
      <c r="L229" s="18" t="s">
        <v>28</v>
      </c>
      <c r="M229" s="20">
        <f t="shared" si="7"/>
        <v>24000</v>
      </c>
      <c r="N229" s="20">
        <f>'Working Sheet'!$J229*'Working Sheet'!$K229</f>
        <v>60000</v>
      </c>
      <c r="O229" s="21">
        <f>'Working Sheet'!$M229*'Working Sheet'!$K229</f>
        <v>48000</v>
      </c>
      <c r="P229" s="20">
        <f>'Working Sheet'!$N229-'Working Sheet'!$O229</f>
        <v>12000</v>
      </c>
    </row>
    <row r="230" spans="1:16" ht="14.25" customHeight="1" x14ac:dyDescent="0.25">
      <c r="A230" s="23" t="str">
        <f t="shared" ca="1" si="6"/>
        <v>ID_1104</v>
      </c>
      <c r="B230" s="22">
        <v>45771</v>
      </c>
      <c r="C230" s="23" t="str">
        <f>TEXT('Working Sheet'!$B230,"mmm")</f>
        <v>Apr</v>
      </c>
      <c r="D230" s="23" t="s">
        <v>25</v>
      </c>
      <c r="E230" s="23" t="s">
        <v>32</v>
      </c>
      <c r="F230" s="23" t="s">
        <v>23</v>
      </c>
      <c r="G230" s="23" t="s">
        <v>14</v>
      </c>
      <c r="H230" s="23" t="s">
        <v>33</v>
      </c>
      <c r="I230" s="23" t="s">
        <v>22</v>
      </c>
      <c r="J230" s="24">
        <v>180000</v>
      </c>
      <c r="K230" s="23">
        <v>6</v>
      </c>
      <c r="L230" s="23" t="s">
        <v>37</v>
      </c>
      <c r="M230" s="25">
        <f t="shared" si="7"/>
        <v>144000</v>
      </c>
      <c r="N230" s="25">
        <f>'Working Sheet'!$J230*'Working Sheet'!$K230</f>
        <v>1080000</v>
      </c>
      <c r="O230" s="26">
        <f>'Working Sheet'!$M230*'Working Sheet'!$K230</f>
        <v>864000</v>
      </c>
      <c r="P230" s="25">
        <f>'Working Sheet'!$N230-'Working Sheet'!$O230</f>
        <v>216000</v>
      </c>
    </row>
    <row r="231" spans="1:16" ht="14.25" customHeight="1" x14ac:dyDescent="0.25">
      <c r="A231" s="18" t="str">
        <f t="shared" ca="1" si="6"/>
        <v>ID_294</v>
      </c>
      <c r="B231" s="17">
        <v>45757</v>
      </c>
      <c r="C231" s="18" t="str">
        <f>TEXT('Working Sheet'!$B231,"mmm")</f>
        <v>Apr</v>
      </c>
      <c r="D231" s="18" t="s">
        <v>29</v>
      </c>
      <c r="E231" s="18" t="s">
        <v>26</v>
      </c>
      <c r="F231" s="18" t="s">
        <v>23</v>
      </c>
      <c r="G231" s="18" t="s">
        <v>20</v>
      </c>
      <c r="H231" s="18" t="s">
        <v>27</v>
      </c>
      <c r="I231" s="18" t="s">
        <v>22</v>
      </c>
      <c r="J231" s="19">
        <v>60000</v>
      </c>
      <c r="K231" s="18">
        <v>9</v>
      </c>
      <c r="L231" s="18" t="s">
        <v>39</v>
      </c>
      <c r="M231" s="20">
        <f t="shared" si="7"/>
        <v>48000</v>
      </c>
      <c r="N231" s="20">
        <f>'Working Sheet'!$J231*'Working Sheet'!$K231</f>
        <v>540000</v>
      </c>
      <c r="O231" s="21">
        <f>'Working Sheet'!$M231*'Working Sheet'!$K231</f>
        <v>432000</v>
      </c>
      <c r="P231" s="20">
        <f>'Working Sheet'!$N231-'Working Sheet'!$O231</f>
        <v>108000</v>
      </c>
    </row>
    <row r="232" spans="1:16" ht="14.25" customHeight="1" x14ac:dyDescent="0.25">
      <c r="A232" s="23" t="str">
        <f t="shared" ca="1" si="6"/>
        <v>ID_1019</v>
      </c>
      <c r="B232" s="22">
        <v>45719</v>
      </c>
      <c r="C232" s="23" t="str">
        <f>TEXT('Working Sheet'!$B232,"mmm")</f>
        <v>Mar</v>
      </c>
      <c r="D232" s="23" t="s">
        <v>25</v>
      </c>
      <c r="E232" s="23" t="s">
        <v>12</v>
      </c>
      <c r="F232" s="23" t="s">
        <v>13</v>
      </c>
      <c r="G232" s="23" t="s">
        <v>14</v>
      </c>
      <c r="H232" s="23" t="s">
        <v>36</v>
      </c>
      <c r="I232" s="23" t="s">
        <v>31</v>
      </c>
      <c r="J232" s="24">
        <v>150000</v>
      </c>
      <c r="K232" s="23">
        <v>3</v>
      </c>
      <c r="L232" s="23" t="s">
        <v>24</v>
      </c>
      <c r="M232" s="25">
        <f t="shared" si="7"/>
        <v>120000</v>
      </c>
      <c r="N232" s="25">
        <f>'Working Sheet'!$J232*'Working Sheet'!$K232</f>
        <v>450000</v>
      </c>
      <c r="O232" s="26">
        <f>'Working Sheet'!$M232*'Working Sheet'!$K232</f>
        <v>360000</v>
      </c>
      <c r="P232" s="25">
        <f>'Working Sheet'!$N232-'Working Sheet'!$O232</f>
        <v>90000</v>
      </c>
    </row>
    <row r="233" spans="1:16" ht="14.25" customHeight="1" x14ac:dyDescent="0.25">
      <c r="A233" s="18" t="str">
        <f t="shared" ca="1" si="6"/>
        <v>ID_894</v>
      </c>
      <c r="B233" s="17">
        <v>45765</v>
      </c>
      <c r="C233" s="18" t="str">
        <f>TEXT('Working Sheet'!$B233,"mmm")</f>
        <v>Apr</v>
      </c>
      <c r="D233" s="18" t="s">
        <v>29</v>
      </c>
      <c r="E233" s="18" t="s">
        <v>19</v>
      </c>
      <c r="F233" s="18" t="s">
        <v>13</v>
      </c>
      <c r="G233" s="18" t="s">
        <v>14</v>
      </c>
      <c r="H233" s="18" t="s">
        <v>15</v>
      </c>
      <c r="I233" s="18" t="s">
        <v>16</v>
      </c>
      <c r="J233" s="19">
        <v>85000</v>
      </c>
      <c r="K233" s="18">
        <v>3</v>
      </c>
      <c r="L233" s="18" t="s">
        <v>28</v>
      </c>
      <c r="M233" s="20">
        <f t="shared" si="7"/>
        <v>68000</v>
      </c>
      <c r="N233" s="20">
        <f>'Working Sheet'!$J233*'Working Sheet'!$K233</f>
        <v>255000</v>
      </c>
      <c r="O233" s="21">
        <f>'Working Sheet'!$M233*'Working Sheet'!$K233</f>
        <v>204000</v>
      </c>
      <c r="P233" s="20">
        <f>'Working Sheet'!$N233-'Working Sheet'!$O233</f>
        <v>51000</v>
      </c>
    </row>
    <row r="234" spans="1:16" ht="14.25" customHeight="1" x14ac:dyDescent="0.25">
      <c r="A234" s="23" t="str">
        <f t="shared" ca="1" si="6"/>
        <v>ID_1122</v>
      </c>
      <c r="B234" s="22">
        <v>45750</v>
      </c>
      <c r="C234" s="23" t="str">
        <f>TEXT('Working Sheet'!$B234,"mmm")</f>
        <v>Apr</v>
      </c>
      <c r="D234" s="23" t="s">
        <v>18</v>
      </c>
      <c r="E234" s="23" t="s">
        <v>12</v>
      </c>
      <c r="F234" s="23" t="s">
        <v>23</v>
      </c>
      <c r="G234" s="23" t="s">
        <v>20</v>
      </c>
      <c r="H234" s="23" t="s">
        <v>21</v>
      </c>
      <c r="I234" s="23" t="s">
        <v>22</v>
      </c>
      <c r="J234" s="24">
        <v>30000</v>
      </c>
      <c r="K234" s="23">
        <v>3</v>
      </c>
      <c r="L234" s="23" t="s">
        <v>35</v>
      </c>
      <c r="M234" s="25">
        <f t="shared" si="7"/>
        <v>24000</v>
      </c>
      <c r="N234" s="25">
        <f>'Working Sheet'!$J234*'Working Sheet'!$K234</f>
        <v>90000</v>
      </c>
      <c r="O234" s="26">
        <f>'Working Sheet'!$M234*'Working Sheet'!$K234</f>
        <v>72000</v>
      </c>
      <c r="P234" s="25">
        <f>'Working Sheet'!$N234-'Working Sheet'!$O234</f>
        <v>18000</v>
      </c>
    </row>
    <row r="235" spans="1:16" ht="14.25" customHeight="1" x14ac:dyDescent="0.25">
      <c r="A235" s="18" t="str">
        <f t="shared" ca="1" si="6"/>
        <v>ID_1899</v>
      </c>
      <c r="B235" s="17">
        <v>45724</v>
      </c>
      <c r="C235" s="18" t="str">
        <f>TEXT('Working Sheet'!$B235,"mmm")</f>
        <v>Mar</v>
      </c>
      <c r="D235" s="18" t="s">
        <v>18</v>
      </c>
      <c r="E235" s="18" t="s">
        <v>26</v>
      </c>
      <c r="F235" s="18" t="s">
        <v>23</v>
      </c>
      <c r="G235" s="18" t="s">
        <v>14</v>
      </c>
      <c r="H235" s="18" t="s">
        <v>15</v>
      </c>
      <c r="I235" s="18" t="s">
        <v>16</v>
      </c>
      <c r="J235" s="19">
        <v>85000</v>
      </c>
      <c r="K235" s="18">
        <v>2</v>
      </c>
      <c r="L235" s="18" t="s">
        <v>17</v>
      </c>
      <c r="M235" s="20">
        <f t="shared" si="7"/>
        <v>68000</v>
      </c>
      <c r="N235" s="20">
        <f>'Working Sheet'!$J235*'Working Sheet'!$K235</f>
        <v>170000</v>
      </c>
      <c r="O235" s="21">
        <f>'Working Sheet'!$M235*'Working Sheet'!$K235</f>
        <v>136000</v>
      </c>
      <c r="P235" s="20">
        <f>'Working Sheet'!$N235-'Working Sheet'!$O235</f>
        <v>34000</v>
      </c>
    </row>
    <row r="236" spans="1:16" ht="14.25" customHeight="1" x14ac:dyDescent="0.25">
      <c r="A236" s="23" t="str">
        <f t="shared" ca="1" si="6"/>
        <v>ID_1855</v>
      </c>
      <c r="B236" s="22">
        <v>45667</v>
      </c>
      <c r="C236" s="23" t="str">
        <f>TEXT('Working Sheet'!$B236,"mmm")</f>
        <v>Jan</v>
      </c>
      <c r="D236" s="23" t="s">
        <v>11</v>
      </c>
      <c r="E236" s="23" t="s">
        <v>32</v>
      </c>
      <c r="F236" s="23" t="s">
        <v>23</v>
      </c>
      <c r="G236" s="23" t="s">
        <v>14</v>
      </c>
      <c r="H236" s="23" t="s">
        <v>21</v>
      </c>
      <c r="I236" s="23" t="s">
        <v>22</v>
      </c>
      <c r="J236" s="24">
        <v>30000</v>
      </c>
      <c r="K236" s="23">
        <v>6</v>
      </c>
      <c r="L236" s="23" t="s">
        <v>17</v>
      </c>
      <c r="M236" s="25">
        <f t="shared" si="7"/>
        <v>24000</v>
      </c>
      <c r="N236" s="25">
        <f>'Working Sheet'!$J236*'Working Sheet'!$K236</f>
        <v>180000</v>
      </c>
      <c r="O236" s="26">
        <f>'Working Sheet'!$M236*'Working Sheet'!$K236</f>
        <v>144000</v>
      </c>
      <c r="P236" s="25">
        <f>'Working Sheet'!$N236-'Working Sheet'!$O236</f>
        <v>36000</v>
      </c>
    </row>
    <row r="237" spans="1:16" ht="14.25" customHeight="1" x14ac:dyDescent="0.25">
      <c r="A237" s="18" t="str">
        <f t="shared" ca="1" si="6"/>
        <v>ID_1720</v>
      </c>
      <c r="B237" s="17">
        <v>45775</v>
      </c>
      <c r="C237" s="18" t="str">
        <f>TEXT('Working Sheet'!$B237,"mmm")</f>
        <v>Apr</v>
      </c>
      <c r="D237" s="18" t="s">
        <v>11</v>
      </c>
      <c r="E237" s="18" t="s">
        <v>32</v>
      </c>
      <c r="F237" s="18" t="s">
        <v>23</v>
      </c>
      <c r="G237" s="18" t="s">
        <v>14</v>
      </c>
      <c r="H237" s="18" t="s">
        <v>34</v>
      </c>
      <c r="I237" s="18" t="s">
        <v>16</v>
      </c>
      <c r="J237" s="19">
        <v>320000</v>
      </c>
      <c r="K237" s="18">
        <v>1</v>
      </c>
      <c r="L237" s="18" t="s">
        <v>17</v>
      </c>
      <c r="M237" s="20">
        <f t="shared" si="7"/>
        <v>256000</v>
      </c>
      <c r="N237" s="20">
        <f>'Working Sheet'!$J237*'Working Sheet'!$K237</f>
        <v>320000</v>
      </c>
      <c r="O237" s="21">
        <f>'Working Sheet'!$M237*'Working Sheet'!$K237</f>
        <v>256000</v>
      </c>
      <c r="P237" s="20">
        <f>'Working Sheet'!$N237-'Working Sheet'!$O237</f>
        <v>64000</v>
      </c>
    </row>
    <row r="238" spans="1:16" ht="14.25" customHeight="1" x14ac:dyDescent="0.25">
      <c r="A238" s="23" t="str">
        <f t="shared" ca="1" si="6"/>
        <v>ID_293</v>
      </c>
      <c r="B238" s="22">
        <v>45766</v>
      </c>
      <c r="C238" s="23" t="str">
        <f>TEXT('Working Sheet'!$B238,"mmm")</f>
        <v>Apr</v>
      </c>
      <c r="D238" s="23" t="s">
        <v>25</v>
      </c>
      <c r="E238" s="23" t="s">
        <v>19</v>
      </c>
      <c r="F238" s="23" t="s">
        <v>13</v>
      </c>
      <c r="G238" s="23" t="s">
        <v>20</v>
      </c>
      <c r="H238" s="23" t="s">
        <v>38</v>
      </c>
      <c r="I238" s="23" t="s">
        <v>31</v>
      </c>
      <c r="J238" s="24">
        <v>420000</v>
      </c>
      <c r="K238" s="23">
        <v>5</v>
      </c>
      <c r="L238" s="23" t="s">
        <v>37</v>
      </c>
      <c r="M238" s="25">
        <f t="shared" si="7"/>
        <v>336000</v>
      </c>
      <c r="N238" s="25">
        <f>'Working Sheet'!$J238*'Working Sheet'!$K238</f>
        <v>2100000</v>
      </c>
      <c r="O238" s="26">
        <f>'Working Sheet'!$M238*'Working Sheet'!$K238</f>
        <v>1680000</v>
      </c>
      <c r="P238" s="25">
        <f>'Working Sheet'!$N238-'Working Sheet'!$O238</f>
        <v>420000</v>
      </c>
    </row>
    <row r="239" spans="1:16" ht="14.25" customHeight="1" x14ac:dyDescent="0.25">
      <c r="A239" s="18" t="str">
        <f t="shared" ca="1" si="6"/>
        <v>ID_1330</v>
      </c>
      <c r="B239" s="17">
        <v>45749</v>
      </c>
      <c r="C239" s="18" t="str">
        <f>TEXT('Working Sheet'!$B239,"mmm")</f>
        <v>Apr</v>
      </c>
      <c r="D239" s="18" t="s">
        <v>11</v>
      </c>
      <c r="E239" s="18" t="s">
        <v>32</v>
      </c>
      <c r="F239" s="18" t="s">
        <v>13</v>
      </c>
      <c r="G239" s="18" t="s">
        <v>20</v>
      </c>
      <c r="H239" s="18" t="s">
        <v>21</v>
      </c>
      <c r="I239" s="18" t="s">
        <v>22</v>
      </c>
      <c r="J239" s="19">
        <v>30000</v>
      </c>
      <c r="K239" s="18">
        <v>9</v>
      </c>
      <c r="L239" s="18" t="s">
        <v>39</v>
      </c>
      <c r="M239" s="20">
        <f t="shared" si="7"/>
        <v>24000</v>
      </c>
      <c r="N239" s="20">
        <f>'Working Sheet'!$J239*'Working Sheet'!$K239</f>
        <v>270000</v>
      </c>
      <c r="O239" s="21">
        <f>'Working Sheet'!$M239*'Working Sheet'!$K239</f>
        <v>216000</v>
      </c>
      <c r="P239" s="20">
        <f>'Working Sheet'!$N239-'Working Sheet'!$O239</f>
        <v>54000</v>
      </c>
    </row>
    <row r="240" spans="1:16" ht="14.25" customHeight="1" x14ac:dyDescent="0.25">
      <c r="A240" s="23" t="str">
        <f t="shared" ca="1" si="6"/>
        <v>ID_1663</v>
      </c>
      <c r="B240" s="22">
        <v>45675</v>
      </c>
      <c r="C240" s="23" t="str">
        <f>TEXT('Working Sheet'!$B240,"mmm")</f>
        <v>Jan</v>
      </c>
      <c r="D240" s="23" t="s">
        <v>25</v>
      </c>
      <c r="E240" s="23" t="s">
        <v>32</v>
      </c>
      <c r="F240" s="23" t="s">
        <v>13</v>
      </c>
      <c r="G240" s="23" t="s">
        <v>14</v>
      </c>
      <c r="H240" s="23" t="s">
        <v>27</v>
      </c>
      <c r="I240" s="23" t="s">
        <v>22</v>
      </c>
      <c r="J240" s="24">
        <v>60000</v>
      </c>
      <c r="K240" s="23">
        <v>8</v>
      </c>
      <c r="L240" s="23" t="s">
        <v>37</v>
      </c>
      <c r="M240" s="25">
        <f t="shared" si="7"/>
        <v>48000</v>
      </c>
      <c r="N240" s="25">
        <f>'Working Sheet'!$J240*'Working Sheet'!$K240</f>
        <v>480000</v>
      </c>
      <c r="O240" s="26">
        <f>'Working Sheet'!$M240*'Working Sheet'!$K240</f>
        <v>384000</v>
      </c>
      <c r="P240" s="25">
        <f>'Working Sheet'!$N240-'Working Sheet'!$O240</f>
        <v>96000</v>
      </c>
    </row>
    <row r="241" spans="1:16" ht="14.25" customHeight="1" x14ac:dyDescent="0.25">
      <c r="A241" s="18" t="str">
        <f t="shared" ca="1" si="6"/>
        <v>ID_446</v>
      </c>
      <c r="B241" s="17">
        <v>45667</v>
      </c>
      <c r="C241" s="18" t="str">
        <f>TEXT('Working Sheet'!$B241,"mmm")</f>
        <v>Jan</v>
      </c>
      <c r="D241" s="18" t="s">
        <v>11</v>
      </c>
      <c r="E241" s="18" t="s">
        <v>26</v>
      </c>
      <c r="F241" s="18" t="s">
        <v>13</v>
      </c>
      <c r="G241" s="18" t="s">
        <v>14</v>
      </c>
      <c r="H241" s="18" t="s">
        <v>30</v>
      </c>
      <c r="I241" s="18" t="s">
        <v>31</v>
      </c>
      <c r="J241" s="19">
        <v>300000</v>
      </c>
      <c r="K241" s="18">
        <v>2</v>
      </c>
      <c r="L241" s="18" t="s">
        <v>28</v>
      </c>
      <c r="M241" s="20">
        <f t="shared" si="7"/>
        <v>240000</v>
      </c>
      <c r="N241" s="20">
        <f>'Working Sheet'!$J241*'Working Sheet'!$K241</f>
        <v>600000</v>
      </c>
      <c r="O241" s="21">
        <f>'Working Sheet'!$M241*'Working Sheet'!$K241</f>
        <v>480000</v>
      </c>
      <c r="P241" s="20">
        <f>'Working Sheet'!$N241-'Working Sheet'!$O241</f>
        <v>120000</v>
      </c>
    </row>
    <row r="242" spans="1:16" ht="14.25" customHeight="1" x14ac:dyDescent="0.25">
      <c r="A242" s="23" t="str">
        <f t="shared" ca="1" si="6"/>
        <v>ID_1577</v>
      </c>
      <c r="B242" s="22">
        <v>45732</v>
      </c>
      <c r="C242" s="23" t="str">
        <f>TEXT('Working Sheet'!$B242,"mmm")</f>
        <v>Mar</v>
      </c>
      <c r="D242" s="23" t="s">
        <v>25</v>
      </c>
      <c r="E242" s="23" t="s">
        <v>12</v>
      </c>
      <c r="F242" s="23" t="s">
        <v>13</v>
      </c>
      <c r="G242" s="23" t="s">
        <v>14</v>
      </c>
      <c r="H242" s="23" t="s">
        <v>41</v>
      </c>
      <c r="I242" s="23" t="s">
        <v>22</v>
      </c>
      <c r="J242" s="24">
        <v>220000</v>
      </c>
      <c r="K242" s="23">
        <v>7</v>
      </c>
      <c r="L242" s="23" t="s">
        <v>28</v>
      </c>
      <c r="M242" s="25">
        <f t="shared" si="7"/>
        <v>176000</v>
      </c>
      <c r="N242" s="25">
        <f>'Working Sheet'!$J242*'Working Sheet'!$K242</f>
        <v>1540000</v>
      </c>
      <c r="O242" s="26">
        <f>'Working Sheet'!$M242*'Working Sheet'!$K242</f>
        <v>1232000</v>
      </c>
      <c r="P242" s="25">
        <f>'Working Sheet'!$N242-'Working Sheet'!$O242</f>
        <v>308000</v>
      </c>
    </row>
    <row r="243" spans="1:16" ht="14.25" customHeight="1" x14ac:dyDescent="0.25">
      <c r="A243" s="18" t="str">
        <f t="shared" ca="1" si="6"/>
        <v>ID_732</v>
      </c>
      <c r="B243" s="17">
        <v>45696</v>
      </c>
      <c r="C243" s="18" t="str">
        <f>TEXT('Working Sheet'!$B243,"mmm")</f>
        <v>Feb</v>
      </c>
      <c r="D243" s="18" t="s">
        <v>29</v>
      </c>
      <c r="E243" s="18" t="s">
        <v>19</v>
      </c>
      <c r="F243" s="18" t="s">
        <v>23</v>
      </c>
      <c r="G243" s="18" t="s">
        <v>20</v>
      </c>
      <c r="H243" s="18" t="s">
        <v>30</v>
      </c>
      <c r="I243" s="18" t="s">
        <v>31</v>
      </c>
      <c r="J243" s="19">
        <v>300000</v>
      </c>
      <c r="K243" s="18">
        <v>8</v>
      </c>
      <c r="L243" s="18" t="s">
        <v>17</v>
      </c>
      <c r="M243" s="20">
        <f t="shared" si="7"/>
        <v>240000</v>
      </c>
      <c r="N243" s="20">
        <f>'Working Sheet'!$J243*'Working Sheet'!$K243</f>
        <v>2400000</v>
      </c>
      <c r="O243" s="21">
        <f>'Working Sheet'!$M243*'Working Sheet'!$K243</f>
        <v>1920000</v>
      </c>
      <c r="P243" s="20">
        <f>'Working Sheet'!$N243-'Working Sheet'!$O243</f>
        <v>480000</v>
      </c>
    </row>
    <row r="244" spans="1:16" ht="14.25" customHeight="1" x14ac:dyDescent="0.25">
      <c r="A244" s="23" t="str">
        <f t="shared" ca="1" si="6"/>
        <v>ID_881</v>
      </c>
      <c r="B244" s="22">
        <v>45700</v>
      </c>
      <c r="C244" s="23" t="str">
        <f>TEXT('Working Sheet'!$B244,"mmm")</f>
        <v>Feb</v>
      </c>
      <c r="D244" s="23" t="s">
        <v>18</v>
      </c>
      <c r="E244" s="23" t="s">
        <v>19</v>
      </c>
      <c r="F244" s="23" t="s">
        <v>23</v>
      </c>
      <c r="G244" s="23" t="s">
        <v>20</v>
      </c>
      <c r="H244" s="23" t="s">
        <v>38</v>
      </c>
      <c r="I244" s="23" t="s">
        <v>31</v>
      </c>
      <c r="J244" s="24">
        <v>420000</v>
      </c>
      <c r="K244" s="23">
        <v>10</v>
      </c>
      <c r="L244" s="23" t="s">
        <v>35</v>
      </c>
      <c r="M244" s="25">
        <f t="shared" si="7"/>
        <v>336000</v>
      </c>
      <c r="N244" s="25">
        <f>'Working Sheet'!$J244*'Working Sheet'!$K244</f>
        <v>4200000</v>
      </c>
      <c r="O244" s="26">
        <f>'Working Sheet'!$M244*'Working Sheet'!$K244</f>
        <v>3360000</v>
      </c>
      <c r="P244" s="25">
        <f>'Working Sheet'!$N244-'Working Sheet'!$O244</f>
        <v>840000</v>
      </c>
    </row>
    <row r="245" spans="1:16" ht="14.25" customHeight="1" x14ac:dyDescent="0.25">
      <c r="A245" s="18" t="str">
        <f t="shared" ca="1" si="6"/>
        <v>ID_613</v>
      </c>
      <c r="B245" s="17">
        <v>45757</v>
      </c>
      <c r="C245" s="18" t="str">
        <f>TEXT('Working Sheet'!$B245,"mmm")</f>
        <v>Apr</v>
      </c>
      <c r="D245" s="18" t="s">
        <v>18</v>
      </c>
      <c r="E245" s="18" t="s">
        <v>32</v>
      </c>
      <c r="F245" s="18" t="s">
        <v>23</v>
      </c>
      <c r="G245" s="18" t="s">
        <v>14</v>
      </c>
      <c r="H245" s="18" t="s">
        <v>30</v>
      </c>
      <c r="I245" s="18" t="s">
        <v>31</v>
      </c>
      <c r="J245" s="19">
        <v>300000</v>
      </c>
      <c r="K245" s="18">
        <v>2</v>
      </c>
      <c r="L245" s="18" t="s">
        <v>35</v>
      </c>
      <c r="M245" s="20">
        <f t="shared" si="7"/>
        <v>240000</v>
      </c>
      <c r="N245" s="20">
        <f>'Working Sheet'!$J245*'Working Sheet'!$K245</f>
        <v>600000</v>
      </c>
      <c r="O245" s="21">
        <f>'Working Sheet'!$M245*'Working Sheet'!$K245</f>
        <v>480000</v>
      </c>
      <c r="P245" s="20">
        <f>'Working Sheet'!$N245-'Working Sheet'!$O245</f>
        <v>120000</v>
      </c>
    </row>
    <row r="246" spans="1:16" ht="14.25" customHeight="1" x14ac:dyDescent="0.25">
      <c r="A246" s="23" t="str">
        <f t="shared" ca="1" si="6"/>
        <v>ID_1177</v>
      </c>
      <c r="B246" s="22">
        <v>45695</v>
      </c>
      <c r="C246" s="23" t="str">
        <f>TEXT('Working Sheet'!$B246,"mmm")</f>
        <v>Feb</v>
      </c>
      <c r="D246" s="23" t="s">
        <v>18</v>
      </c>
      <c r="E246" s="23" t="s">
        <v>19</v>
      </c>
      <c r="F246" s="23" t="s">
        <v>23</v>
      </c>
      <c r="G246" s="23" t="s">
        <v>14</v>
      </c>
      <c r="H246" s="23" t="s">
        <v>41</v>
      </c>
      <c r="I246" s="23" t="s">
        <v>22</v>
      </c>
      <c r="J246" s="24">
        <v>220000</v>
      </c>
      <c r="K246" s="23">
        <v>3</v>
      </c>
      <c r="L246" s="23" t="s">
        <v>28</v>
      </c>
      <c r="M246" s="25">
        <f t="shared" si="7"/>
        <v>176000</v>
      </c>
      <c r="N246" s="25">
        <f>'Working Sheet'!$J246*'Working Sheet'!$K246</f>
        <v>660000</v>
      </c>
      <c r="O246" s="26">
        <f>'Working Sheet'!$M246*'Working Sheet'!$K246</f>
        <v>528000</v>
      </c>
      <c r="P246" s="25">
        <f>'Working Sheet'!$N246-'Working Sheet'!$O246</f>
        <v>132000</v>
      </c>
    </row>
    <row r="247" spans="1:16" ht="14.25" customHeight="1" x14ac:dyDescent="0.25">
      <c r="A247" s="18" t="str">
        <f t="shared" ca="1" si="6"/>
        <v>ID_801</v>
      </c>
      <c r="B247" s="17">
        <v>45691</v>
      </c>
      <c r="C247" s="18" t="str">
        <f>TEXT('Working Sheet'!$B247,"mmm")</f>
        <v>Feb</v>
      </c>
      <c r="D247" s="18" t="s">
        <v>18</v>
      </c>
      <c r="E247" s="18" t="s">
        <v>26</v>
      </c>
      <c r="F247" s="18" t="s">
        <v>23</v>
      </c>
      <c r="G247" s="18" t="s">
        <v>20</v>
      </c>
      <c r="H247" s="18" t="s">
        <v>15</v>
      </c>
      <c r="I247" s="18" t="s">
        <v>16</v>
      </c>
      <c r="J247" s="19">
        <v>85000</v>
      </c>
      <c r="K247" s="18">
        <v>6</v>
      </c>
      <c r="L247" s="18" t="s">
        <v>24</v>
      </c>
      <c r="M247" s="20">
        <f t="shared" si="7"/>
        <v>68000</v>
      </c>
      <c r="N247" s="20">
        <f>'Working Sheet'!$J247*'Working Sheet'!$K247</f>
        <v>510000</v>
      </c>
      <c r="O247" s="21">
        <f>'Working Sheet'!$M247*'Working Sheet'!$K247</f>
        <v>408000</v>
      </c>
      <c r="P247" s="20">
        <f>'Working Sheet'!$N247-'Working Sheet'!$O247</f>
        <v>102000</v>
      </c>
    </row>
    <row r="248" spans="1:16" ht="14.25" customHeight="1" x14ac:dyDescent="0.25">
      <c r="A248" s="23" t="str">
        <f t="shared" ca="1" si="6"/>
        <v>ID_1025</v>
      </c>
      <c r="B248" s="22">
        <v>45712</v>
      </c>
      <c r="C248" s="23" t="str">
        <f>TEXT('Working Sheet'!$B248,"mmm")</f>
        <v>Feb</v>
      </c>
      <c r="D248" s="23" t="s">
        <v>29</v>
      </c>
      <c r="E248" s="23" t="s">
        <v>32</v>
      </c>
      <c r="F248" s="23" t="s">
        <v>23</v>
      </c>
      <c r="G248" s="23" t="s">
        <v>14</v>
      </c>
      <c r="H248" s="23" t="s">
        <v>34</v>
      </c>
      <c r="I248" s="23" t="s">
        <v>16</v>
      </c>
      <c r="J248" s="24">
        <v>320000</v>
      </c>
      <c r="K248" s="23">
        <v>10</v>
      </c>
      <c r="L248" s="23" t="s">
        <v>39</v>
      </c>
      <c r="M248" s="25">
        <f t="shared" si="7"/>
        <v>256000</v>
      </c>
      <c r="N248" s="25">
        <f>'Working Sheet'!$J248*'Working Sheet'!$K248</f>
        <v>3200000</v>
      </c>
      <c r="O248" s="26">
        <f>'Working Sheet'!$M248*'Working Sheet'!$K248</f>
        <v>2560000</v>
      </c>
      <c r="P248" s="25">
        <f>'Working Sheet'!$N248-'Working Sheet'!$O248</f>
        <v>640000</v>
      </c>
    </row>
    <row r="249" spans="1:16" ht="14.25" customHeight="1" x14ac:dyDescent="0.25">
      <c r="A249" s="18" t="str">
        <f t="shared" ca="1" si="6"/>
        <v>ID_1543</v>
      </c>
      <c r="B249" s="17">
        <v>45660</v>
      </c>
      <c r="C249" s="18" t="str">
        <f>TEXT('Working Sheet'!$B249,"mmm")</f>
        <v>Jan</v>
      </c>
      <c r="D249" s="18" t="s">
        <v>18</v>
      </c>
      <c r="E249" s="18" t="s">
        <v>12</v>
      </c>
      <c r="F249" s="18" t="s">
        <v>23</v>
      </c>
      <c r="G249" s="18" t="s">
        <v>14</v>
      </c>
      <c r="H249" s="18" t="s">
        <v>30</v>
      </c>
      <c r="I249" s="18" t="s">
        <v>31</v>
      </c>
      <c r="J249" s="19">
        <v>300000</v>
      </c>
      <c r="K249" s="18">
        <v>2</v>
      </c>
      <c r="L249" s="18" t="s">
        <v>24</v>
      </c>
      <c r="M249" s="20">
        <f t="shared" si="7"/>
        <v>240000</v>
      </c>
      <c r="N249" s="20">
        <f>'Working Sheet'!$J249*'Working Sheet'!$K249</f>
        <v>600000</v>
      </c>
      <c r="O249" s="21">
        <f>'Working Sheet'!$M249*'Working Sheet'!$K249</f>
        <v>480000</v>
      </c>
      <c r="P249" s="20">
        <f>'Working Sheet'!$N249-'Working Sheet'!$O249</f>
        <v>120000</v>
      </c>
    </row>
    <row r="250" spans="1:16" ht="14.25" customHeight="1" x14ac:dyDescent="0.25">
      <c r="A250" s="23" t="str">
        <f t="shared" ca="1" si="6"/>
        <v>ID_1177</v>
      </c>
      <c r="B250" s="22">
        <v>45735</v>
      </c>
      <c r="C250" s="23" t="str">
        <f>TEXT('Working Sheet'!$B250,"mmm")</f>
        <v>Mar</v>
      </c>
      <c r="D250" s="23" t="s">
        <v>25</v>
      </c>
      <c r="E250" s="23" t="s">
        <v>12</v>
      </c>
      <c r="F250" s="23" t="s">
        <v>23</v>
      </c>
      <c r="G250" s="23" t="s">
        <v>20</v>
      </c>
      <c r="H250" s="23" t="s">
        <v>21</v>
      </c>
      <c r="I250" s="23" t="s">
        <v>22</v>
      </c>
      <c r="J250" s="24">
        <v>30000</v>
      </c>
      <c r="K250" s="23">
        <v>6</v>
      </c>
      <c r="L250" s="23" t="s">
        <v>39</v>
      </c>
      <c r="M250" s="25">
        <f t="shared" si="7"/>
        <v>24000</v>
      </c>
      <c r="N250" s="25">
        <f>'Working Sheet'!$J250*'Working Sheet'!$K250</f>
        <v>180000</v>
      </c>
      <c r="O250" s="26">
        <f>'Working Sheet'!$M250*'Working Sheet'!$K250</f>
        <v>144000</v>
      </c>
      <c r="P250" s="25">
        <f>'Working Sheet'!$N250-'Working Sheet'!$O250</f>
        <v>36000</v>
      </c>
    </row>
    <row r="251" spans="1:16" ht="14.25" customHeight="1" x14ac:dyDescent="0.25">
      <c r="A251" s="18" t="str">
        <f t="shared" ca="1" si="6"/>
        <v>ID_602</v>
      </c>
      <c r="B251" s="17">
        <v>45702</v>
      </c>
      <c r="C251" s="18" t="str">
        <f>TEXT('Working Sheet'!$B251,"mmm")</f>
        <v>Feb</v>
      </c>
      <c r="D251" s="18" t="s">
        <v>25</v>
      </c>
      <c r="E251" s="18" t="s">
        <v>12</v>
      </c>
      <c r="F251" s="18" t="s">
        <v>23</v>
      </c>
      <c r="G251" s="18" t="s">
        <v>20</v>
      </c>
      <c r="H251" s="18" t="s">
        <v>27</v>
      </c>
      <c r="I251" s="18" t="s">
        <v>22</v>
      </c>
      <c r="J251" s="19">
        <v>60000</v>
      </c>
      <c r="K251" s="18">
        <v>2</v>
      </c>
      <c r="L251" s="18" t="s">
        <v>28</v>
      </c>
      <c r="M251" s="20">
        <f t="shared" si="7"/>
        <v>48000</v>
      </c>
      <c r="N251" s="20">
        <f>'Working Sheet'!$J251*'Working Sheet'!$K251</f>
        <v>120000</v>
      </c>
      <c r="O251" s="21">
        <f>'Working Sheet'!$M251*'Working Sheet'!$K251</f>
        <v>96000</v>
      </c>
      <c r="P251" s="20">
        <f>'Working Sheet'!$N251-'Working Sheet'!$O251</f>
        <v>24000</v>
      </c>
    </row>
    <row r="252" spans="1:16" ht="14.25" customHeight="1" x14ac:dyDescent="0.25">
      <c r="A252" s="23" t="str">
        <f t="shared" ca="1" si="6"/>
        <v>ID_37</v>
      </c>
      <c r="B252" s="22">
        <v>45660</v>
      </c>
      <c r="C252" s="23" t="str">
        <f>TEXT('Working Sheet'!$B252,"mmm")</f>
        <v>Jan</v>
      </c>
      <c r="D252" s="23" t="s">
        <v>29</v>
      </c>
      <c r="E252" s="23" t="s">
        <v>26</v>
      </c>
      <c r="F252" s="23" t="s">
        <v>13</v>
      </c>
      <c r="G252" s="23" t="s">
        <v>14</v>
      </c>
      <c r="H252" s="23" t="s">
        <v>41</v>
      </c>
      <c r="I252" s="23" t="s">
        <v>22</v>
      </c>
      <c r="J252" s="24">
        <v>220000</v>
      </c>
      <c r="K252" s="23">
        <v>5</v>
      </c>
      <c r="L252" s="23" t="s">
        <v>17</v>
      </c>
      <c r="M252" s="25">
        <f t="shared" si="7"/>
        <v>176000</v>
      </c>
      <c r="N252" s="25">
        <f>'Working Sheet'!$J252*'Working Sheet'!$K252</f>
        <v>1100000</v>
      </c>
      <c r="O252" s="26">
        <f>'Working Sheet'!$M252*'Working Sheet'!$K252</f>
        <v>880000</v>
      </c>
      <c r="P252" s="25">
        <f>'Working Sheet'!$N252-'Working Sheet'!$O252</f>
        <v>220000</v>
      </c>
    </row>
    <row r="253" spans="1:16" ht="14.25" customHeight="1" x14ac:dyDescent="0.25">
      <c r="A253" s="18" t="str">
        <f t="shared" ca="1" si="6"/>
        <v>ID_458</v>
      </c>
      <c r="B253" s="17">
        <v>45693</v>
      </c>
      <c r="C253" s="18" t="str">
        <f>TEXT('Working Sheet'!$B253,"mmm")</f>
        <v>Feb</v>
      </c>
      <c r="D253" s="18" t="s">
        <v>11</v>
      </c>
      <c r="E253" s="18" t="s">
        <v>32</v>
      </c>
      <c r="F253" s="18" t="s">
        <v>13</v>
      </c>
      <c r="G253" s="18" t="s">
        <v>20</v>
      </c>
      <c r="H253" s="18" t="s">
        <v>33</v>
      </c>
      <c r="I253" s="18" t="s">
        <v>22</v>
      </c>
      <c r="J253" s="19">
        <v>180000</v>
      </c>
      <c r="K253" s="18">
        <v>6</v>
      </c>
      <c r="L253" s="18" t="s">
        <v>39</v>
      </c>
      <c r="M253" s="20">
        <f t="shared" si="7"/>
        <v>144000</v>
      </c>
      <c r="N253" s="20">
        <f>'Working Sheet'!$J253*'Working Sheet'!$K253</f>
        <v>1080000</v>
      </c>
      <c r="O253" s="21">
        <f>'Working Sheet'!$M253*'Working Sheet'!$K253</f>
        <v>864000</v>
      </c>
      <c r="P253" s="20">
        <f>'Working Sheet'!$N253-'Working Sheet'!$O253</f>
        <v>216000</v>
      </c>
    </row>
    <row r="254" spans="1:16" ht="14.25" customHeight="1" x14ac:dyDescent="0.25">
      <c r="A254" s="23" t="str">
        <f t="shared" ca="1" si="6"/>
        <v>ID_509</v>
      </c>
      <c r="B254" s="22">
        <v>45762</v>
      </c>
      <c r="C254" s="23" t="str">
        <f>TEXT('Working Sheet'!$B254,"mmm")</f>
        <v>Apr</v>
      </c>
      <c r="D254" s="23" t="s">
        <v>29</v>
      </c>
      <c r="E254" s="23" t="s">
        <v>12</v>
      </c>
      <c r="F254" s="23" t="s">
        <v>13</v>
      </c>
      <c r="G254" s="23" t="s">
        <v>14</v>
      </c>
      <c r="H254" s="23" t="s">
        <v>40</v>
      </c>
      <c r="I254" s="23" t="s">
        <v>31</v>
      </c>
      <c r="J254" s="24">
        <v>250000</v>
      </c>
      <c r="K254" s="23">
        <v>4</v>
      </c>
      <c r="L254" s="23" t="s">
        <v>35</v>
      </c>
      <c r="M254" s="25">
        <f t="shared" si="7"/>
        <v>200000</v>
      </c>
      <c r="N254" s="25">
        <f>'Working Sheet'!$J254*'Working Sheet'!$K254</f>
        <v>1000000</v>
      </c>
      <c r="O254" s="26">
        <f>'Working Sheet'!$M254*'Working Sheet'!$K254</f>
        <v>800000</v>
      </c>
      <c r="P254" s="25">
        <f>'Working Sheet'!$N254-'Working Sheet'!$O254</f>
        <v>200000</v>
      </c>
    </row>
    <row r="255" spans="1:16" ht="14.25" customHeight="1" x14ac:dyDescent="0.25">
      <c r="A255" s="18" t="str">
        <f t="shared" ca="1" si="6"/>
        <v>ID_586</v>
      </c>
      <c r="B255" s="17">
        <v>45725</v>
      </c>
      <c r="C255" s="18" t="str">
        <f>TEXT('Working Sheet'!$B255,"mmm")</f>
        <v>Mar</v>
      </c>
      <c r="D255" s="18" t="s">
        <v>29</v>
      </c>
      <c r="E255" s="18" t="s">
        <v>26</v>
      </c>
      <c r="F255" s="18" t="s">
        <v>23</v>
      </c>
      <c r="G255" s="18" t="s">
        <v>14</v>
      </c>
      <c r="H255" s="18" t="s">
        <v>15</v>
      </c>
      <c r="I255" s="18" t="s">
        <v>16</v>
      </c>
      <c r="J255" s="19">
        <v>85000</v>
      </c>
      <c r="K255" s="18">
        <v>10</v>
      </c>
      <c r="L255" s="18" t="s">
        <v>24</v>
      </c>
      <c r="M255" s="20">
        <f t="shared" si="7"/>
        <v>68000</v>
      </c>
      <c r="N255" s="20">
        <f>'Working Sheet'!$J255*'Working Sheet'!$K255</f>
        <v>850000</v>
      </c>
      <c r="O255" s="21">
        <f>'Working Sheet'!$M255*'Working Sheet'!$K255</f>
        <v>680000</v>
      </c>
      <c r="P255" s="20">
        <f>'Working Sheet'!$N255-'Working Sheet'!$O255</f>
        <v>170000</v>
      </c>
    </row>
    <row r="256" spans="1:16" ht="14.25" customHeight="1" x14ac:dyDescent="0.25">
      <c r="A256" s="23" t="str">
        <f t="shared" ca="1" si="6"/>
        <v>ID_209</v>
      </c>
      <c r="B256" s="22">
        <v>45734</v>
      </c>
      <c r="C256" s="23" t="str">
        <f>TEXT('Working Sheet'!$B256,"mmm")</f>
        <v>Mar</v>
      </c>
      <c r="D256" s="23" t="s">
        <v>11</v>
      </c>
      <c r="E256" s="23" t="s">
        <v>19</v>
      </c>
      <c r="F256" s="23" t="s">
        <v>13</v>
      </c>
      <c r="G256" s="23" t="s">
        <v>14</v>
      </c>
      <c r="H256" s="23" t="s">
        <v>30</v>
      </c>
      <c r="I256" s="23" t="s">
        <v>31</v>
      </c>
      <c r="J256" s="24">
        <v>300000</v>
      </c>
      <c r="K256" s="23">
        <v>6</v>
      </c>
      <c r="L256" s="23" t="s">
        <v>24</v>
      </c>
      <c r="M256" s="25">
        <f t="shared" si="7"/>
        <v>240000</v>
      </c>
      <c r="N256" s="25">
        <f>'Working Sheet'!$J256*'Working Sheet'!$K256</f>
        <v>1800000</v>
      </c>
      <c r="O256" s="26">
        <f>'Working Sheet'!$M256*'Working Sheet'!$K256</f>
        <v>1440000</v>
      </c>
      <c r="P256" s="25">
        <f>'Working Sheet'!$N256-'Working Sheet'!$O256</f>
        <v>360000</v>
      </c>
    </row>
    <row r="257" spans="1:16" ht="14.25" customHeight="1" x14ac:dyDescent="0.25">
      <c r="A257" s="18" t="str">
        <f t="shared" ca="1" si="6"/>
        <v>ID_1338</v>
      </c>
      <c r="B257" s="17">
        <v>45672</v>
      </c>
      <c r="C257" s="18" t="str">
        <f>TEXT('Working Sheet'!$B257,"mmm")</f>
        <v>Jan</v>
      </c>
      <c r="D257" s="18" t="s">
        <v>29</v>
      </c>
      <c r="E257" s="18" t="s">
        <v>19</v>
      </c>
      <c r="F257" s="18" t="s">
        <v>23</v>
      </c>
      <c r="G257" s="18" t="s">
        <v>20</v>
      </c>
      <c r="H257" s="18" t="s">
        <v>41</v>
      </c>
      <c r="I257" s="18" t="s">
        <v>22</v>
      </c>
      <c r="J257" s="19">
        <v>220000</v>
      </c>
      <c r="K257" s="18">
        <v>3</v>
      </c>
      <c r="L257" s="18" t="s">
        <v>17</v>
      </c>
      <c r="M257" s="20">
        <f t="shared" si="7"/>
        <v>176000</v>
      </c>
      <c r="N257" s="20">
        <f>'Working Sheet'!$J257*'Working Sheet'!$K257</f>
        <v>660000</v>
      </c>
      <c r="O257" s="21">
        <f>'Working Sheet'!$M257*'Working Sheet'!$K257</f>
        <v>528000</v>
      </c>
      <c r="P257" s="20">
        <f>'Working Sheet'!$N257-'Working Sheet'!$O257</f>
        <v>132000</v>
      </c>
    </row>
    <row r="258" spans="1:16" ht="14.25" customHeight="1" x14ac:dyDescent="0.25">
      <c r="A258" s="23" t="str">
        <f t="shared" ref="A258:A321" ca="1" si="8">"ID_"&amp; RANDBETWEEN(1,2098)</f>
        <v>ID_1359</v>
      </c>
      <c r="B258" s="22">
        <v>45663</v>
      </c>
      <c r="C258" s="23" t="str">
        <f>TEXT('Working Sheet'!$B258,"mmm")</f>
        <v>Jan</v>
      </c>
      <c r="D258" s="23" t="s">
        <v>29</v>
      </c>
      <c r="E258" s="23" t="s">
        <v>26</v>
      </c>
      <c r="F258" s="23" t="s">
        <v>13</v>
      </c>
      <c r="G258" s="23" t="s">
        <v>20</v>
      </c>
      <c r="H258" s="23" t="s">
        <v>21</v>
      </c>
      <c r="I258" s="23" t="s">
        <v>22</v>
      </c>
      <c r="J258" s="24">
        <v>30000</v>
      </c>
      <c r="K258" s="23">
        <v>8</v>
      </c>
      <c r="L258" s="23" t="s">
        <v>39</v>
      </c>
      <c r="M258" s="25">
        <f t="shared" ref="M258:M321" si="9">J258-J258*0.2</f>
        <v>24000</v>
      </c>
      <c r="N258" s="25">
        <f>'Working Sheet'!$J258*'Working Sheet'!$K258</f>
        <v>240000</v>
      </c>
      <c r="O258" s="26">
        <f>'Working Sheet'!$M258*'Working Sheet'!$K258</f>
        <v>192000</v>
      </c>
      <c r="P258" s="25">
        <f>'Working Sheet'!$N258-'Working Sheet'!$O258</f>
        <v>48000</v>
      </c>
    </row>
    <row r="259" spans="1:16" ht="14.25" customHeight="1" x14ac:dyDescent="0.25">
      <c r="A259" s="18" t="str">
        <f t="shared" ca="1" si="8"/>
        <v>ID_295</v>
      </c>
      <c r="B259" s="17">
        <v>45727</v>
      </c>
      <c r="C259" s="18" t="str">
        <f>TEXT('Working Sheet'!$B259,"mmm")</f>
        <v>Mar</v>
      </c>
      <c r="D259" s="18" t="s">
        <v>29</v>
      </c>
      <c r="E259" s="18" t="s">
        <v>12</v>
      </c>
      <c r="F259" s="18" t="s">
        <v>23</v>
      </c>
      <c r="G259" s="18" t="s">
        <v>14</v>
      </c>
      <c r="H259" s="18" t="s">
        <v>15</v>
      </c>
      <c r="I259" s="18" t="s">
        <v>16</v>
      </c>
      <c r="J259" s="19">
        <v>85000</v>
      </c>
      <c r="K259" s="18">
        <v>2</v>
      </c>
      <c r="L259" s="18" t="s">
        <v>17</v>
      </c>
      <c r="M259" s="20">
        <f t="shared" si="9"/>
        <v>68000</v>
      </c>
      <c r="N259" s="20">
        <f>'Working Sheet'!$J259*'Working Sheet'!$K259</f>
        <v>170000</v>
      </c>
      <c r="O259" s="21">
        <f>'Working Sheet'!$M259*'Working Sheet'!$K259</f>
        <v>136000</v>
      </c>
      <c r="P259" s="20">
        <f>'Working Sheet'!$N259-'Working Sheet'!$O259</f>
        <v>34000</v>
      </c>
    </row>
    <row r="260" spans="1:16" ht="14.25" customHeight="1" x14ac:dyDescent="0.25">
      <c r="A260" s="23" t="str">
        <f t="shared" ca="1" si="8"/>
        <v>ID_1947</v>
      </c>
      <c r="B260" s="22">
        <v>45689</v>
      </c>
      <c r="C260" s="23" t="str">
        <f>TEXT('Working Sheet'!$B260,"mmm")</f>
        <v>Feb</v>
      </c>
      <c r="D260" s="23" t="s">
        <v>25</v>
      </c>
      <c r="E260" s="23" t="s">
        <v>32</v>
      </c>
      <c r="F260" s="23" t="s">
        <v>13</v>
      </c>
      <c r="G260" s="23" t="s">
        <v>20</v>
      </c>
      <c r="H260" s="23" t="s">
        <v>36</v>
      </c>
      <c r="I260" s="23" t="s">
        <v>31</v>
      </c>
      <c r="J260" s="24">
        <v>150000</v>
      </c>
      <c r="K260" s="23">
        <v>3</v>
      </c>
      <c r="L260" s="23" t="s">
        <v>35</v>
      </c>
      <c r="M260" s="25">
        <f t="shared" si="9"/>
        <v>120000</v>
      </c>
      <c r="N260" s="25">
        <f>'Working Sheet'!$J260*'Working Sheet'!$K260</f>
        <v>450000</v>
      </c>
      <c r="O260" s="26">
        <f>'Working Sheet'!$M260*'Working Sheet'!$K260</f>
        <v>360000</v>
      </c>
      <c r="P260" s="25">
        <f>'Working Sheet'!$N260-'Working Sheet'!$O260</f>
        <v>90000</v>
      </c>
    </row>
    <row r="261" spans="1:16" ht="14.25" customHeight="1" x14ac:dyDescent="0.25">
      <c r="A261" s="18" t="str">
        <f t="shared" ca="1" si="8"/>
        <v>ID_1040</v>
      </c>
      <c r="B261" s="17">
        <v>45742</v>
      </c>
      <c r="C261" s="18" t="str">
        <f>TEXT('Working Sheet'!$B261,"mmm")</f>
        <v>Mar</v>
      </c>
      <c r="D261" s="18" t="s">
        <v>18</v>
      </c>
      <c r="E261" s="18" t="s">
        <v>32</v>
      </c>
      <c r="F261" s="18" t="s">
        <v>13</v>
      </c>
      <c r="G261" s="18" t="s">
        <v>20</v>
      </c>
      <c r="H261" s="18" t="s">
        <v>15</v>
      </c>
      <c r="I261" s="18" t="s">
        <v>16</v>
      </c>
      <c r="J261" s="19">
        <v>85000</v>
      </c>
      <c r="K261" s="18">
        <v>1</v>
      </c>
      <c r="L261" s="18" t="s">
        <v>37</v>
      </c>
      <c r="M261" s="20">
        <f t="shared" si="9"/>
        <v>68000</v>
      </c>
      <c r="N261" s="20">
        <f>'Working Sheet'!$J261*'Working Sheet'!$K261</f>
        <v>85000</v>
      </c>
      <c r="O261" s="21">
        <f>'Working Sheet'!$M261*'Working Sheet'!$K261</f>
        <v>68000</v>
      </c>
      <c r="P261" s="20">
        <f>'Working Sheet'!$N261-'Working Sheet'!$O261</f>
        <v>17000</v>
      </c>
    </row>
    <row r="262" spans="1:16" ht="14.25" customHeight="1" x14ac:dyDescent="0.25">
      <c r="A262" s="23" t="str">
        <f t="shared" ca="1" si="8"/>
        <v>ID_1160</v>
      </c>
      <c r="B262" s="22">
        <v>45712</v>
      </c>
      <c r="C262" s="23" t="str">
        <f>TEXT('Working Sheet'!$B262,"mmm")</f>
        <v>Feb</v>
      </c>
      <c r="D262" s="23" t="s">
        <v>25</v>
      </c>
      <c r="E262" s="23" t="s">
        <v>12</v>
      </c>
      <c r="F262" s="23" t="s">
        <v>23</v>
      </c>
      <c r="G262" s="23" t="s">
        <v>20</v>
      </c>
      <c r="H262" s="23" t="s">
        <v>40</v>
      </c>
      <c r="I262" s="23" t="s">
        <v>31</v>
      </c>
      <c r="J262" s="24">
        <v>250000</v>
      </c>
      <c r="K262" s="23">
        <v>3</v>
      </c>
      <c r="L262" s="23" t="s">
        <v>39</v>
      </c>
      <c r="M262" s="25">
        <f t="shared" si="9"/>
        <v>200000</v>
      </c>
      <c r="N262" s="25">
        <f>'Working Sheet'!$J262*'Working Sheet'!$K262</f>
        <v>750000</v>
      </c>
      <c r="O262" s="26">
        <f>'Working Sheet'!$M262*'Working Sheet'!$K262</f>
        <v>600000</v>
      </c>
      <c r="P262" s="25">
        <f>'Working Sheet'!$N262-'Working Sheet'!$O262</f>
        <v>150000</v>
      </c>
    </row>
    <row r="263" spans="1:16" ht="14.25" customHeight="1" x14ac:dyDescent="0.25">
      <c r="A263" s="18" t="str">
        <f t="shared" ca="1" si="8"/>
        <v>ID_117</v>
      </c>
      <c r="B263" s="17">
        <v>45748</v>
      </c>
      <c r="C263" s="18" t="str">
        <f>TEXT('Working Sheet'!$B263,"mmm")</f>
        <v>Apr</v>
      </c>
      <c r="D263" s="18" t="s">
        <v>18</v>
      </c>
      <c r="E263" s="18" t="s">
        <v>12</v>
      </c>
      <c r="F263" s="18" t="s">
        <v>23</v>
      </c>
      <c r="G263" s="18" t="s">
        <v>20</v>
      </c>
      <c r="H263" s="18" t="s">
        <v>38</v>
      </c>
      <c r="I263" s="18" t="s">
        <v>31</v>
      </c>
      <c r="J263" s="19">
        <v>420000</v>
      </c>
      <c r="K263" s="18">
        <v>2</v>
      </c>
      <c r="L263" s="18" t="s">
        <v>17</v>
      </c>
      <c r="M263" s="20">
        <f t="shared" si="9"/>
        <v>336000</v>
      </c>
      <c r="N263" s="20">
        <f>'Working Sheet'!$J263*'Working Sheet'!$K263</f>
        <v>840000</v>
      </c>
      <c r="O263" s="21">
        <f>'Working Sheet'!$M263*'Working Sheet'!$K263</f>
        <v>672000</v>
      </c>
      <c r="P263" s="20">
        <f>'Working Sheet'!$N263-'Working Sheet'!$O263</f>
        <v>168000</v>
      </c>
    </row>
    <row r="264" spans="1:16" ht="14.25" customHeight="1" x14ac:dyDescent="0.25">
      <c r="A264" s="23" t="str">
        <f t="shared" ca="1" si="8"/>
        <v>ID_2007</v>
      </c>
      <c r="B264" s="22">
        <v>45724</v>
      </c>
      <c r="C264" s="23" t="str">
        <f>TEXT('Working Sheet'!$B264,"mmm")</f>
        <v>Mar</v>
      </c>
      <c r="D264" s="23" t="s">
        <v>11</v>
      </c>
      <c r="E264" s="23" t="s">
        <v>26</v>
      </c>
      <c r="F264" s="23" t="s">
        <v>13</v>
      </c>
      <c r="G264" s="23" t="s">
        <v>14</v>
      </c>
      <c r="H264" s="23" t="s">
        <v>36</v>
      </c>
      <c r="I264" s="23" t="s">
        <v>31</v>
      </c>
      <c r="J264" s="24">
        <v>150000</v>
      </c>
      <c r="K264" s="23">
        <v>9</v>
      </c>
      <c r="L264" s="23" t="s">
        <v>28</v>
      </c>
      <c r="M264" s="25">
        <f t="shared" si="9"/>
        <v>120000</v>
      </c>
      <c r="N264" s="25">
        <f>'Working Sheet'!$J264*'Working Sheet'!$K264</f>
        <v>1350000</v>
      </c>
      <c r="O264" s="26">
        <f>'Working Sheet'!$M264*'Working Sheet'!$K264</f>
        <v>1080000</v>
      </c>
      <c r="P264" s="25">
        <f>'Working Sheet'!$N264-'Working Sheet'!$O264</f>
        <v>270000</v>
      </c>
    </row>
    <row r="265" spans="1:16" ht="14.25" customHeight="1" x14ac:dyDescent="0.25">
      <c r="A265" s="18" t="str">
        <f t="shared" ca="1" si="8"/>
        <v>ID_29</v>
      </c>
      <c r="B265" s="17">
        <v>45673</v>
      </c>
      <c r="C265" s="18" t="str">
        <f>TEXT('Working Sheet'!$B265,"mmm")</f>
        <v>Jan</v>
      </c>
      <c r="D265" s="18" t="s">
        <v>29</v>
      </c>
      <c r="E265" s="18" t="s">
        <v>32</v>
      </c>
      <c r="F265" s="18" t="s">
        <v>13</v>
      </c>
      <c r="G265" s="18" t="s">
        <v>20</v>
      </c>
      <c r="H265" s="18" t="s">
        <v>21</v>
      </c>
      <c r="I265" s="18" t="s">
        <v>22</v>
      </c>
      <c r="J265" s="19">
        <v>30000</v>
      </c>
      <c r="K265" s="18">
        <v>9</v>
      </c>
      <c r="L265" s="18" t="s">
        <v>24</v>
      </c>
      <c r="M265" s="20">
        <f t="shared" si="9"/>
        <v>24000</v>
      </c>
      <c r="N265" s="20">
        <f>'Working Sheet'!$J265*'Working Sheet'!$K265</f>
        <v>270000</v>
      </c>
      <c r="O265" s="21">
        <f>'Working Sheet'!$M265*'Working Sheet'!$K265</f>
        <v>216000</v>
      </c>
      <c r="P265" s="20">
        <f>'Working Sheet'!$N265-'Working Sheet'!$O265</f>
        <v>54000</v>
      </c>
    </row>
    <row r="266" spans="1:16" ht="14.25" customHeight="1" x14ac:dyDescent="0.25">
      <c r="A266" s="23" t="str">
        <f t="shared" ca="1" si="8"/>
        <v>ID_1500</v>
      </c>
      <c r="B266" s="22">
        <v>45750</v>
      </c>
      <c r="C266" s="23" t="str">
        <f>TEXT('Working Sheet'!$B266,"mmm")</f>
        <v>Apr</v>
      </c>
      <c r="D266" s="23" t="s">
        <v>18</v>
      </c>
      <c r="E266" s="23" t="s">
        <v>19</v>
      </c>
      <c r="F266" s="23" t="s">
        <v>23</v>
      </c>
      <c r="G266" s="23" t="s">
        <v>20</v>
      </c>
      <c r="H266" s="23" t="s">
        <v>41</v>
      </c>
      <c r="I266" s="23" t="s">
        <v>22</v>
      </c>
      <c r="J266" s="24">
        <v>220000</v>
      </c>
      <c r="K266" s="23">
        <v>6</v>
      </c>
      <c r="L266" s="23" t="s">
        <v>39</v>
      </c>
      <c r="M266" s="25">
        <f t="shared" si="9"/>
        <v>176000</v>
      </c>
      <c r="N266" s="25">
        <f>'Working Sheet'!$J266*'Working Sheet'!$K266</f>
        <v>1320000</v>
      </c>
      <c r="O266" s="26">
        <f>'Working Sheet'!$M266*'Working Sheet'!$K266</f>
        <v>1056000</v>
      </c>
      <c r="P266" s="25">
        <f>'Working Sheet'!$N266-'Working Sheet'!$O266</f>
        <v>264000</v>
      </c>
    </row>
    <row r="267" spans="1:16" ht="14.25" customHeight="1" x14ac:dyDescent="0.25">
      <c r="A267" s="18" t="str">
        <f t="shared" ca="1" si="8"/>
        <v>ID_1884</v>
      </c>
      <c r="B267" s="17">
        <v>45749</v>
      </c>
      <c r="C267" s="18" t="str">
        <f>TEXT('Working Sheet'!$B267,"mmm")</f>
        <v>Apr</v>
      </c>
      <c r="D267" s="18" t="s">
        <v>29</v>
      </c>
      <c r="E267" s="18" t="s">
        <v>26</v>
      </c>
      <c r="F267" s="18" t="s">
        <v>23</v>
      </c>
      <c r="G267" s="18" t="s">
        <v>20</v>
      </c>
      <c r="H267" s="18" t="s">
        <v>21</v>
      </c>
      <c r="I267" s="18" t="s">
        <v>22</v>
      </c>
      <c r="J267" s="19">
        <v>30000</v>
      </c>
      <c r="K267" s="18">
        <v>3</v>
      </c>
      <c r="L267" s="18" t="s">
        <v>39</v>
      </c>
      <c r="M267" s="20">
        <f t="shared" si="9"/>
        <v>24000</v>
      </c>
      <c r="N267" s="20">
        <f>'Working Sheet'!$J267*'Working Sheet'!$K267</f>
        <v>90000</v>
      </c>
      <c r="O267" s="21">
        <f>'Working Sheet'!$M267*'Working Sheet'!$K267</f>
        <v>72000</v>
      </c>
      <c r="P267" s="20">
        <f>'Working Sheet'!$N267-'Working Sheet'!$O267</f>
        <v>18000</v>
      </c>
    </row>
    <row r="268" spans="1:16" ht="14.25" customHeight="1" x14ac:dyDescent="0.25">
      <c r="A268" s="23" t="str">
        <f t="shared" ca="1" si="8"/>
        <v>ID_172</v>
      </c>
      <c r="B268" s="22">
        <v>45689</v>
      </c>
      <c r="C268" s="23" t="str">
        <f>TEXT('Working Sheet'!$B268,"mmm")</f>
        <v>Feb</v>
      </c>
      <c r="D268" s="23" t="s">
        <v>11</v>
      </c>
      <c r="E268" s="23" t="s">
        <v>26</v>
      </c>
      <c r="F268" s="23" t="s">
        <v>13</v>
      </c>
      <c r="G268" s="23" t="s">
        <v>14</v>
      </c>
      <c r="H268" s="23" t="s">
        <v>38</v>
      </c>
      <c r="I268" s="23" t="s">
        <v>31</v>
      </c>
      <c r="J268" s="24">
        <v>420000</v>
      </c>
      <c r="K268" s="23">
        <v>10</v>
      </c>
      <c r="L268" s="23" t="s">
        <v>24</v>
      </c>
      <c r="M268" s="25">
        <f t="shared" si="9"/>
        <v>336000</v>
      </c>
      <c r="N268" s="25">
        <f>'Working Sheet'!$J268*'Working Sheet'!$K268</f>
        <v>4200000</v>
      </c>
      <c r="O268" s="26">
        <f>'Working Sheet'!$M268*'Working Sheet'!$K268</f>
        <v>3360000</v>
      </c>
      <c r="P268" s="25">
        <f>'Working Sheet'!$N268-'Working Sheet'!$O268</f>
        <v>840000</v>
      </c>
    </row>
    <row r="269" spans="1:16" ht="14.25" customHeight="1" x14ac:dyDescent="0.25">
      <c r="A269" s="18" t="str">
        <f t="shared" ca="1" si="8"/>
        <v>ID_1180</v>
      </c>
      <c r="B269" s="17">
        <v>45759</v>
      </c>
      <c r="C269" s="18" t="str">
        <f>TEXT('Working Sheet'!$B269,"mmm")</f>
        <v>Apr</v>
      </c>
      <c r="D269" s="18" t="s">
        <v>29</v>
      </c>
      <c r="E269" s="18" t="s">
        <v>32</v>
      </c>
      <c r="F269" s="18" t="s">
        <v>23</v>
      </c>
      <c r="G269" s="18" t="s">
        <v>14</v>
      </c>
      <c r="H269" s="18" t="s">
        <v>21</v>
      </c>
      <c r="I269" s="18" t="s">
        <v>22</v>
      </c>
      <c r="J269" s="19">
        <v>30000</v>
      </c>
      <c r="K269" s="18">
        <v>2</v>
      </c>
      <c r="L269" s="18" t="s">
        <v>37</v>
      </c>
      <c r="M269" s="20">
        <f t="shared" si="9"/>
        <v>24000</v>
      </c>
      <c r="N269" s="20">
        <f>'Working Sheet'!$J269*'Working Sheet'!$K269</f>
        <v>60000</v>
      </c>
      <c r="O269" s="21">
        <f>'Working Sheet'!$M269*'Working Sheet'!$K269</f>
        <v>48000</v>
      </c>
      <c r="P269" s="20">
        <f>'Working Sheet'!$N269-'Working Sheet'!$O269</f>
        <v>12000</v>
      </c>
    </row>
    <row r="270" spans="1:16" ht="14.25" customHeight="1" x14ac:dyDescent="0.25">
      <c r="A270" s="23" t="str">
        <f t="shared" ca="1" si="8"/>
        <v>ID_1707</v>
      </c>
      <c r="B270" s="22">
        <v>45691</v>
      </c>
      <c r="C270" s="23" t="str">
        <f>TEXT('Working Sheet'!$B270,"mmm")</f>
        <v>Feb</v>
      </c>
      <c r="D270" s="23" t="s">
        <v>18</v>
      </c>
      <c r="E270" s="23" t="s">
        <v>12</v>
      </c>
      <c r="F270" s="23" t="s">
        <v>23</v>
      </c>
      <c r="G270" s="23" t="s">
        <v>20</v>
      </c>
      <c r="H270" s="23" t="s">
        <v>36</v>
      </c>
      <c r="I270" s="23" t="s">
        <v>31</v>
      </c>
      <c r="J270" s="24">
        <v>150000</v>
      </c>
      <c r="K270" s="23">
        <v>5</v>
      </c>
      <c r="L270" s="23" t="s">
        <v>24</v>
      </c>
      <c r="M270" s="25">
        <f t="shared" si="9"/>
        <v>120000</v>
      </c>
      <c r="N270" s="25">
        <f>'Working Sheet'!$J270*'Working Sheet'!$K270</f>
        <v>750000</v>
      </c>
      <c r="O270" s="26">
        <f>'Working Sheet'!$M270*'Working Sheet'!$K270</f>
        <v>600000</v>
      </c>
      <c r="P270" s="25">
        <f>'Working Sheet'!$N270-'Working Sheet'!$O270</f>
        <v>150000</v>
      </c>
    </row>
    <row r="271" spans="1:16" ht="14.25" customHeight="1" x14ac:dyDescent="0.25">
      <c r="A271" s="18" t="str">
        <f t="shared" ca="1" si="8"/>
        <v>ID_690</v>
      </c>
      <c r="B271" s="17">
        <v>45763</v>
      </c>
      <c r="C271" s="18" t="str">
        <f>TEXT('Working Sheet'!$B271,"mmm")</f>
        <v>Apr</v>
      </c>
      <c r="D271" s="18" t="s">
        <v>25</v>
      </c>
      <c r="E271" s="18" t="s">
        <v>32</v>
      </c>
      <c r="F271" s="18" t="s">
        <v>13</v>
      </c>
      <c r="G271" s="18" t="s">
        <v>20</v>
      </c>
      <c r="H271" s="18" t="s">
        <v>36</v>
      </c>
      <c r="I271" s="18" t="s">
        <v>31</v>
      </c>
      <c r="J271" s="19">
        <v>150000</v>
      </c>
      <c r="K271" s="18">
        <v>10</v>
      </c>
      <c r="L271" s="18" t="s">
        <v>37</v>
      </c>
      <c r="M271" s="20">
        <f t="shared" si="9"/>
        <v>120000</v>
      </c>
      <c r="N271" s="20">
        <f>'Working Sheet'!$J271*'Working Sheet'!$K271</f>
        <v>1500000</v>
      </c>
      <c r="O271" s="21">
        <f>'Working Sheet'!$M271*'Working Sheet'!$K271</f>
        <v>1200000</v>
      </c>
      <c r="P271" s="20">
        <f>'Working Sheet'!$N271-'Working Sheet'!$O271</f>
        <v>300000</v>
      </c>
    </row>
    <row r="272" spans="1:16" ht="14.25" customHeight="1" x14ac:dyDescent="0.25">
      <c r="A272" s="23" t="str">
        <f t="shared" ca="1" si="8"/>
        <v>ID_294</v>
      </c>
      <c r="B272" s="22">
        <v>45668</v>
      </c>
      <c r="C272" s="23" t="str">
        <f>TEXT('Working Sheet'!$B272,"mmm")</f>
        <v>Jan</v>
      </c>
      <c r="D272" s="23" t="s">
        <v>11</v>
      </c>
      <c r="E272" s="23" t="s">
        <v>32</v>
      </c>
      <c r="F272" s="23" t="s">
        <v>23</v>
      </c>
      <c r="G272" s="23" t="s">
        <v>14</v>
      </c>
      <c r="H272" s="23" t="s">
        <v>33</v>
      </c>
      <c r="I272" s="23" t="s">
        <v>22</v>
      </c>
      <c r="J272" s="24">
        <v>180000</v>
      </c>
      <c r="K272" s="23">
        <v>3</v>
      </c>
      <c r="L272" s="23" t="s">
        <v>24</v>
      </c>
      <c r="M272" s="25">
        <f t="shared" si="9"/>
        <v>144000</v>
      </c>
      <c r="N272" s="25">
        <f>'Working Sheet'!$J272*'Working Sheet'!$K272</f>
        <v>540000</v>
      </c>
      <c r="O272" s="26">
        <f>'Working Sheet'!$M272*'Working Sheet'!$K272</f>
        <v>432000</v>
      </c>
      <c r="P272" s="25">
        <f>'Working Sheet'!$N272-'Working Sheet'!$O272</f>
        <v>108000</v>
      </c>
    </row>
    <row r="273" spans="1:16" ht="14.25" customHeight="1" x14ac:dyDescent="0.25">
      <c r="A273" s="18" t="str">
        <f t="shared" ca="1" si="8"/>
        <v>ID_691</v>
      </c>
      <c r="B273" s="17">
        <v>45690</v>
      </c>
      <c r="C273" s="18" t="str">
        <f>TEXT('Working Sheet'!$B273,"mmm")</f>
        <v>Feb</v>
      </c>
      <c r="D273" s="18" t="s">
        <v>18</v>
      </c>
      <c r="E273" s="18" t="s">
        <v>26</v>
      </c>
      <c r="F273" s="18" t="s">
        <v>23</v>
      </c>
      <c r="G273" s="18" t="s">
        <v>14</v>
      </c>
      <c r="H273" s="18" t="s">
        <v>21</v>
      </c>
      <c r="I273" s="18" t="s">
        <v>22</v>
      </c>
      <c r="J273" s="19">
        <v>30000</v>
      </c>
      <c r="K273" s="18">
        <v>10</v>
      </c>
      <c r="L273" s="18" t="s">
        <v>28</v>
      </c>
      <c r="M273" s="20">
        <f t="shared" si="9"/>
        <v>24000</v>
      </c>
      <c r="N273" s="20">
        <f>'Working Sheet'!$J273*'Working Sheet'!$K273</f>
        <v>300000</v>
      </c>
      <c r="O273" s="21">
        <f>'Working Sheet'!$M273*'Working Sheet'!$K273</f>
        <v>240000</v>
      </c>
      <c r="P273" s="20">
        <f>'Working Sheet'!$N273-'Working Sheet'!$O273</f>
        <v>60000</v>
      </c>
    </row>
    <row r="274" spans="1:16" ht="14.25" customHeight="1" x14ac:dyDescent="0.25">
      <c r="A274" s="23" t="str">
        <f t="shared" ca="1" si="8"/>
        <v>ID_475</v>
      </c>
      <c r="B274" s="22">
        <v>45661</v>
      </c>
      <c r="C274" s="23" t="str">
        <f>TEXT('Working Sheet'!$B274,"mmm")</f>
        <v>Jan</v>
      </c>
      <c r="D274" s="23" t="s">
        <v>18</v>
      </c>
      <c r="E274" s="23" t="s">
        <v>12</v>
      </c>
      <c r="F274" s="23" t="s">
        <v>13</v>
      </c>
      <c r="G274" s="23" t="s">
        <v>14</v>
      </c>
      <c r="H274" s="23" t="s">
        <v>38</v>
      </c>
      <c r="I274" s="23" t="s">
        <v>31</v>
      </c>
      <c r="J274" s="24">
        <v>420000</v>
      </c>
      <c r="K274" s="23">
        <v>2</v>
      </c>
      <c r="L274" s="23" t="s">
        <v>28</v>
      </c>
      <c r="M274" s="25">
        <f t="shared" si="9"/>
        <v>336000</v>
      </c>
      <c r="N274" s="25">
        <f>'Working Sheet'!$J274*'Working Sheet'!$K274</f>
        <v>840000</v>
      </c>
      <c r="O274" s="26">
        <f>'Working Sheet'!$M274*'Working Sheet'!$K274</f>
        <v>672000</v>
      </c>
      <c r="P274" s="25">
        <f>'Working Sheet'!$N274-'Working Sheet'!$O274</f>
        <v>168000</v>
      </c>
    </row>
    <row r="275" spans="1:16" ht="14.25" customHeight="1" x14ac:dyDescent="0.25">
      <c r="A275" s="18" t="str">
        <f t="shared" ca="1" si="8"/>
        <v>ID_1322</v>
      </c>
      <c r="B275" s="17">
        <v>45730</v>
      </c>
      <c r="C275" s="18" t="str">
        <f>TEXT('Working Sheet'!$B275,"mmm")</f>
        <v>Mar</v>
      </c>
      <c r="D275" s="18" t="s">
        <v>25</v>
      </c>
      <c r="E275" s="18" t="s">
        <v>12</v>
      </c>
      <c r="F275" s="18" t="s">
        <v>23</v>
      </c>
      <c r="G275" s="18" t="s">
        <v>14</v>
      </c>
      <c r="H275" s="18" t="s">
        <v>34</v>
      </c>
      <c r="I275" s="18" t="s">
        <v>16</v>
      </c>
      <c r="J275" s="19">
        <v>320000</v>
      </c>
      <c r="K275" s="18">
        <v>1</v>
      </c>
      <c r="L275" s="18" t="s">
        <v>35</v>
      </c>
      <c r="M275" s="20">
        <f t="shared" si="9"/>
        <v>256000</v>
      </c>
      <c r="N275" s="20">
        <f>'Working Sheet'!$J275*'Working Sheet'!$K275</f>
        <v>320000</v>
      </c>
      <c r="O275" s="21">
        <f>'Working Sheet'!$M275*'Working Sheet'!$K275</f>
        <v>256000</v>
      </c>
      <c r="P275" s="20">
        <f>'Working Sheet'!$N275-'Working Sheet'!$O275</f>
        <v>64000</v>
      </c>
    </row>
    <row r="276" spans="1:16" ht="14.25" customHeight="1" x14ac:dyDescent="0.25">
      <c r="A276" s="23" t="str">
        <f t="shared" ca="1" si="8"/>
        <v>ID_372</v>
      </c>
      <c r="B276" s="22">
        <v>45743</v>
      </c>
      <c r="C276" s="23" t="str">
        <f>TEXT('Working Sheet'!$B276,"mmm")</f>
        <v>Mar</v>
      </c>
      <c r="D276" s="23" t="s">
        <v>29</v>
      </c>
      <c r="E276" s="23" t="s">
        <v>19</v>
      </c>
      <c r="F276" s="23" t="s">
        <v>13</v>
      </c>
      <c r="G276" s="23" t="s">
        <v>14</v>
      </c>
      <c r="H276" s="23" t="s">
        <v>36</v>
      </c>
      <c r="I276" s="23" t="s">
        <v>31</v>
      </c>
      <c r="J276" s="24">
        <v>150000</v>
      </c>
      <c r="K276" s="23">
        <v>2</v>
      </c>
      <c r="L276" s="23" t="s">
        <v>28</v>
      </c>
      <c r="M276" s="25">
        <f t="shared" si="9"/>
        <v>120000</v>
      </c>
      <c r="N276" s="25">
        <f>'Working Sheet'!$J276*'Working Sheet'!$K276</f>
        <v>300000</v>
      </c>
      <c r="O276" s="26">
        <f>'Working Sheet'!$M276*'Working Sheet'!$K276</f>
        <v>240000</v>
      </c>
      <c r="P276" s="25">
        <f>'Working Sheet'!$N276-'Working Sheet'!$O276</f>
        <v>60000</v>
      </c>
    </row>
    <row r="277" spans="1:16" ht="14.25" customHeight="1" x14ac:dyDescent="0.25">
      <c r="A277" s="18" t="str">
        <f t="shared" ca="1" si="8"/>
        <v>ID_1343</v>
      </c>
      <c r="B277" s="17">
        <v>45772</v>
      </c>
      <c r="C277" s="18" t="str">
        <f>TEXT('Working Sheet'!$B277,"mmm")</f>
        <v>Apr</v>
      </c>
      <c r="D277" s="18" t="s">
        <v>18</v>
      </c>
      <c r="E277" s="18" t="s">
        <v>19</v>
      </c>
      <c r="F277" s="18" t="s">
        <v>23</v>
      </c>
      <c r="G277" s="18" t="s">
        <v>20</v>
      </c>
      <c r="H277" s="18" t="s">
        <v>21</v>
      </c>
      <c r="I277" s="18" t="s">
        <v>22</v>
      </c>
      <c r="J277" s="19">
        <v>30000</v>
      </c>
      <c r="K277" s="18">
        <v>9</v>
      </c>
      <c r="L277" s="18" t="s">
        <v>39</v>
      </c>
      <c r="M277" s="20">
        <f t="shared" si="9"/>
        <v>24000</v>
      </c>
      <c r="N277" s="20">
        <f>'Working Sheet'!$J277*'Working Sheet'!$K277</f>
        <v>270000</v>
      </c>
      <c r="O277" s="21">
        <f>'Working Sheet'!$M277*'Working Sheet'!$K277</f>
        <v>216000</v>
      </c>
      <c r="P277" s="20">
        <f>'Working Sheet'!$N277-'Working Sheet'!$O277</f>
        <v>54000</v>
      </c>
    </row>
    <row r="278" spans="1:16" ht="14.25" customHeight="1" x14ac:dyDescent="0.25">
      <c r="A278" s="23" t="str">
        <f t="shared" ca="1" si="8"/>
        <v>ID_1646</v>
      </c>
      <c r="B278" s="22">
        <v>45714</v>
      </c>
      <c r="C278" s="23" t="str">
        <f>TEXT('Working Sheet'!$B278,"mmm")</f>
        <v>Feb</v>
      </c>
      <c r="D278" s="23" t="s">
        <v>11</v>
      </c>
      <c r="E278" s="23" t="s">
        <v>19</v>
      </c>
      <c r="F278" s="23" t="s">
        <v>13</v>
      </c>
      <c r="G278" s="23" t="s">
        <v>14</v>
      </c>
      <c r="H278" s="23" t="s">
        <v>15</v>
      </c>
      <c r="I278" s="23" t="s">
        <v>16</v>
      </c>
      <c r="J278" s="24">
        <v>85000</v>
      </c>
      <c r="K278" s="23">
        <v>7</v>
      </c>
      <c r="L278" s="23" t="s">
        <v>35</v>
      </c>
      <c r="M278" s="25">
        <f t="shared" si="9"/>
        <v>68000</v>
      </c>
      <c r="N278" s="25">
        <f>'Working Sheet'!$J278*'Working Sheet'!$K278</f>
        <v>595000</v>
      </c>
      <c r="O278" s="26">
        <f>'Working Sheet'!$M278*'Working Sheet'!$K278</f>
        <v>476000</v>
      </c>
      <c r="P278" s="25">
        <f>'Working Sheet'!$N278-'Working Sheet'!$O278</f>
        <v>119000</v>
      </c>
    </row>
    <row r="279" spans="1:16" ht="14.25" customHeight="1" x14ac:dyDescent="0.25">
      <c r="A279" s="18" t="str">
        <f t="shared" ca="1" si="8"/>
        <v>ID_1668</v>
      </c>
      <c r="B279" s="17">
        <v>45690</v>
      </c>
      <c r="C279" s="18" t="str">
        <f>TEXT('Working Sheet'!$B279,"mmm")</f>
        <v>Feb</v>
      </c>
      <c r="D279" s="18" t="s">
        <v>29</v>
      </c>
      <c r="E279" s="18" t="s">
        <v>12</v>
      </c>
      <c r="F279" s="18" t="s">
        <v>23</v>
      </c>
      <c r="G279" s="18" t="s">
        <v>14</v>
      </c>
      <c r="H279" s="18" t="s">
        <v>36</v>
      </c>
      <c r="I279" s="18" t="s">
        <v>31</v>
      </c>
      <c r="J279" s="19">
        <v>150000</v>
      </c>
      <c r="K279" s="18">
        <v>5</v>
      </c>
      <c r="L279" s="18" t="s">
        <v>24</v>
      </c>
      <c r="M279" s="20">
        <f t="shared" si="9"/>
        <v>120000</v>
      </c>
      <c r="N279" s="20">
        <f>'Working Sheet'!$J279*'Working Sheet'!$K279</f>
        <v>750000</v>
      </c>
      <c r="O279" s="21">
        <f>'Working Sheet'!$M279*'Working Sheet'!$K279</f>
        <v>600000</v>
      </c>
      <c r="P279" s="20">
        <f>'Working Sheet'!$N279-'Working Sheet'!$O279</f>
        <v>150000</v>
      </c>
    </row>
    <row r="280" spans="1:16" ht="14.25" customHeight="1" x14ac:dyDescent="0.25">
      <c r="A280" s="23" t="str">
        <f t="shared" ca="1" si="8"/>
        <v>ID_1455</v>
      </c>
      <c r="B280" s="22">
        <v>45658</v>
      </c>
      <c r="C280" s="23" t="str">
        <f>TEXT('Working Sheet'!$B280,"mmm")</f>
        <v>Jan</v>
      </c>
      <c r="D280" s="23" t="s">
        <v>11</v>
      </c>
      <c r="E280" s="23" t="s">
        <v>26</v>
      </c>
      <c r="F280" s="23" t="s">
        <v>13</v>
      </c>
      <c r="G280" s="23" t="s">
        <v>20</v>
      </c>
      <c r="H280" s="23" t="s">
        <v>34</v>
      </c>
      <c r="I280" s="23" t="s">
        <v>16</v>
      </c>
      <c r="J280" s="24">
        <v>320000</v>
      </c>
      <c r="K280" s="23">
        <v>9</v>
      </c>
      <c r="L280" s="23" t="s">
        <v>17</v>
      </c>
      <c r="M280" s="25">
        <f t="shared" si="9"/>
        <v>256000</v>
      </c>
      <c r="N280" s="25">
        <f>'Working Sheet'!$J280*'Working Sheet'!$K280</f>
        <v>2880000</v>
      </c>
      <c r="O280" s="26">
        <f>'Working Sheet'!$M280*'Working Sheet'!$K280</f>
        <v>2304000</v>
      </c>
      <c r="P280" s="25">
        <f>'Working Sheet'!$N280-'Working Sheet'!$O280</f>
        <v>576000</v>
      </c>
    </row>
    <row r="281" spans="1:16" ht="14.25" customHeight="1" x14ac:dyDescent="0.25">
      <c r="A281" s="18" t="str">
        <f t="shared" ca="1" si="8"/>
        <v>ID_2094</v>
      </c>
      <c r="B281" s="17">
        <v>45722</v>
      </c>
      <c r="C281" s="18" t="str">
        <f>TEXT('Working Sheet'!$B281,"mmm")</f>
        <v>Mar</v>
      </c>
      <c r="D281" s="18" t="s">
        <v>29</v>
      </c>
      <c r="E281" s="18" t="s">
        <v>19</v>
      </c>
      <c r="F281" s="18" t="s">
        <v>13</v>
      </c>
      <c r="G281" s="18" t="s">
        <v>14</v>
      </c>
      <c r="H281" s="18" t="s">
        <v>34</v>
      </c>
      <c r="I281" s="18" t="s">
        <v>16</v>
      </c>
      <c r="J281" s="19">
        <v>320000</v>
      </c>
      <c r="K281" s="18">
        <v>10</v>
      </c>
      <c r="L281" s="18" t="s">
        <v>35</v>
      </c>
      <c r="M281" s="20">
        <f t="shared" si="9"/>
        <v>256000</v>
      </c>
      <c r="N281" s="20">
        <f>'Working Sheet'!$J281*'Working Sheet'!$K281</f>
        <v>3200000</v>
      </c>
      <c r="O281" s="21">
        <f>'Working Sheet'!$M281*'Working Sheet'!$K281</f>
        <v>2560000</v>
      </c>
      <c r="P281" s="20">
        <f>'Working Sheet'!$N281-'Working Sheet'!$O281</f>
        <v>640000</v>
      </c>
    </row>
    <row r="282" spans="1:16" ht="14.25" customHeight="1" x14ac:dyDescent="0.25">
      <c r="A282" s="23" t="str">
        <f t="shared" ca="1" si="8"/>
        <v>ID_837</v>
      </c>
      <c r="B282" s="22">
        <v>45660</v>
      </c>
      <c r="C282" s="23" t="str">
        <f>TEXT('Working Sheet'!$B282,"mmm")</f>
        <v>Jan</v>
      </c>
      <c r="D282" s="23" t="s">
        <v>29</v>
      </c>
      <c r="E282" s="23" t="s">
        <v>26</v>
      </c>
      <c r="F282" s="23" t="s">
        <v>23</v>
      </c>
      <c r="G282" s="23" t="s">
        <v>14</v>
      </c>
      <c r="H282" s="23" t="s">
        <v>15</v>
      </c>
      <c r="I282" s="23" t="s">
        <v>16</v>
      </c>
      <c r="J282" s="24">
        <v>85000</v>
      </c>
      <c r="K282" s="23">
        <v>7</v>
      </c>
      <c r="L282" s="23" t="s">
        <v>35</v>
      </c>
      <c r="M282" s="25">
        <f t="shared" si="9"/>
        <v>68000</v>
      </c>
      <c r="N282" s="25">
        <f>'Working Sheet'!$J282*'Working Sheet'!$K282</f>
        <v>595000</v>
      </c>
      <c r="O282" s="26">
        <f>'Working Sheet'!$M282*'Working Sheet'!$K282</f>
        <v>476000</v>
      </c>
      <c r="P282" s="25">
        <f>'Working Sheet'!$N282-'Working Sheet'!$O282</f>
        <v>119000</v>
      </c>
    </row>
    <row r="283" spans="1:16" ht="14.25" customHeight="1" x14ac:dyDescent="0.25">
      <c r="A283" s="18" t="str">
        <f t="shared" ca="1" si="8"/>
        <v>ID_1796</v>
      </c>
      <c r="B283" s="17">
        <v>45768</v>
      </c>
      <c r="C283" s="18" t="str">
        <f>TEXT('Working Sheet'!$B283,"mmm")</f>
        <v>Apr</v>
      </c>
      <c r="D283" s="18" t="s">
        <v>25</v>
      </c>
      <c r="E283" s="18" t="s">
        <v>26</v>
      </c>
      <c r="F283" s="18" t="s">
        <v>13</v>
      </c>
      <c r="G283" s="18" t="s">
        <v>14</v>
      </c>
      <c r="H283" s="18" t="s">
        <v>27</v>
      </c>
      <c r="I283" s="18" t="s">
        <v>22</v>
      </c>
      <c r="J283" s="19">
        <v>60000</v>
      </c>
      <c r="K283" s="18">
        <v>4</v>
      </c>
      <c r="L283" s="18" t="s">
        <v>35</v>
      </c>
      <c r="M283" s="20">
        <f t="shared" si="9"/>
        <v>48000</v>
      </c>
      <c r="N283" s="20">
        <f>'Working Sheet'!$J283*'Working Sheet'!$K283</f>
        <v>240000</v>
      </c>
      <c r="O283" s="21">
        <f>'Working Sheet'!$M283*'Working Sheet'!$K283</f>
        <v>192000</v>
      </c>
      <c r="P283" s="20">
        <f>'Working Sheet'!$N283-'Working Sheet'!$O283</f>
        <v>48000</v>
      </c>
    </row>
    <row r="284" spans="1:16" ht="14.25" customHeight="1" x14ac:dyDescent="0.25">
      <c r="A284" s="23" t="str">
        <f t="shared" ca="1" si="8"/>
        <v>ID_561</v>
      </c>
      <c r="B284" s="22">
        <v>45751</v>
      </c>
      <c r="C284" s="23" t="str">
        <f>TEXT('Working Sheet'!$B284,"mmm")</f>
        <v>Apr</v>
      </c>
      <c r="D284" s="23" t="s">
        <v>18</v>
      </c>
      <c r="E284" s="23" t="s">
        <v>26</v>
      </c>
      <c r="F284" s="23" t="s">
        <v>13</v>
      </c>
      <c r="G284" s="23" t="s">
        <v>20</v>
      </c>
      <c r="H284" s="23" t="s">
        <v>27</v>
      </c>
      <c r="I284" s="23" t="s">
        <v>22</v>
      </c>
      <c r="J284" s="24">
        <v>60000</v>
      </c>
      <c r="K284" s="23">
        <v>7</v>
      </c>
      <c r="L284" s="23" t="s">
        <v>24</v>
      </c>
      <c r="M284" s="25">
        <f t="shared" si="9"/>
        <v>48000</v>
      </c>
      <c r="N284" s="25">
        <f>'Working Sheet'!$J284*'Working Sheet'!$K284</f>
        <v>420000</v>
      </c>
      <c r="O284" s="26">
        <f>'Working Sheet'!$M284*'Working Sheet'!$K284</f>
        <v>336000</v>
      </c>
      <c r="P284" s="25">
        <f>'Working Sheet'!$N284-'Working Sheet'!$O284</f>
        <v>84000</v>
      </c>
    </row>
    <row r="285" spans="1:16" ht="14.25" customHeight="1" x14ac:dyDescent="0.25">
      <c r="A285" s="18" t="str">
        <f t="shared" ca="1" si="8"/>
        <v>ID_140</v>
      </c>
      <c r="B285" s="17">
        <v>45755</v>
      </c>
      <c r="C285" s="18" t="str">
        <f>TEXT('Working Sheet'!$B285,"mmm")</f>
        <v>Apr</v>
      </c>
      <c r="D285" s="18" t="s">
        <v>25</v>
      </c>
      <c r="E285" s="18" t="s">
        <v>19</v>
      </c>
      <c r="F285" s="18" t="s">
        <v>23</v>
      </c>
      <c r="G285" s="18" t="s">
        <v>14</v>
      </c>
      <c r="H285" s="18" t="s">
        <v>36</v>
      </c>
      <c r="I285" s="18" t="s">
        <v>31</v>
      </c>
      <c r="J285" s="19">
        <v>150000</v>
      </c>
      <c r="K285" s="18">
        <v>7</v>
      </c>
      <c r="L285" s="18" t="s">
        <v>39</v>
      </c>
      <c r="M285" s="20">
        <f t="shared" si="9"/>
        <v>120000</v>
      </c>
      <c r="N285" s="20">
        <f>'Working Sheet'!$J285*'Working Sheet'!$K285</f>
        <v>1050000</v>
      </c>
      <c r="O285" s="21">
        <f>'Working Sheet'!$M285*'Working Sheet'!$K285</f>
        <v>840000</v>
      </c>
      <c r="P285" s="20">
        <f>'Working Sheet'!$N285-'Working Sheet'!$O285</f>
        <v>210000</v>
      </c>
    </row>
    <row r="286" spans="1:16" ht="14.25" customHeight="1" x14ac:dyDescent="0.25">
      <c r="A286" s="23" t="str">
        <f t="shared" ca="1" si="8"/>
        <v>ID_562</v>
      </c>
      <c r="B286" s="22">
        <v>45769</v>
      </c>
      <c r="C286" s="23" t="str">
        <f>TEXT('Working Sheet'!$B286,"mmm")</f>
        <v>Apr</v>
      </c>
      <c r="D286" s="23" t="s">
        <v>11</v>
      </c>
      <c r="E286" s="23" t="s">
        <v>19</v>
      </c>
      <c r="F286" s="23" t="s">
        <v>13</v>
      </c>
      <c r="G286" s="23" t="s">
        <v>14</v>
      </c>
      <c r="H286" s="23" t="s">
        <v>15</v>
      </c>
      <c r="I286" s="23" t="s">
        <v>16</v>
      </c>
      <c r="J286" s="24">
        <v>85000</v>
      </c>
      <c r="K286" s="23">
        <v>3</v>
      </c>
      <c r="L286" s="23" t="s">
        <v>24</v>
      </c>
      <c r="M286" s="25">
        <f t="shared" si="9"/>
        <v>68000</v>
      </c>
      <c r="N286" s="25">
        <f>'Working Sheet'!$J286*'Working Sheet'!$K286</f>
        <v>255000</v>
      </c>
      <c r="O286" s="26">
        <f>'Working Sheet'!$M286*'Working Sheet'!$K286</f>
        <v>204000</v>
      </c>
      <c r="P286" s="25">
        <f>'Working Sheet'!$N286-'Working Sheet'!$O286</f>
        <v>51000</v>
      </c>
    </row>
    <row r="287" spans="1:16" ht="14.25" customHeight="1" x14ac:dyDescent="0.25">
      <c r="A287" s="18" t="str">
        <f t="shared" ca="1" si="8"/>
        <v>ID_469</v>
      </c>
      <c r="B287" s="17">
        <v>45735</v>
      </c>
      <c r="C287" s="18" t="str">
        <f>TEXT('Working Sheet'!$B287,"mmm")</f>
        <v>Mar</v>
      </c>
      <c r="D287" s="18" t="s">
        <v>25</v>
      </c>
      <c r="E287" s="18" t="s">
        <v>32</v>
      </c>
      <c r="F287" s="18" t="s">
        <v>13</v>
      </c>
      <c r="G287" s="18" t="s">
        <v>14</v>
      </c>
      <c r="H287" s="18" t="s">
        <v>15</v>
      </c>
      <c r="I287" s="18" t="s">
        <v>16</v>
      </c>
      <c r="J287" s="19">
        <v>85000</v>
      </c>
      <c r="K287" s="18">
        <v>10</v>
      </c>
      <c r="L287" s="18" t="s">
        <v>28</v>
      </c>
      <c r="M287" s="20">
        <f t="shared" si="9"/>
        <v>68000</v>
      </c>
      <c r="N287" s="20">
        <f>'Working Sheet'!$J287*'Working Sheet'!$K287</f>
        <v>850000</v>
      </c>
      <c r="O287" s="21">
        <f>'Working Sheet'!$M287*'Working Sheet'!$K287</f>
        <v>680000</v>
      </c>
      <c r="P287" s="20">
        <f>'Working Sheet'!$N287-'Working Sheet'!$O287</f>
        <v>170000</v>
      </c>
    </row>
    <row r="288" spans="1:16" ht="14.25" customHeight="1" x14ac:dyDescent="0.25">
      <c r="A288" s="23" t="str">
        <f t="shared" ca="1" si="8"/>
        <v>ID_627</v>
      </c>
      <c r="B288" s="22">
        <v>45769</v>
      </c>
      <c r="C288" s="23" t="str">
        <f>TEXT('Working Sheet'!$B288,"mmm")</f>
        <v>Apr</v>
      </c>
      <c r="D288" s="23" t="s">
        <v>18</v>
      </c>
      <c r="E288" s="23" t="s">
        <v>19</v>
      </c>
      <c r="F288" s="23" t="s">
        <v>23</v>
      </c>
      <c r="G288" s="23" t="s">
        <v>20</v>
      </c>
      <c r="H288" s="23" t="s">
        <v>30</v>
      </c>
      <c r="I288" s="23" t="s">
        <v>31</v>
      </c>
      <c r="J288" s="24">
        <v>300000</v>
      </c>
      <c r="K288" s="23">
        <v>10</v>
      </c>
      <c r="L288" s="23" t="s">
        <v>24</v>
      </c>
      <c r="M288" s="25">
        <f t="shared" si="9"/>
        <v>240000</v>
      </c>
      <c r="N288" s="25">
        <f>'Working Sheet'!$J288*'Working Sheet'!$K288</f>
        <v>3000000</v>
      </c>
      <c r="O288" s="26">
        <f>'Working Sheet'!$M288*'Working Sheet'!$K288</f>
        <v>2400000</v>
      </c>
      <c r="P288" s="25">
        <f>'Working Sheet'!$N288-'Working Sheet'!$O288</f>
        <v>600000</v>
      </c>
    </row>
    <row r="289" spans="1:16" ht="14.25" customHeight="1" x14ac:dyDescent="0.25">
      <c r="A289" s="18" t="str">
        <f t="shared" ca="1" si="8"/>
        <v>ID_791</v>
      </c>
      <c r="B289" s="17">
        <v>45736</v>
      </c>
      <c r="C289" s="18" t="str">
        <f>TEXT('Working Sheet'!$B289,"mmm")</f>
        <v>Mar</v>
      </c>
      <c r="D289" s="18" t="s">
        <v>25</v>
      </c>
      <c r="E289" s="18" t="s">
        <v>32</v>
      </c>
      <c r="F289" s="18" t="s">
        <v>13</v>
      </c>
      <c r="G289" s="18" t="s">
        <v>20</v>
      </c>
      <c r="H289" s="18" t="s">
        <v>27</v>
      </c>
      <c r="I289" s="18" t="s">
        <v>22</v>
      </c>
      <c r="J289" s="19">
        <v>60000</v>
      </c>
      <c r="K289" s="18">
        <v>3</v>
      </c>
      <c r="L289" s="18" t="s">
        <v>17</v>
      </c>
      <c r="M289" s="20">
        <f t="shared" si="9"/>
        <v>48000</v>
      </c>
      <c r="N289" s="20">
        <f>'Working Sheet'!$J289*'Working Sheet'!$K289</f>
        <v>180000</v>
      </c>
      <c r="O289" s="21">
        <f>'Working Sheet'!$M289*'Working Sheet'!$K289</f>
        <v>144000</v>
      </c>
      <c r="P289" s="20">
        <f>'Working Sheet'!$N289-'Working Sheet'!$O289</f>
        <v>36000</v>
      </c>
    </row>
    <row r="290" spans="1:16" ht="14.25" customHeight="1" x14ac:dyDescent="0.25">
      <c r="A290" s="23" t="str">
        <f t="shared" ca="1" si="8"/>
        <v>ID_2083</v>
      </c>
      <c r="B290" s="22">
        <v>45715</v>
      </c>
      <c r="C290" s="23" t="str">
        <f>TEXT('Working Sheet'!$B290,"mmm")</f>
        <v>Feb</v>
      </c>
      <c r="D290" s="23" t="s">
        <v>18</v>
      </c>
      <c r="E290" s="23" t="s">
        <v>12</v>
      </c>
      <c r="F290" s="23" t="s">
        <v>23</v>
      </c>
      <c r="G290" s="23" t="s">
        <v>14</v>
      </c>
      <c r="H290" s="23" t="s">
        <v>27</v>
      </c>
      <c r="I290" s="23" t="s">
        <v>22</v>
      </c>
      <c r="J290" s="24">
        <v>60000</v>
      </c>
      <c r="K290" s="23">
        <v>3</v>
      </c>
      <c r="L290" s="23" t="s">
        <v>24</v>
      </c>
      <c r="M290" s="25">
        <f t="shared" si="9"/>
        <v>48000</v>
      </c>
      <c r="N290" s="25">
        <f>'Working Sheet'!$J290*'Working Sheet'!$K290</f>
        <v>180000</v>
      </c>
      <c r="O290" s="26">
        <f>'Working Sheet'!$M290*'Working Sheet'!$K290</f>
        <v>144000</v>
      </c>
      <c r="P290" s="25">
        <f>'Working Sheet'!$N290-'Working Sheet'!$O290</f>
        <v>36000</v>
      </c>
    </row>
    <row r="291" spans="1:16" ht="14.25" customHeight="1" x14ac:dyDescent="0.25">
      <c r="A291" s="18" t="str">
        <f t="shared" ca="1" si="8"/>
        <v>ID_1853</v>
      </c>
      <c r="B291" s="17">
        <v>45677</v>
      </c>
      <c r="C291" s="18" t="str">
        <f>TEXT('Working Sheet'!$B291,"mmm")</f>
        <v>Jan</v>
      </c>
      <c r="D291" s="18" t="s">
        <v>11</v>
      </c>
      <c r="E291" s="18" t="s">
        <v>19</v>
      </c>
      <c r="F291" s="18" t="s">
        <v>13</v>
      </c>
      <c r="G291" s="18" t="s">
        <v>14</v>
      </c>
      <c r="H291" s="18" t="s">
        <v>15</v>
      </c>
      <c r="I291" s="18" t="s">
        <v>16</v>
      </c>
      <c r="J291" s="19">
        <v>85000</v>
      </c>
      <c r="K291" s="18">
        <v>6</v>
      </c>
      <c r="L291" s="18" t="s">
        <v>24</v>
      </c>
      <c r="M291" s="20">
        <f t="shared" si="9"/>
        <v>68000</v>
      </c>
      <c r="N291" s="20">
        <f>'Working Sheet'!$J291*'Working Sheet'!$K291</f>
        <v>510000</v>
      </c>
      <c r="O291" s="21">
        <f>'Working Sheet'!$M291*'Working Sheet'!$K291</f>
        <v>408000</v>
      </c>
      <c r="P291" s="20">
        <f>'Working Sheet'!$N291-'Working Sheet'!$O291</f>
        <v>102000</v>
      </c>
    </row>
    <row r="292" spans="1:16" ht="14.25" customHeight="1" x14ac:dyDescent="0.25">
      <c r="A292" s="23" t="str">
        <f t="shared" ca="1" si="8"/>
        <v>ID_344</v>
      </c>
      <c r="B292" s="22">
        <v>45771</v>
      </c>
      <c r="C292" s="23" t="str">
        <f>TEXT('Working Sheet'!$B292,"mmm")</f>
        <v>Apr</v>
      </c>
      <c r="D292" s="23" t="s">
        <v>18</v>
      </c>
      <c r="E292" s="23" t="s">
        <v>26</v>
      </c>
      <c r="F292" s="23" t="s">
        <v>23</v>
      </c>
      <c r="G292" s="23" t="s">
        <v>20</v>
      </c>
      <c r="H292" s="23" t="s">
        <v>38</v>
      </c>
      <c r="I292" s="23" t="s">
        <v>31</v>
      </c>
      <c r="J292" s="24">
        <v>420000</v>
      </c>
      <c r="K292" s="23">
        <v>2</v>
      </c>
      <c r="L292" s="23" t="s">
        <v>37</v>
      </c>
      <c r="M292" s="25">
        <f t="shared" si="9"/>
        <v>336000</v>
      </c>
      <c r="N292" s="25">
        <f>'Working Sheet'!$J292*'Working Sheet'!$K292</f>
        <v>840000</v>
      </c>
      <c r="O292" s="26">
        <f>'Working Sheet'!$M292*'Working Sheet'!$K292</f>
        <v>672000</v>
      </c>
      <c r="P292" s="25">
        <f>'Working Sheet'!$N292-'Working Sheet'!$O292</f>
        <v>168000</v>
      </c>
    </row>
    <row r="293" spans="1:16" ht="14.25" customHeight="1" x14ac:dyDescent="0.25">
      <c r="A293" s="18" t="str">
        <f t="shared" ca="1" si="8"/>
        <v>ID_524</v>
      </c>
      <c r="B293" s="17">
        <v>45703</v>
      </c>
      <c r="C293" s="18" t="str">
        <f>TEXT('Working Sheet'!$B293,"mmm")</f>
        <v>Feb</v>
      </c>
      <c r="D293" s="18" t="s">
        <v>29</v>
      </c>
      <c r="E293" s="18" t="s">
        <v>32</v>
      </c>
      <c r="F293" s="18" t="s">
        <v>13</v>
      </c>
      <c r="G293" s="18" t="s">
        <v>20</v>
      </c>
      <c r="H293" s="18" t="s">
        <v>40</v>
      </c>
      <c r="I293" s="18" t="s">
        <v>31</v>
      </c>
      <c r="J293" s="19">
        <v>250000</v>
      </c>
      <c r="K293" s="18">
        <v>6</v>
      </c>
      <c r="L293" s="18" t="s">
        <v>39</v>
      </c>
      <c r="M293" s="20">
        <f t="shared" si="9"/>
        <v>200000</v>
      </c>
      <c r="N293" s="20">
        <f>'Working Sheet'!$J293*'Working Sheet'!$K293</f>
        <v>1500000</v>
      </c>
      <c r="O293" s="21">
        <f>'Working Sheet'!$M293*'Working Sheet'!$K293</f>
        <v>1200000</v>
      </c>
      <c r="P293" s="20">
        <f>'Working Sheet'!$N293-'Working Sheet'!$O293</f>
        <v>300000</v>
      </c>
    </row>
    <row r="294" spans="1:16" ht="14.25" customHeight="1" x14ac:dyDescent="0.25">
      <c r="A294" s="23" t="str">
        <f t="shared" ca="1" si="8"/>
        <v>ID_1227</v>
      </c>
      <c r="B294" s="22">
        <v>45727</v>
      </c>
      <c r="C294" s="23" t="str">
        <f>TEXT('Working Sheet'!$B294,"mmm")</f>
        <v>Mar</v>
      </c>
      <c r="D294" s="23" t="s">
        <v>29</v>
      </c>
      <c r="E294" s="23" t="s">
        <v>12</v>
      </c>
      <c r="F294" s="23" t="s">
        <v>13</v>
      </c>
      <c r="G294" s="23" t="s">
        <v>14</v>
      </c>
      <c r="H294" s="23" t="s">
        <v>36</v>
      </c>
      <c r="I294" s="23" t="s">
        <v>31</v>
      </c>
      <c r="J294" s="24">
        <v>150000</v>
      </c>
      <c r="K294" s="23">
        <v>8</v>
      </c>
      <c r="L294" s="23" t="s">
        <v>24</v>
      </c>
      <c r="M294" s="25">
        <f t="shared" si="9"/>
        <v>120000</v>
      </c>
      <c r="N294" s="25">
        <f>'Working Sheet'!$J294*'Working Sheet'!$K294</f>
        <v>1200000</v>
      </c>
      <c r="O294" s="26">
        <f>'Working Sheet'!$M294*'Working Sheet'!$K294</f>
        <v>960000</v>
      </c>
      <c r="P294" s="25">
        <f>'Working Sheet'!$N294-'Working Sheet'!$O294</f>
        <v>240000</v>
      </c>
    </row>
    <row r="295" spans="1:16" ht="14.25" customHeight="1" x14ac:dyDescent="0.25">
      <c r="A295" s="18" t="str">
        <f t="shared" ca="1" si="8"/>
        <v>ID_1458</v>
      </c>
      <c r="B295" s="17">
        <v>45775</v>
      </c>
      <c r="C295" s="18" t="str">
        <f>TEXT('Working Sheet'!$B295,"mmm")</f>
        <v>Apr</v>
      </c>
      <c r="D295" s="18" t="s">
        <v>18</v>
      </c>
      <c r="E295" s="18" t="s">
        <v>26</v>
      </c>
      <c r="F295" s="18" t="s">
        <v>23</v>
      </c>
      <c r="G295" s="18" t="s">
        <v>14</v>
      </c>
      <c r="H295" s="18" t="s">
        <v>36</v>
      </c>
      <c r="I295" s="18" t="s">
        <v>31</v>
      </c>
      <c r="J295" s="19">
        <v>150000</v>
      </c>
      <c r="K295" s="18">
        <v>10</v>
      </c>
      <c r="L295" s="18" t="s">
        <v>24</v>
      </c>
      <c r="M295" s="20">
        <f t="shared" si="9"/>
        <v>120000</v>
      </c>
      <c r="N295" s="20">
        <f>'Working Sheet'!$J295*'Working Sheet'!$K295</f>
        <v>1500000</v>
      </c>
      <c r="O295" s="21">
        <f>'Working Sheet'!$M295*'Working Sheet'!$K295</f>
        <v>1200000</v>
      </c>
      <c r="P295" s="20">
        <f>'Working Sheet'!$N295-'Working Sheet'!$O295</f>
        <v>300000</v>
      </c>
    </row>
    <row r="296" spans="1:16" ht="14.25" customHeight="1" x14ac:dyDescent="0.25">
      <c r="A296" s="23" t="str">
        <f t="shared" ca="1" si="8"/>
        <v>ID_1226</v>
      </c>
      <c r="B296" s="22">
        <v>45769</v>
      </c>
      <c r="C296" s="23" t="str">
        <f>TEXT('Working Sheet'!$B296,"mmm")</f>
        <v>Apr</v>
      </c>
      <c r="D296" s="23" t="s">
        <v>18</v>
      </c>
      <c r="E296" s="23" t="s">
        <v>26</v>
      </c>
      <c r="F296" s="23" t="s">
        <v>13</v>
      </c>
      <c r="G296" s="23" t="s">
        <v>14</v>
      </c>
      <c r="H296" s="23" t="s">
        <v>40</v>
      </c>
      <c r="I296" s="23" t="s">
        <v>31</v>
      </c>
      <c r="J296" s="24">
        <v>250000</v>
      </c>
      <c r="K296" s="23">
        <v>5</v>
      </c>
      <c r="L296" s="23" t="s">
        <v>39</v>
      </c>
      <c r="M296" s="25">
        <f t="shared" si="9"/>
        <v>200000</v>
      </c>
      <c r="N296" s="25">
        <f>'Working Sheet'!$J296*'Working Sheet'!$K296</f>
        <v>1250000</v>
      </c>
      <c r="O296" s="26">
        <f>'Working Sheet'!$M296*'Working Sheet'!$K296</f>
        <v>1000000</v>
      </c>
      <c r="P296" s="25">
        <f>'Working Sheet'!$N296-'Working Sheet'!$O296</f>
        <v>250000</v>
      </c>
    </row>
    <row r="297" spans="1:16" ht="14.25" customHeight="1" x14ac:dyDescent="0.25">
      <c r="A297" s="18" t="str">
        <f t="shared" ca="1" si="8"/>
        <v>ID_641</v>
      </c>
      <c r="B297" s="17">
        <v>45704</v>
      </c>
      <c r="C297" s="18" t="str">
        <f>TEXT('Working Sheet'!$B297,"mmm")</f>
        <v>Feb</v>
      </c>
      <c r="D297" s="18" t="s">
        <v>11</v>
      </c>
      <c r="E297" s="18" t="s">
        <v>26</v>
      </c>
      <c r="F297" s="18" t="s">
        <v>13</v>
      </c>
      <c r="G297" s="18" t="s">
        <v>20</v>
      </c>
      <c r="H297" s="18" t="s">
        <v>34</v>
      </c>
      <c r="I297" s="18" t="s">
        <v>16</v>
      </c>
      <c r="J297" s="19">
        <v>320000</v>
      </c>
      <c r="K297" s="18">
        <v>9</v>
      </c>
      <c r="L297" s="18" t="s">
        <v>17</v>
      </c>
      <c r="M297" s="20">
        <f t="shared" si="9"/>
        <v>256000</v>
      </c>
      <c r="N297" s="20">
        <f>'Working Sheet'!$J297*'Working Sheet'!$K297</f>
        <v>2880000</v>
      </c>
      <c r="O297" s="21">
        <f>'Working Sheet'!$M297*'Working Sheet'!$K297</f>
        <v>2304000</v>
      </c>
      <c r="P297" s="20">
        <f>'Working Sheet'!$N297-'Working Sheet'!$O297</f>
        <v>576000</v>
      </c>
    </row>
    <row r="298" spans="1:16" ht="14.25" customHeight="1" x14ac:dyDescent="0.25">
      <c r="A298" s="23" t="str">
        <f t="shared" ca="1" si="8"/>
        <v>ID_1470</v>
      </c>
      <c r="B298" s="22">
        <v>45735</v>
      </c>
      <c r="C298" s="23" t="str">
        <f>TEXT('Working Sheet'!$B298,"mmm")</f>
        <v>Mar</v>
      </c>
      <c r="D298" s="23" t="s">
        <v>11</v>
      </c>
      <c r="E298" s="23" t="s">
        <v>12</v>
      </c>
      <c r="F298" s="23" t="s">
        <v>23</v>
      </c>
      <c r="G298" s="23" t="s">
        <v>20</v>
      </c>
      <c r="H298" s="23" t="s">
        <v>33</v>
      </c>
      <c r="I298" s="23" t="s">
        <v>22</v>
      </c>
      <c r="J298" s="24">
        <v>180000</v>
      </c>
      <c r="K298" s="23">
        <v>10</v>
      </c>
      <c r="L298" s="23" t="s">
        <v>39</v>
      </c>
      <c r="M298" s="25">
        <f t="shared" si="9"/>
        <v>144000</v>
      </c>
      <c r="N298" s="25">
        <f>'Working Sheet'!$J298*'Working Sheet'!$K298</f>
        <v>1800000</v>
      </c>
      <c r="O298" s="26">
        <f>'Working Sheet'!$M298*'Working Sheet'!$K298</f>
        <v>1440000</v>
      </c>
      <c r="P298" s="25">
        <f>'Working Sheet'!$N298-'Working Sheet'!$O298</f>
        <v>360000</v>
      </c>
    </row>
    <row r="299" spans="1:16" ht="14.25" customHeight="1" x14ac:dyDescent="0.25">
      <c r="A299" s="18" t="str">
        <f t="shared" ca="1" si="8"/>
        <v>ID_977</v>
      </c>
      <c r="B299" s="17">
        <v>45695</v>
      </c>
      <c r="C299" s="18" t="str">
        <f>TEXT('Working Sheet'!$B299,"mmm")</f>
        <v>Feb</v>
      </c>
      <c r="D299" s="18" t="s">
        <v>11</v>
      </c>
      <c r="E299" s="18" t="s">
        <v>26</v>
      </c>
      <c r="F299" s="18" t="s">
        <v>23</v>
      </c>
      <c r="G299" s="18" t="s">
        <v>20</v>
      </c>
      <c r="H299" s="18" t="s">
        <v>27</v>
      </c>
      <c r="I299" s="18" t="s">
        <v>22</v>
      </c>
      <c r="J299" s="19">
        <v>60000</v>
      </c>
      <c r="K299" s="18">
        <v>6</v>
      </c>
      <c r="L299" s="18" t="s">
        <v>37</v>
      </c>
      <c r="M299" s="20">
        <f t="shared" si="9"/>
        <v>48000</v>
      </c>
      <c r="N299" s="20">
        <f>'Working Sheet'!$J299*'Working Sheet'!$K299</f>
        <v>360000</v>
      </c>
      <c r="O299" s="21">
        <f>'Working Sheet'!$M299*'Working Sheet'!$K299</f>
        <v>288000</v>
      </c>
      <c r="P299" s="20">
        <f>'Working Sheet'!$N299-'Working Sheet'!$O299</f>
        <v>72000</v>
      </c>
    </row>
    <row r="300" spans="1:16" ht="14.25" customHeight="1" x14ac:dyDescent="0.25">
      <c r="A300" s="23" t="str">
        <f t="shared" ca="1" si="8"/>
        <v>ID_1802</v>
      </c>
      <c r="B300" s="22">
        <v>45673</v>
      </c>
      <c r="C300" s="23" t="str">
        <f>TEXT('Working Sheet'!$B300,"mmm")</f>
        <v>Jan</v>
      </c>
      <c r="D300" s="23" t="s">
        <v>11</v>
      </c>
      <c r="E300" s="23" t="s">
        <v>26</v>
      </c>
      <c r="F300" s="23" t="s">
        <v>23</v>
      </c>
      <c r="G300" s="23" t="s">
        <v>14</v>
      </c>
      <c r="H300" s="23" t="s">
        <v>36</v>
      </c>
      <c r="I300" s="23" t="s">
        <v>31</v>
      </c>
      <c r="J300" s="24">
        <v>150000</v>
      </c>
      <c r="K300" s="23">
        <v>10</v>
      </c>
      <c r="L300" s="23" t="s">
        <v>28</v>
      </c>
      <c r="M300" s="25">
        <f t="shared" si="9"/>
        <v>120000</v>
      </c>
      <c r="N300" s="25">
        <f>'Working Sheet'!$J300*'Working Sheet'!$K300</f>
        <v>1500000</v>
      </c>
      <c r="O300" s="26">
        <f>'Working Sheet'!$M300*'Working Sheet'!$K300</f>
        <v>1200000</v>
      </c>
      <c r="P300" s="25">
        <f>'Working Sheet'!$N300-'Working Sheet'!$O300</f>
        <v>300000</v>
      </c>
    </row>
    <row r="301" spans="1:16" ht="14.25" customHeight="1" x14ac:dyDescent="0.25">
      <c r="A301" s="18" t="str">
        <f t="shared" ca="1" si="8"/>
        <v>ID_1064</v>
      </c>
      <c r="B301" s="17">
        <v>45714</v>
      </c>
      <c r="C301" s="18" t="str">
        <f>TEXT('Working Sheet'!$B301,"mmm")</f>
        <v>Feb</v>
      </c>
      <c r="D301" s="18" t="s">
        <v>18</v>
      </c>
      <c r="E301" s="18" t="s">
        <v>12</v>
      </c>
      <c r="F301" s="18" t="s">
        <v>13</v>
      </c>
      <c r="G301" s="18" t="s">
        <v>14</v>
      </c>
      <c r="H301" s="18" t="s">
        <v>40</v>
      </c>
      <c r="I301" s="18" t="s">
        <v>31</v>
      </c>
      <c r="J301" s="19">
        <v>250000</v>
      </c>
      <c r="K301" s="18">
        <v>5</v>
      </c>
      <c r="L301" s="18" t="s">
        <v>37</v>
      </c>
      <c r="M301" s="20">
        <f t="shared" si="9"/>
        <v>200000</v>
      </c>
      <c r="N301" s="20">
        <f>'Working Sheet'!$J301*'Working Sheet'!$K301</f>
        <v>1250000</v>
      </c>
      <c r="O301" s="21">
        <f>'Working Sheet'!$M301*'Working Sheet'!$K301</f>
        <v>1000000</v>
      </c>
      <c r="P301" s="20">
        <f>'Working Sheet'!$N301-'Working Sheet'!$O301</f>
        <v>250000</v>
      </c>
    </row>
    <row r="302" spans="1:16" ht="14.25" customHeight="1" x14ac:dyDescent="0.25">
      <c r="A302" s="23" t="str">
        <f t="shared" ca="1" si="8"/>
        <v>ID_1731</v>
      </c>
      <c r="B302" s="22">
        <v>45679</v>
      </c>
      <c r="C302" s="23" t="str">
        <f>TEXT('Working Sheet'!$B302,"mmm")</f>
        <v>Jan</v>
      </c>
      <c r="D302" s="23" t="s">
        <v>11</v>
      </c>
      <c r="E302" s="23" t="s">
        <v>26</v>
      </c>
      <c r="F302" s="23" t="s">
        <v>13</v>
      </c>
      <c r="G302" s="23" t="s">
        <v>14</v>
      </c>
      <c r="H302" s="23" t="s">
        <v>33</v>
      </c>
      <c r="I302" s="23" t="s">
        <v>22</v>
      </c>
      <c r="J302" s="24">
        <v>180000</v>
      </c>
      <c r="K302" s="23">
        <v>3</v>
      </c>
      <c r="L302" s="23" t="s">
        <v>17</v>
      </c>
      <c r="M302" s="25">
        <f t="shared" si="9"/>
        <v>144000</v>
      </c>
      <c r="N302" s="25">
        <f>'Working Sheet'!$J302*'Working Sheet'!$K302</f>
        <v>540000</v>
      </c>
      <c r="O302" s="26">
        <f>'Working Sheet'!$M302*'Working Sheet'!$K302</f>
        <v>432000</v>
      </c>
      <c r="P302" s="25">
        <f>'Working Sheet'!$N302-'Working Sheet'!$O302</f>
        <v>108000</v>
      </c>
    </row>
    <row r="303" spans="1:16" ht="14.25" customHeight="1" x14ac:dyDescent="0.25">
      <c r="A303" s="18" t="str">
        <f t="shared" ca="1" si="8"/>
        <v>ID_385</v>
      </c>
      <c r="B303" s="17">
        <v>45702</v>
      </c>
      <c r="C303" s="18" t="str">
        <f>TEXT('Working Sheet'!$B303,"mmm")</f>
        <v>Feb</v>
      </c>
      <c r="D303" s="18" t="s">
        <v>11</v>
      </c>
      <c r="E303" s="18" t="s">
        <v>26</v>
      </c>
      <c r="F303" s="18" t="s">
        <v>23</v>
      </c>
      <c r="G303" s="18" t="s">
        <v>20</v>
      </c>
      <c r="H303" s="18" t="s">
        <v>34</v>
      </c>
      <c r="I303" s="18" t="s">
        <v>16</v>
      </c>
      <c r="J303" s="19">
        <v>320000</v>
      </c>
      <c r="K303" s="18">
        <v>5</v>
      </c>
      <c r="L303" s="18" t="s">
        <v>37</v>
      </c>
      <c r="M303" s="20">
        <f t="shared" si="9"/>
        <v>256000</v>
      </c>
      <c r="N303" s="20">
        <f>'Working Sheet'!$J303*'Working Sheet'!$K303</f>
        <v>1600000</v>
      </c>
      <c r="O303" s="21">
        <f>'Working Sheet'!$M303*'Working Sheet'!$K303</f>
        <v>1280000</v>
      </c>
      <c r="P303" s="20">
        <f>'Working Sheet'!$N303-'Working Sheet'!$O303</f>
        <v>320000</v>
      </c>
    </row>
    <row r="304" spans="1:16" ht="14.25" customHeight="1" x14ac:dyDescent="0.25">
      <c r="A304" s="23" t="str">
        <f t="shared" ca="1" si="8"/>
        <v>ID_1710</v>
      </c>
      <c r="B304" s="22">
        <v>45693</v>
      </c>
      <c r="C304" s="23" t="str">
        <f>TEXT('Working Sheet'!$B304,"mmm")</f>
        <v>Feb</v>
      </c>
      <c r="D304" s="23" t="s">
        <v>25</v>
      </c>
      <c r="E304" s="23" t="s">
        <v>12</v>
      </c>
      <c r="F304" s="23" t="s">
        <v>13</v>
      </c>
      <c r="G304" s="23" t="s">
        <v>20</v>
      </c>
      <c r="H304" s="23" t="s">
        <v>34</v>
      </c>
      <c r="I304" s="23" t="s">
        <v>16</v>
      </c>
      <c r="J304" s="24">
        <v>320000</v>
      </c>
      <c r="K304" s="23">
        <v>10</v>
      </c>
      <c r="L304" s="23" t="s">
        <v>24</v>
      </c>
      <c r="M304" s="25">
        <f t="shared" si="9"/>
        <v>256000</v>
      </c>
      <c r="N304" s="25">
        <f>'Working Sheet'!$J304*'Working Sheet'!$K304</f>
        <v>3200000</v>
      </c>
      <c r="O304" s="26">
        <f>'Working Sheet'!$M304*'Working Sheet'!$K304</f>
        <v>2560000</v>
      </c>
      <c r="P304" s="25">
        <f>'Working Sheet'!$N304-'Working Sheet'!$O304</f>
        <v>640000</v>
      </c>
    </row>
    <row r="305" spans="1:16" ht="14.25" customHeight="1" x14ac:dyDescent="0.25">
      <c r="A305" s="18" t="str">
        <f t="shared" ca="1" si="8"/>
        <v>ID_532</v>
      </c>
      <c r="B305" s="17">
        <v>45714</v>
      </c>
      <c r="C305" s="18" t="str">
        <f>TEXT('Working Sheet'!$B305,"mmm")</f>
        <v>Feb</v>
      </c>
      <c r="D305" s="18" t="s">
        <v>18</v>
      </c>
      <c r="E305" s="18" t="s">
        <v>12</v>
      </c>
      <c r="F305" s="18" t="s">
        <v>23</v>
      </c>
      <c r="G305" s="18" t="s">
        <v>14</v>
      </c>
      <c r="H305" s="18" t="s">
        <v>21</v>
      </c>
      <c r="I305" s="18" t="s">
        <v>22</v>
      </c>
      <c r="J305" s="19">
        <v>30000</v>
      </c>
      <c r="K305" s="18">
        <v>5</v>
      </c>
      <c r="L305" s="18" t="s">
        <v>17</v>
      </c>
      <c r="M305" s="20">
        <f t="shared" si="9"/>
        <v>24000</v>
      </c>
      <c r="N305" s="20">
        <f>'Working Sheet'!$J305*'Working Sheet'!$K305</f>
        <v>150000</v>
      </c>
      <c r="O305" s="21">
        <f>'Working Sheet'!$M305*'Working Sheet'!$K305</f>
        <v>120000</v>
      </c>
      <c r="P305" s="20">
        <f>'Working Sheet'!$N305-'Working Sheet'!$O305</f>
        <v>30000</v>
      </c>
    </row>
    <row r="306" spans="1:16" ht="14.25" customHeight="1" x14ac:dyDescent="0.25">
      <c r="A306" s="23" t="str">
        <f t="shared" ca="1" si="8"/>
        <v>ID_786</v>
      </c>
      <c r="B306" s="22">
        <v>45707</v>
      </c>
      <c r="C306" s="23" t="str">
        <f>TEXT('Working Sheet'!$B306,"mmm")</f>
        <v>Feb</v>
      </c>
      <c r="D306" s="23" t="s">
        <v>29</v>
      </c>
      <c r="E306" s="23" t="s">
        <v>12</v>
      </c>
      <c r="F306" s="23" t="s">
        <v>23</v>
      </c>
      <c r="G306" s="23" t="s">
        <v>20</v>
      </c>
      <c r="H306" s="23" t="s">
        <v>38</v>
      </c>
      <c r="I306" s="23" t="s">
        <v>31</v>
      </c>
      <c r="J306" s="24">
        <v>420000</v>
      </c>
      <c r="K306" s="23">
        <v>3</v>
      </c>
      <c r="L306" s="23" t="s">
        <v>17</v>
      </c>
      <c r="M306" s="25">
        <f t="shared" si="9"/>
        <v>336000</v>
      </c>
      <c r="N306" s="25">
        <f>'Working Sheet'!$J306*'Working Sheet'!$K306</f>
        <v>1260000</v>
      </c>
      <c r="O306" s="26">
        <f>'Working Sheet'!$M306*'Working Sheet'!$K306</f>
        <v>1008000</v>
      </c>
      <c r="P306" s="25">
        <f>'Working Sheet'!$N306-'Working Sheet'!$O306</f>
        <v>252000</v>
      </c>
    </row>
    <row r="307" spans="1:16" ht="14.25" customHeight="1" x14ac:dyDescent="0.25">
      <c r="A307" s="18" t="str">
        <f t="shared" ca="1" si="8"/>
        <v>ID_375</v>
      </c>
      <c r="B307" s="17">
        <v>45724</v>
      </c>
      <c r="C307" s="18" t="str">
        <f>TEXT('Working Sheet'!$B307,"mmm")</f>
        <v>Mar</v>
      </c>
      <c r="D307" s="18" t="s">
        <v>18</v>
      </c>
      <c r="E307" s="18" t="s">
        <v>26</v>
      </c>
      <c r="F307" s="18" t="s">
        <v>13</v>
      </c>
      <c r="G307" s="18" t="s">
        <v>14</v>
      </c>
      <c r="H307" s="18" t="s">
        <v>21</v>
      </c>
      <c r="I307" s="18" t="s">
        <v>22</v>
      </c>
      <c r="J307" s="19">
        <v>30000</v>
      </c>
      <c r="K307" s="18">
        <v>4</v>
      </c>
      <c r="L307" s="18" t="s">
        <v>35</v>
      </c>
      <c r="M307" s="20">
        <f t="shared" si="9"/>
        <v>24000</v>
      </c>
      <c r="N307" s="20">
        <f>'Working Sheet'!$J307*'Working Sheet'!$K307</f>
        <v>120000</v>
      </c>
      <c r="O307" s="21">
        <f>'Working Sheet'!$M307*'Working Sheet'!$K307</f>
        <v>96000</v>
      </c>
      <c r="P307" s="20">
        <f>'Working Sheet'!$N307-'Working Sheet'!$O307</f>
        <v>24000</v>
      </c>
    </row>
    <row r="308" spans="1:16" ht="14.25" customHeight="1" x14ac:dyDescent="0.25">
      <c r="A308" s="23" t="str">
        <f t="shared" ca="1" si="8"/>
        <v>ID_2006</v>
      </c>
      <c r="B308" s="22">
        <v>45755</v>
      </c>
      <c r="C308" s="23" t="str">
        <f>TEXT('Working Sheet'!$B308,"mmm")</f>
        <v>Apr</v>
      </c>
      <c r="D308" s="23" t="s">
        <v>18</v>
      </c>
      <c r="E308" s="23" t="s">
        <v>12</v>
      </c>
      <c r="F308" s="23" t="s">
        <v>13</v>
      </c>
      <c r="G308" s="23" t="s">
        <v>14</v>
      </c>
      <c r="H308" s="23" t="s">
        <v>33</v>
      </c>
      <c r="I308" s="23" t="s">
        <v>22</v>
      </c>
      <c r="J308" s="24">
        <v>180000</v>
      </c>
      <c r="K308" s="23">
        <v>4</v>
      </c>
      <c r="L308" s="23" t="s">
        <v>17</v>
      </c>
      <c r="M308" s="25">
        <f t="shared" si="9"/>
        <v>144000</v>
      </c>
      <c r="N308" s="25">
        <f>'Working Sheet'!$J308*'Working Sheet'!$K308</f>
        <v>720000</v>
      </c>
      <c r="O308" s="26">
        <f>'Working Sheet'!$M308*'Working Sheet'!$K308</f>
        <v>576000</v>
      </c>
      <c r="P308" s="25">
        <f>'Working Sheet'!$N308-'Working Sheet'!$O308</f>
        <v>144000</v>
      </c>
    </row>
    <row r="309" spans="1:16" ht="14.25" customHeight="1" x14ac:dyDescent="0.25">
      <c r="A309" s="18" t="str">
        <f t="shared" ca="1" si="8"/>
        <v>ID_1122</v>
      </c>
      <c r="B309" s="17">
        <v>45711</v>
      </c>
      <c r="C309" s="18" t="str">
        <f>TEXT('Working Sheet'!$B309,"mmm")</f>
        <v>Feb</v>
      </c>
      <c r="D309" s="18" t="s">
        <v>18</v>
      </c>
      <c r="E309" s="18" t="s">
        <v>19</v>
      </c>
      <c r="F309" s="18" t="s">
        <v>13</v>
      </c>
      <c r="G309" s="18" t="s">
        <v>14</v>
      </c>
      <c r="H309" s="18" t="s">
        <v>40</v>
      </c>
      <c r="I309" s="18" t="s">
        <v>31</v>
      </c>
      <c r="J309" s="19">
        <v>250000</v>
      </c>
      <c r="K309" s="18">
        <v>5</v>
      </c>
      <c r="L309" s="18" t="s">
        <v>39</v>
      </c>
      <c r="M309" s="20">
        <f t="shared" si="9"/>
        <v>200000</v>
      </c>
      <c r="N309" s="20">
        <f>'Working Sheet'!$J309*'Working Sheet'!$K309</f>
        <v>1250000</v>
      </c>
      <c r="O309" s="21">
        <f>'Working Sheet'!$M309*'Working Sheet'!$K309</f>
        <v>1000000</v>
      </c>
      <c r="P309" s="20">
        <f>'Working Sheet'!$N309-'Working Sheet'!$O309</f>
        <v>250000</v>
      </c>
    </row>
    <row r="310" spans="1:16" ht="14.25" customHeight="1" x14ac:dyDescent="0.25">
      <c r="A310" s="23" t="str">
        <f t="shared" ca="1" si="8"/>
        <v>ID_159</v>
      </c>
      <c r="B310" s="22">
        <v>45741</v>
      </c>
      <c r="C310" s="23" t="str">
        <f>TEXT('Working Sheet'!$B310,"mmm")</f>
        <v>Mar</v>
      </c>
      <c r="D310" s="23" t="s">
        <v>11</v>
      </c>
      <c r="E310" s="23" t="s">
        <v>32</v>
      </c>
      <c r="F310" s="23" t="s">
        <v>23</v>
      </c>
      <c r="G310" s="23" t="s">
        <v>20</v>
      </c>
      <c r="H310" s="23" t="s">
        <v>33</v>
      </c>
      <c r="I310" s="23" t="s">
        <v>22</v>
      </c>
      <c r="J310" s="24">
        <v>180000</v>
      </c>
      <c r="K310" s="23">
        <v>3</v>
      </c>
      <c r="L310" s="23" t="s">
        <v>35</v>
      </c>
      <c r="M310" s="25">
        <f t="shared" si="9"/>
        <v>144000</v>
      </c>
      <c r="N310" s="25">
        <f>'Working Sheet'!$J310*'Working Sheet'!$K310</f>
        <v>540000</v>
      </c>
      <c r="O310" s="26">
        <f>'Working Sheet'!$M310*'Working Sheet'!$K310</f>
        <v>432000</v>
      </c>
      <c r="P310" s="25">
        <f>'Working Sheet'!$N310-'Working Sheet'!$O310</f>
        <v>108000</v>
      </c>
    </row>
    <row r="311" spans="1:16" ht="14.25" customHeight="1" x14ac:dyDescent="0.25">
      <c r="A311" s="18" t="str">
        <f t="shared" ca="1" si="8"/>
        <v>ID_789</v>
      </c>
      <c r="B311" s="17">
        <v>45736</v>
      </c>
      <c r="C311" s="18" t="str">
        <f>TEXT('Working Sheet'!$B311,"mmm")</f>
        <v>Mar</v>
      </c>
      <c r="D311" s="18" t="s">
        <v>18</v>
      </c>
      <c r="E311" s="18" t="s">
        <v>12</v>
      </c>
      <c r="F311" s="18" t="s">
        <v>13</v>
      </c>
      <c r="G311" s="18" t="s">
        <v>14</v>
      </c>
      <c r="H311" s="18" t="s">
        <v>30</v>
      </c>
      <c r="I311" s="18" t="s">
        <v>31</v>
      </c>
      <c r="J311" s="19">
        <v>300000</v>
      </c>
      <c r="K311" s="18">
        <v>5</v>
      </c>
      <c r="L311" s="18" t="s">
        <v>39</v>
      </c>
      <c r="M311" s="20">
        <f t="shared" si="9"/>
        <v>240000</v>
      </c>
      <c r="N311" s="20">
        <f>'Working Sheet'!$J311*'Working Sheet'!$K311</f>
        <v>1500000</v>
      </c>
      <c r="O311" s="21">
        <f>'Working Sheet'!$M311*'Working Sheet'!$K311</f>
        <v>1200000</v>
      </c>
      <c r="P311" s="20">
        <f>'Working Sheet'!$N311-'Working Sheet'!$O311</f>
        <v>300000</v>
      </c>
    </row>
    <row r="312" spans="1:16" ht="14.25" customHeight="1" x14ac:dyDescent="0.25">
      <c r="A312" s="23" t="str">
        <f t="shared" ca="1" si="8"/>
        <v>ID_1708</v>
      </c>
      <c r="B312" s="22">
        <v>45676</v>
      </c>
      <c r="C312" s="23" t="str">
        <f>TEXT('Working Sheet'!$B312,"mmm")</f>
        <v>Jan</v>
      </c>
      <c r="D312" s="23" t="s">
        <v>11</v>
      </c>
      <c r="E312" s="23" t="s">
        <v>26</v>
      </c>
      <c r="F312" s="23" t="s">
        <v>13</v>
      </c>
      <c r="G312" s="23" t="s">
        <v>20</v>
      </c>
      <c r="H312" s="23" t="s">
        <v>15</v>
      </c>
      <c r="I312" s="23" t="s">
        <v>16</v>
      </c>
      <c r="J312" s="24">
        <v>85000</v>
      </c>
      <c r="K312" s="23">
        <v>8</v>
      </c>
      <c r="L312" s="23" t="s">
        <v>35</v>
      </c>
      <c r="M312" s="25">
        <f t="shared" si="9"/>
        <v>68000</v>
      </c>
      <c r="N312" s="25">
        <f>'Working Sheet'!$J312*'Working Sheet'!$K312</f>
        <v>680000</v>
      </c>
      <c r="O312" s="26">
        <f>'Working Sheet'!$M312*'Working Sheet'!$K312</f>
        <v>544000</v>
      </c>
      <c r="P312" s="25">
        <f>'Working Sheet'!$N312-'Working Sheet'!$O312</f>
        <v>136000</v>
      </c>
    </row>
    <row r="313" spans="1:16" ht="14.25" customHeight="1" x14ac:dyDescent="0.25">
      <c r="A313" s="18" t="str">
        <f t="shared" ca="1" si="8"/>
        <v>ID_546</v>
      </c>
      <c r="B313" s="17">
        <v>45767</v>
      </c>
      <c r="C313" s="18" t="str">
        <f>TEXT('Working Sheet'!$B313,"mmm")</f>
        <v>Apr</v>
      </c>
      <c r="D313" s="18" t="s">
        <v>18</v>
      </c>
      <c r="E313" s="18" t="s">
        <v>19</v>
      </c>
      <c r="F313" s="18" t="s">
        <v>23</v>
      </c>
      <c r="G313" s="18" t="s">
        <v>14</v>
      </c>
      <c r="H313" s="18" t="s">
        <v>33</v>
      </c>
      <c r="I313" s="18" t="s">
        <v>22</v>
      </c>
      <c r="J313" s="19">
        <v>180000</v>
      </c>
      <c r="K313" s="18">
        <v>6</v>
      </c>
      <c r="L313" s="18" t="s">
        <v>39</v>
      </c>
      <c r="M313" s="20">
        <f t="shared" si="9"/>
        <v>144000</v>
      </c>
      <c r="N313" s="20">
        <f>'Working Sheet'!$J313*'Working Sheet'!$K313</f>
        <v>1080000</v>
      </c>
      <c r="O313" s="21">
        <f>'Working Sheet'!$M313*'Working Sheet'!$K313</f>
        <v>864000</v>
      </c>
      <c r="P313" s="20">
        <f>'Working Sheet'!$N313-'Working Sheet'!$O313</f>
        <v>216000</v>
      </c>
    </row>
    <row r="314" spans="1:16" ht="14.25" customHeight="1" x14ac:dyDescent="0.25">
      <c r="A314" s="23" t="str">
        <f t="shared" ca="1" si="8"/>
        <v>ID_614</v>
      </c>
      <c r="B314" s="22">
        <v>45680</v>
      </c>
      <c r="C314" s="23" t="str">
        <f>TEXT('Working Sheet'!$B314,"mmm")</f>
        <v>Jan</v>
      </c>
      <c r="D314" s="23" t="s">
        <v>18</v>
      </c>
      <c r="E314" s="23" t="s">
        <v>19</v>
      </c>
      <c r="F314" s="23" t="s">
        <v>23</v>
      </c>
      <c r="G314" s="23" t="s">
        <v>14</v>
      </c>
      <c r="H314" s="23" t="s">
        <v>38</v>
      </c>
      <c r="I314" s="23" t="s">
        <v>31</v>
      </c>
      <c r="J314" s="24">
        <v>420000</v>
      </c>
      <c r="K314" s="23">
        <v>7</v>
      </c>
      <c r="L314" s="23" t="s">
        <v>37</v>
      </c>
      <c r="M314" s="25">
        <f t="shared" si="9"/>
        <v>336000</v>
      </c>
      <c r="N314" s="25">
        <f>'Working Sheet'!$J314*'Working Sheet'!$K314</f>
        <v>2940000</v>
      </c>
      <c r="O314" s="26">
        <f>'Working Sheet'!$M314*'Working Sheet'!$K314</f>
        <v>2352000</v>
      </c>
      <c r="P314" s="25">
        <f>'Working Sheet'!$N314-'Working Sheet'!$O314</f>
        <v>588000</v>
      </c>
    </row>
    <row r="315" spans="1:16" ht="14.25" customHeight="1" x14ac:dyDescent="0.25">
      <c r="A315" s="18" t="str">
        <f t="shared" ca="1" si="8"/>
        <v>ID_1662</v>
      </c>
      <c r="B315" s="17">
        <v>45722</v>
      </c>
      <c r="C315" s="18" t="str">
        <f>TEXT('Working Sheet'!$B315,"mmm")</f>
        <v>Mar</v>
      </c>
      <c r="D315" s="18" t="s">
        <v>25</v>
      </c>
      <c r="E315" s="18" t="s">
        <v>26</v>
      </c>
      <c r="F315" s="18" t="s">
        <v>23</v>
      </c>
      <c r="G315" s="18" t="s">
        <v>14</v>
      </c>
      <c r="H315" s="18" t="s">
        <v>36</v>
      </c>
      <c r="I315" s="18" t="s">
        <v>31</v>
      </c>
      <c r="J315" s="19">
        <v>150000</v>
      </c>
      <c r="K315" s="18">
        <v>8</v>
      </c>
      <c r="L315" s="18" t="s">
        <v>17</v>
      </c>
      <c r="M315" s="20">
        <f t="shared" si="9"/>
        <v>120000</v>
      </c>
      <c r="N315" s="20">
        <f>'Working Sheet'!$J315*'Working Sheet'!$K315</f>
        <v>1200000</v>
      </c>
      <c r="O315" s="21">
        <f>'Working Sheet'!$M315*'Working Sheet'!$K315</f>
        <v>960000</v>
      </c>
      <c r="P315" s="20">
        <f>'Working Sheet'!$N315-'Working Sheet'!$O315</f>
        <v>240000</v>
      </c>
    </row>
    <row r="316" spans="1:16" ht="14.25" customHeight="1" x14ac:dyDescent="0.25">
      <c r="A316" s="23" t="str">
        <f t="shared" ca="1" si="8"/>
        <v>ID_1164</v>
      </c>
      <c r="B316" s="22">
        <v>45759</v>
      </c>
      <c r="C316" s="23" t="str">
        <f>TEXT('Working Sheet'!$B316,"mmm")</f>
        <v>Apr</v>
      </c>
      <c r="D316" s="23" t="s">
        <v>18</v>
      </c>
      <c r="E316" s="23" t="s">
        <v>26</v>
      </c>
      <c r="F316" s="23" t="s">
        <v>13</v>
      </c>
      <c r="G316" s="23" t="s">
        <v>14</v>
      </c>
      <c r="H316" s="23" t="s">
        <v>15</v>
      </c>
      <c r="I316" s="23" t="s">
        <v>16</v>
      </c>
      <c r="J316" s="24">
        <v>85000</v>
      </c>
      <c r="K316" s="23">
        <v>6</v>
      </c>
      <c r="L316" s="23" t="s">
        <v>37</v>
      </c>
      <c r="M316" s="25">
        <f t="shared" si="9"/>
        <v>68000</v>
      </c>
      <c r="N316" s="25">
        <f>'Working Sheet'!$J316*'Working Sheet'!$K316</f>
        <v>510000</v>
      </c>
      <c r="O316" s="26">
        <f>'Working Sheet'!$M316*'Working Sheet'!$K316</f>
        <v>408000</v>
      </c>
      <c r="P316" s="25">
        <f>'Working Sheet'!$N316-'Working Sheet'!$O316</f>
        <v>102000</v>
      </c>
    </row>
    <row r="317" spans="1:16" ht="14.25" customHeight="1" x14ac:dyDescent="0.25">
      <c r="A317" s="18" t="str">
        <f t="shared" ca="1" si="8"/>
        <v>ID_1910</v>
      </c>
      <c r="B317" s="17">
        <v>45768</v>
      </c>
      <c r="C317" s="18" t="str">
        <f>TEXT('Working Sheet'!$B317,"mmm")</f>
        <v>Apr</v>
      </c>
      <c r="D317" s="18" t="s">
        <v>25</v>
      </c>
      <c r="E317" s="18" t="s">
        <v>12</v>
      </c>
      <c r="F317" s="18" t="s">
        <v>13</v>
      </c>
      <c r="G317" s="18" t="s">
        <v>20</v>
      </c>
      <c r="H317" s="18" t="s">
        <v>33</v>
      </c>
      <c r="I317" s="18" t="s">
        <v>22</v>
      </c>
      <c r="J317" s="19">
        <v>180000</v>
      </c>
      <c r="K317" s="18">
        <v>9</v>
      </c>
      <c r="L317" s="18" t="s">
        <v>28</v>
      </c>
      <c r="M317" s="20">
        <f t="shared" si="9"/>
        <v>144000</v>
      </c>
      <c r="N317" s="20">
        <f>'Working Sheet'!$J317*'Working Sheet'!$K317</f>
        <v>1620000</v>
      </c>
      <c r="O317" s="21">
        <f>'Working Sheet'!$M317*'Working Sheet'!$K317</f>
        <v>1296000</v>
      </c>
      <c r="P317" s="20">
        <f>'Working Sheet'!$N317-'Working Sheet'!$O317</f>
        <v>324000</v>
      </c>
    </row>
    <row r="318" spans="1:16" ht="14.25" customHeight="1" x14ac:dyDescent="0.25">
      <c r="A318" s="23" t="str">
        <f t="shared" ca="1" si="8"/>
        <v>ID_1393</v>
      </c>
      <c r="B318" s="22">
        <v>45727</v>
      </c>
      <c r="C318" s="23" t="str">
        <f>TEXT('Working Sheet'!$B318,"mmm")</f>
        <v>Mar</v>
      </c>
      <c r="D318" s="23" t="s">
        <v>11</v>
      </c>
      <c r="E318" s="23" t="s">
        <v>26</v>
      </c>
      <c r="F318" s="23" t="s">
        <v>23</v>
      </c>
      <c r="G318" s="23" t="s">
        <v>14</v>
      </c>
      <c r="H318" s="23" t="s">
        <v>40</v>
      </c>
      <c r="I318" s="23" t="s">
        <v>31</v>
      </c>
      <c r="J318" s="24">
        <v>250000</v>
      </c>
      <c r="K318" s="23">
        <v>5</v>
      </c>
      <c r="L318" s="23" t="s">
        <v>37</v>
      </c>
      <c r="M318" s="25">
        <f t="shared" si="9"/>
        <v>200000</v>
      </c>
      <c r="N318" s="25">
        <f>'Working Sheet'!$J318*'Working Sheet'!$K318</f>
        <v>1250000</v>
      </c>
      <c r="O318" s="26">
        <f>'Working Sheet'!$M318*'Working Sheet'!$K318</f>
        <v>1000000</v>
      </c>
      <c r="P318" s="25">
        <f>'Working Sheet'!$N318-'Working Sheet'!$O318</f>
        <v>250000</v>
      </c>
    </row>
    <row r="319" spans="1:16" ht="14.25" customHeight="1" x14ac:dyDescent="0.25">
      <c r="A319" s="18" t="str">
        <f t="shared" ca="1" si="8"/>
        <v>ID_544</v>
      </c>
      <c r="B319" s="17">
        <v>45661</v>
      </c>
      <c r="C319" s="18" t="str">
        <f>TEXT('Working Sheet'!$B319,"mmm")</f>
        <v>Jan</v>
      </c>
      <c r="D319" s="18" t="s">
        <v>29</v>
      </c>
      <c r="E319" s="18" t="s">
        <v>26</v>
      </c>
      <c r="F319" s="18" t="s">
        <v>13</v>
      </c>
      <c r="G319" s="18" t="s">
        <v>20</v>
      </c>
      <c r="H319" s="18" t="s">
        <v>34</v>
      </c>
      <c r="I319" s="18" t="s">
        <v>16</v>
      </c>
      <c r="J319" s="19">
        <v>320000</v>
      </c>
      <c r="K319" s="18">
        <v>9</v>
      </c>
      <c r="L319" s="18" t="s">
        <v>28</v>
      </c>
      <c r="M319" s="20">
        <f t="shared" si="9"/>
        <v>256000</v>
      </c>
      <c r="N319" s="20">
        <f>'Working Sheet'!$J319*'Working Sheet'!$K319</f>
        <v>2880000</v>
      </c>
      <c r="O319" s="21">
        <f>'Working Sheet'!$M319*'Working Sheet'!$K319</f>
        <v>2304000</v>
      </c>
      <c r="P319" s="20">
        <f>'Working Sheet'!$N319-'Working Sheet'!$O319</f>
        <v>576000</v>
      </c>
    </row>
    <row r="320" spans="1:16" ht="14.25" customHeight="1" x14ac:dyDescent="0.25">
      <c r="A320" s="23" t="str">
        <f t="shared" ca="1" si="8"/>
        <v>ID_2024</v>
      </c>
      <c r="B320" s="22">
        <v>45676</v>
      </c>
      <c r="C320" s="23" t="str">
        <f>TEXT('Working Sheet'!$B320,"mmm")</f>
        <v>Jan</v>
      </c>
      <c r="D320" s="23" t="s">
        <v>29</v>
      </c>
      <c r="E320" s="23" t="s">
        <v>19</v>
      </c>
      <c r="F320" s="23" t="s">
        <v>23</v>
      </c>
      <c r="G320" s="23" t="s">
        <v>20</v>
      </c>
      <c r="H320" s="23" t="s">
        <v>36</v>
      </c>
      <c r="I320" s="23" t="s">
        <v>31</v>
      </c>
      <c r="J320" s="24">
        <v>150000</v>
      </c>
      <c r="K320" s="23">
        <v>7</v>
      </c>
      <c r="L320" s="23" t="s">
        <v>24</v>
      </c>
      <c r="M320" s="25">
        <f t="shared" si="9"/>
        <v>120000</v>
      </c>
      <c r="N320" s="25">
        <f>'Working Sheet'!$J320*'Working Sheet'!$K320</f>
        <v>1050000</v>
      </c>
      <c r="O320" s="26">
        <f>'Working Sheet'!$M320*'Working Sheet'!$K320</f>
        <v>840000</v>
      </c>
      <c r="P320" s="25">
        <f>'Working Sheet'!$N320-'Working Sheet'!$O320</f>
        <v>210000</v>
      </c>
    </row>
    <row r="321" spans="1:16" ht="14.25" customHeight="1" x14ac:dyDescent="0.25">
      <c r="A321" s="18" t="str">
        <f t="shared" ca="1" si="8"/>
        <v>ID_984</v>
      </c>
      <c r="B321" s="17">
        <v>45735</v>
      </c>
      <c r="C321" s="18" t="str">
        <f>TEXT('Working Sheet'!$B321,"mmm")</f>
        <v>Mar</v>
      </c>
      <c r="D321" s="18" t="s">
        <v>18</v>
      </c>
      <c r="E321" s="18" t="s">
        <v>12</v>
      </c>
      <c r="F321" s="18" t="s">
        <v>13</v>
      </c>
      <c r="G321" s="18" t="s">
        <v>14</v>
      </c>
      <c r="H321" s="18" t="s">
        <v>38</v>
      </c>
      <c r="I321" s="18" t="s">
        <v>31</v>
      </c>
      <c r="J321" s="19">
        <v>420000</v>
      </c>
      <c r="K321" s="18">
        <v>9</v>
      </c>
      <c r="L321" s="18" t="s">
        <v>37</v>
      </c>
      <c r="M321" s="20">
        <f t="shared" si="9"/>
        <v>336000</v>
      </c>
      <c r="N321" s="20">
        <f>'Working Sheet'!$J321*'Working Sheet'!$K321</f>
        <v>3780000</v>
      </c>
      <c r="O321" s="21">
        <f>'Working Sheet'!$M321*'Working Sheet'!$K321</f>
        <v>3024000</v>
      </c>
      <c r="P321" s="20">
        <f>'Working Sheet'!$N321-'Working Sheet'!$O321</f>
        <v>756000</v>
      </c>
    </row>
    <row r="322" spans="1:16" ht="14.25" customHeight="1" x14ac:dyDescent="0.25">
      <c r="A322" s="23" t="str">
        <f t="shared" ref="A322:A385" ca="1" si="10">"ID_"&amp; RANDBETWEEN(1,2098)</f>
        <v>ID_1763</v>
      </c>
      <c r="B322" s="22">
        <v>45667</v>
      </c>
      <c r="C322" s="23" t="str">
        <f>TEXT('Working Sheet'!$B322,"mmm")</f>
        <v>Jan</v>
      </c>
      <c r="D322" s="23" t="s">
        <v>25</v>
      </c>
      <c r="E322" s="23" t="s">
        <v>19</v>
      </c>
      <c r="F322" s="23" t="s">
        <v>23</v>
      </c>
      <c r="G322" s="23" t="s">
        <v>20</v>
      </c>
      <c r="H322" s="23" t="s">
        <v>27</v>
      </c>
      <c r="I322" s="23" t="s">
        <v>22</v>
      </c>
      <c r="J322" s="24">
        <v>60000</v>
      </c>
      <c r="K322" s="23">
        <v>4</v>
      </c>
      <c r="L322" s="23" t="s">
        <v>24</v>
      </c>
      <c r="M322" s="25">
        <f t="shared" ref="M322:M385" si="11">J322-J322*0.2</f>
        <v>48000</v>
      </c>
      <c r="N322" s="25">
        <f>'Working Sheet'!$J322*'Working Sheet'!$K322</f>
        <v>240000</v>
      </c>
      <c r="O322" s="26">
        <f>'Working Sheet'!$M322*'Working Sheet'!$K322</f>
        <v>192000</v>
      </c>
      <c r="P322" s="25">
        <f>'Working Sheet'!$N322-'Working Sheet'!$O322</f>
        <v>48000</v>
      </c>
    </row>
    <row r="323" spans="1:16" ht="14.25" customHeight="1" x14ac:dyDescent="0.25">
      <c r="A323" s="18" t="str">
        <f t="shared" ca="1" si="10"/>
        <v>ID_2032</v>
      </c>
      <c r="B323" s="17">
        <v>45775</v>
      </c>
      <c r="C323" s="18" t="str">
        <f>TEXT('Working Sheet'!$B323,"mmm")</f>
        <v>Apr</v>
      </c>
      <c r="D323" s="18" t="s">
        <v>11</v>
      </c>
      <c r="E323" s="18" t="s">
        <v>26</v>
      </c>
      <c r="F323" s="18" t="s">
        <v>13</v>
      </c>
      <c r="G323" s="18" t="s">
        <v>20</v>
      </c>
      <c r="H323" s="18" t="s">
        <v>40</v>
      </c>
      <c r="I323" s="18" t="s">
        <v>31</v>
      </c>
      <c r="J323" s="19">
        <v>250000</v>
      </c>
      <c r="K323" s="18">
        <v>5</v>
      </c>
      <c r="L323" s="18" t="s">
        <v>24</v>
      </c>
      <c r="M323" s="20">
        <f t="shared" si="11"/>
        <v>200000</v>
      </c>
      <c r="N323" s="20">
        <f>'Working Sheet'!$J323*'Working Sheet'!$K323</f>
        <v>1250000</v>
      </c>
      <c r="O323" s="21">
        <f>'Working Sheet'!$M323*'Working Sheet'!$K323</f>
        <v>1000000</v>
      </c>
      <c r="P323" s="20">
        <f>'Working Sheet'!$N323-'Working Sheet'!$O323</f>
        <v>250000</v>
      </c>
    </row>
    <row r="324" spans="1:16" ht="14.25" customHeight="1" x14ac:dyDescent="0.25">
      <c r="A324" s="23" t="str">
        <f t="shared" ca="1" si="10"/>
        <v>ID_355</v>
      </c>
      <c r="B324" s="22">
        <v>45666</v>
      </c>
      <c r="C324" s="23" t="str">
        <f>TEXT('Working Sheet'!$B324,"mmm")</f>
        <v>Jan</v>
      </c>
      <c r="D324" s="23" t="s">
        <v>11</v>
      </c>
      <c r="E324" s="23" t="s">
        <v>26</v>
      </c>
      <c r="F324" s="23" t="s">
        <v>23</v>
      </c>
      <c r="G324" s="23" t="s">
        <v>14</v>
      </c>
      <c r="H324" s="23" t="s">
        <v>30</v>
      </c>
      <c r="I324" s="23" t="s">
        <v>31</v>
      </c>
      <c r="J324" s="24">
        <v>300000</v>
      </c>
      <c r="K324" s="23">
        <v>8</v>
      </c>
      <c r="L324" s="23" t="s">
        <v>35</v>
      </c>
      <c r="M324" s="25">
        <f t="shared" si="11"/>
        <v>240000</v>
      </c>
      <c r="N324" s="25">
        <f>'Working Sheet'!$J324*'Working Sheet'!$K324</f>
        <v>2400000</v>
      </c>
      <c r="O324" s="26">
        <f>'Working Sheet'!$M324*'Working Sheet'!$K324</f>
        <v>1920000</v>
      </c>
      <c r="P324" s="25">
        <f>'Working Sheet'!$N324-'Working Sheet'!$O324</f>
        <v>480000</v>
      </c>
    </row>
    <row r="325" spans="1:16" ht="14.25" customHeight="1" x14ac:dyDescent="0.25">
      <c r="A325" s="18" t="str">
        <f t="shared" ca="1" si="10"/>
        <v>ID_437</v>
      </c>
      <c r="B325" s="17">
        <v>45687</v>
      </c>
      <c r="C325" s="18" t="str">
        <f>TEXT('Working Sheet'!$B325,"mmm")</f>
        <v>Jan</v>
      </c>
      <c r="D325" s="18" t="s">
        <v>11</v>
      </c>
      <c r="E325" s="18" t="s">
        <v>26</v>
      </c>
      <c r="F325" s="18" t="s">
        <v>23</v>
      </c>
      <c r="G325" s="18" t="s">
        <v>14</v>
      </c>
      <c r="H325" s="18" t="s">
        <v>38</v>
      </c>
      <c r="I325" s="18" t="s">
        <v>31</v>
      </c>
      <c r="J325" s="19">
        <v>420000</v>
      </c>
      <c r="K325" s="18">
        <v>4</v>
      </c>
      <c r="L325" s="18" t="s">
        <v>39</v>
      </c>
      <c r="M325" s="20">
        <f t="shared" si="11"/>
        <v>336000</v>
      </c>
      <c r="N325" s="20">
        <f>'Working Sheet'!$J325*'Working Sheet'!$K325</f>
        <v>1680000</v>
      </c>
      <c r="O325" s="21">
        <f>'Working Sheet'!$M325*'Working Sheet'!$K325</f>
        <v>1344000</v>
      </c>
      <c r="P325" s="20">
        <f>'Working Sheet'!$N325-'Working Sheet'!$O325</f>
        <v>336000</v>
      </c>
    </row>
    <row r="326" spans="1:16" ht="14.25" customHeight="1" x14ac:dyDescent="0.25">
      <c r="A326" s="23" t="str">
        <f t="shared" ca="1" si="10"/>
        <v>ID_231</v>
      </c>
      <c r="B326" s="22">
        <v>45733</v>
      </c>
      <c r="C326" s="23" t="str">
        <f>TEXT('Working Sheet'!$B326,"mmm")</f>
        <v>Mar</v>
      </c>
      <c r="D326" s="23" t="s">
        <v>11</v>
      </c>
      <c r="E326" s="23" t="s">
        <v>26</v>
      </c>
      <c r="F326" s="23" t="s">
        <v>23</v>
      </c>
      <c r="G326" s="23" t="s">
        <v>20</v>
      </c>
      <c r="H326" s="23" t="s">
        <v>21</v>
      </c>
      <c r="I326" s="23" t="s">
        <v>22</v>
      </c>
      <c r="J326" s="24">
        <v>30000</v>
      </c>
      <c r="K326" s="23">
        <v>4</v>
      </c>
      <c r="L326" s="23" t="s">
        <v>24</v>
      </c>
      <c r="M326" s="25">
        <f t="shared" si="11"/>
        <v>24000</v>
      </c>
      <c r="N326" s="25">
        <f>'Working Sheet'!$J326*'Working Sheet'!$K326</f>
        <v>120000</v>
      </c>
      <c r="O326" s="26">
        <f>'Working Sheet'!$M326*'Working Sheet'!$K326</f>
        <v>96000</v>
      </c>
      <c r="P326" s="25">
        <f>'Working Sheet'!$N326-'Working Sheet'!$O326</f>
        <v>24000</v>
      </c>
    </row>
    <row r="327" spans="1:16" ht="14.25" customHeight="1" x14ac:dyDescent="0.25">
      <c r="A327" s="18" t="str">
        <f t="shared" ca="1" si="10"/>
        <v>ID_1696</v>
      </c>
      <c r="B327" s="17">
        <v>45667</v>
      </c>
      <c r="C327" s="18" t="str">
        <f>TEXT('Working Sheet'!$B327,"mmm")</f>
        <v>Jan</v>
      </c>
      <c r="D327" s="18" t="s">
        <v>18</v>
      </c>
      <c r="E327" s="18" t="s">
        <v>32</v>
      </c>
      <c r="F327" s="18" t="s">
        <v>13</v>
      </c>
      <c r="G327" s="18" t="s">
        <v>14</v>
      </c>
      <c r="H327" s="18" t="s">
        <v>34</v>
      </c>
      <c r="I327" s="18" t="s">
        <v>16</v>
      </c>
      <c r="J327" s="19">
        <v>320000</v>
      </c>
      <c r="K327" s="18">
        <v>7</v>
      </c>
      <c r="L327" s="18" t="s">
        <v>24</v>
      </c>
      <c r="M327" s="20">
        <f t="shared" si="11"/>
        <v>256000</v>
      </c>
      <c r="N327" s="20">
        <f>'Working Sheet'!$J327*'Working Sheet'!$K327</f>
        <v>2240000</v>
      </c>
      <c r="O327" s="21">
        <f>'Working Sheet'!$M327*'Working Sheet'!$K327</f>
        <v>1792000</v>
      </c>
      <c r="P327" s="20">
        <f>'Working Sheet'!$N327-'Working Sheet'!$O327</f>
        <v>448000</v>
      </c>
    </row>
    <row r="328" spans="1:16" ht="14.25" customHeight="1" x14ac:dyDescent="0.25">
      <c r="A328" s="23" t="str">
        <f t="shared" ca="1" si="10"/>
        <v>ID_729</v>
      </c>
      <c r="B328" s="22">
        <v>45659</v>
      </c>
      <c r="C328" s="23" t="str">
        <f>TEXT('Working Sheet'!$B328,"mmm")</f>
        <v>Jan</v>
      </c>
      <c r="D328" s="23" t="s">
        <v>25</v>
      </c>
      <c r="E328" s="23" t="s">
        <v>19</v>
      </c>
      <c r="F328" s="23" t="s">
        <v>13</v>
      </c>
      <c r="G328" s="23" t="s">
        <v>14</v>
      </c>
      <c r="H328" s="23" t="s">
        <v>36</v>
      </c>
      <c r="I328" s="23" t="s">
        <v>31</v>
      </c>
      <c r="J328" s="24">
        <v>150000</v>
      </c>
      <c r="K328" s="23">
        <v>8</v>
      </c>
      <c r="L328" s="23" t="s">
        <v>37</v>
      </c>
      <c r="M328" s="25">
        <f t="shared" si="11"/>
        <v>120000</v>
      </c>
      <c r="N328" s="25">
        <f>'Working Sheet'!$J328*'Working Sheet'!$K328</f>
        <v>1200000</v>
      </c>
      <c r="O328" s="26">
        <f>'Working Sheet'!$M328*'Working Sheet'!$K328</f>
        <v>960000</v>
      </c>
      <c r="P328" s="25">
        <f>'Working Sheet'!$N328-'Working Sheet'!$O328</f>
        <v>240000</v>
      </c>
    </row>
    <row r="329" spans="1:16" ht="14.25" customHeight="1" x14ac:dyDescent="0.25">
      <c r="A329" s="18" t="str">
        <f t="shared" ca="1" si="10"/>
        <v>ID_1143</v>
      </c>
      <c r="B329" s="17">
        <v>45730</v>
      </c>
      <c r="C329" s="18" t="str">
        <f>TEXT('Working Sheet'!$B329,"mmm")</f>
        <v>Mar</v>
      </c>
      <c r="D329" s="18" t="s">
        <v>11</v>
      </c>
      <c r="E329" s="18" t="s">
        <v>19</v>
      </c>
      <c r="F329" s="18" t="s">
        <v>13</v>
      </c>
      <c r="G329" s="18" t="s">
        <v>20</v>
      </c>
      <c r="H329" s="18" t="s">
        <v>27</v>
      </c>
      <c r="I329" s="18" t="s">
        <v>22</v>
      </c>
      <c r="J329" s="19">
        <v>60000</v>
      </c>
      <c r="K329" s="18">
        <v>7</v>
      </c>
      <c r="L329" s="18" t="s">
        <v>28</v>
      </c>
      <c r="M329" s="20">
        <f t="shared" si="11"/>
        <v>48000</v>
      </c>
      <c r="N329" s="20">
        <f>'Working Sheet'!$J329*'Working Sheet'!$K329</f>
        <v>420000</v>
      </c>
      <c r="O329" s="21">
        <f>'Working Sheet'!$M329*'Working Sheet'!$K329</f>
        <v>336000</v>
      </c>
      <c r="P329" s="20">
        <f>'Working Sheet'!$N329-'Working Sheet'!$O329</f>
        <v>84000</v>
      </c>
    </row>
    <row r="330" spans="1:16" ht="14.25" customHeight="1" x14ac:dyDescent="0.25">
      <c r="A330" s="23" t="str">
        <f t="shared" ca="1" si="10"/>
        <v>ID_1822</v>
      </c>
      <c r="B330" s="22">
        <v>45766</v>
      </c>
      <c r="C330" s="23" t="str">
        <f>TEXT('Working Sheet'!$B330,"mmm")</f>
        <v>Apr</v>
      </c>
      <c r="D330" s="23" t="s">
        <v>25</v>
      </c>
      <c r="E330" s="23" t="s">
        <v>26</v>
      </c>
      <c r="F330" s="23" t="s">
        <v>13</v>
      </c>
      <c r="G330" s="23" t="s">
        <v>14</v>
      </c>
      <c r="H330" s="23" t="s">
        <v>33</v>
      </c>
      <c r="I330" s="23" t="s">
        <v>22</v>
      </c>
      <c r="J330" s="24">
        <v>180000</v>
      </c>
      <c r="K330" s="23">
        <v>4</v>
      </c>
      <c r="L330" s="23" t="s">
        <v>24</v>
      </c>
      <c r="M330" s="25">
        <f t="shared" si="11"/>
        <v>144000</v>
      </c>
      <c r="N330" s="25">
        <f>'Working Sheet'!$J330*'Working Sheet'!$K330</f>
        <v>720000</v>
      </c>
      <c r="O330" s="26">
        <f>'Working Sheet'!$M330*'Working Sheet'!$K330</f>
        <v>576000</v>
      </c>
      <c r="P330" s="25">
        <f>'Working Sheet'!$N330-'Working Sheet'!$O330</f>
        <v>144000</v>
      </c>
    </row>
    <row r="331" spans="1:16" ht="14.25" customHeight="1" x14ac:dyDescent="0.25">
      <c r="A331" s="18" t="str">
        <f t="shared" ca="1" si="10"/>
        <v>ID_1296</v>
      </c>
      <c r="B331" s="17">
        <v>45773</v>
      </c>
      <c r="C331" s="18" t="str">
        <f>TEXT('Working Sheet'!$B331,"mmm")</f>
        <v>Apr</v>
      </c>
      <c r="D331" s="18" t="s">
        <v>11</v>
      </c>
      <c r="E331" s="18" t="s">
        <v>26</v>
      </c>
      <c r="F331" s="18" t="s">
        <v>23</v>
      </c>
      <c r="G331" s="18" t="s">
        <v>20</v>
      </c>
      <c r="H331" s="18" t="s">
        <v>38</v>
      </c>
      <c r="I331" s="18" t="s">
        <v>31</v>
      </c>
      <c r="J331" s="19">
        <v>420000</v>
      </c>
      <c r="K331" s="18">
        <v>8</v>
      </c>
      <c r="L331" s="18" t="s">
        <v>37</v>
      </c>
      <c r="M331" s="20">
        <f t="shared" si="11"/>
        <v>336000</v>
      </c>
      <c r="N331" s="20">
        <f>'Working Sheet'!$J331*'Working Sheet'!$K331</f>
        <v>3360000</v>
      </c>
      <c r="O331" s="21">
        <f>'Working Sheet'!$M331*'Working Sheet'!$K331</f>
        <v>2688000</v>
      </c>
      <c r="P331" s="20">
        <f>'Working Sheet'!$N331-'Working Sheet'!$O331</f>
        <v>672000</v>
      </c>
    </row>
    <row r="332" spans="1:16" ht="14.25" customHeight="1" x14ac:dyDescent="0.25">
      <c r="A332" s="23" t="str">
        <f t="shared" ca="1" si="10"/>
        <v>ID_1802</v>
      </c>
      <c r="B332" s="22">
        <v>45705</v>
      </c>
      <c r="C332" s="23" t="str">
        <f>TEXT('Working Sheet'!$B332,"mmm")</f>
        <v>Feb</v>
      </c>
      <c r="D332" s="23" t="s">
        <v>11</v>
      </c>
      <c r="E332" s="23" t="s">
        <v>26</v>
      </c>
      <c r="F332" s="23" t="s">
        <v>13</v>
      </c>
      <c r="G332" s="23" t="s">
        <v>20</v>
      </c>
      <c r="H332" s="23" t="s">
        <v>30</v>
      </c>
      <c r="I332" s="23" t="s">
        <v>31</v>
      </c>
      <c r="J332" s="24">
        <v>300000</v>
      </c>
      <c r="K332" s="23">
        <v>2</v>
      </c>
      <c r="L332" s="23" t="s">
        <v>39</v>
      </c>
      <c r="M332" s="25">
        <f t="shared" si="11"/>
        <v>240000</v>
      </c>
      <c r="N332" s="25">
        <f>'Working Sheet'!$J332*'Working Sheet'!$K332</f>
        <v>600000</v>
      </c>
      <c r="O332" s="26">
        <f>'Working Sheet'!$M332*'Working Sheet'!$K332</f>
        <v>480000</v>
      </c>
      <c r="P332" s="25">
        <f>'Working Sheet'!$N332-'Working Sheet'!$O332</f>
        <v>120000</v>
      </c>
    </row>
    <row r="333" spans="1:16" ht="14.25" customHeight="1" x14ac:dyDescent="0.25">
      <c r="A333" s="18" t="str">
        <f t="shared" ca="1" si="10"/>
        <v>ID_876</v>
      </c>
      <c r="B333" s="17">
        <v>45743</v>
      </c>
      <c r="C333" s="18" t="str">
        <f>TEXT('Working Sheet'!$B333,"mmm")</f>
        <v>Mar</v>
      </c>
      <c r="D333" s="18" t="s">
        <v>25</v>
      </c>
      <c r="E333" s="18" t="s">
        <v>19</v>
      </c>
      <c r="F333" s="18" t="s">
        <v>23</v>
      </c>
      <c r="G333" s="18" t="s">
        <v>14</v>
      </c>
      <c r="H333" s="18" t="s">
        <v>38</v>
      </c>
      <c r="I333" s="18" t="s">
        <v>31</v>
      </c>
      <c r="J333" s="19">
        <v>420000</v>
      </c>
      <c r="K333" s="18">
        <v>3</v>
      </c>
      <c r="L333" s="18" t="s">
        <v>37</v>
      </c>
      <c r="M333" s="20">
        <f t="shared" si="11"/>
        <v>336000</v>
      </c>
      <c r="N333" s="20">
        <f>'Working Sheet'!$J333*'Working Sheet'!$K333</f>
        <v>1260000</v>
      </c>
      <c r="O333" s="21">
        <f>'Working Sheet'!$M333*'Working Sheet'!$K333</f>
        <v>1008000</v>
      </c>
      <c r="P333" s="20">
        <f>'Working Sheet'!$N333-'Working Sheet'!$O333</f>
        <v>252000</v>
      </c>
    </row>
    <row r="334" spans="1:16" ht="14.25" customHeight="1" x14ac:dyDescent="0.25">
      <c r="A334" s="23" t="str">
        <f t="shared" ca="1" si="10"/>
        <v>ID_1603</v>
      </c>
      <c r="B334" s="22">
        <v>45722</v>
      </c>
      <c r="C334" s="23" t="str">
        <f>TEXT('Working Sheet'!$B334,"mmm")</f>
        <v>Mar</v>
      </c>
      <c r="D334" s="23" t="s">
        <v>29</v>
      </c>
      <c r="E334" s="23" t="s">
        <v>26</v>
      </c>
      <c r="F334" s="23" t="s">
        <v>13</v>
      </c>
      <c r="G334" s="23" t="s">
        <v>14</v>
      </c>
      <c r="H334" s="23" t="s">
        <v>15</v>
      </c>
      <c r="I334" s="23" t="s">
        <v>16</v>
      </c>
      <c r="J334" s="24">
        <v>85000</v>
      </c>
      <c r="K334" s="23">
        <v>3</v>
      </c>
      <c r="L334" s="23" t="s">
        <v>28</v>
      </c>
      <c r="M334" s="25">
        <f t="shared" si="11"/>
        <v>68000</v>
      </c>
      <c r="N334" s="25">
        <f>'Working Sheet'!$J334*'Working Sheet'!$K334</f>
        <v>255000</v>
      </c>
      <c r="O334" s="26">
        <f>'Working Sheet'!$M334*'Working Sheet'!$K334</f>
        <v>204000</v>
      </c>
      <c r="P334" s="25">
        <f>'Working Sheet'!$N334-'Working Sheet'!$O334</f>
        <v>51000</v>
      </c>
    </row>
    <row r="335" spans="1:16" ht="14.25" customHeight="1" x14ac:dyDescent="0.25">
      <c r="A335" s="18" t="str">
        <f t="shared" ca="1" si="10"/>
        <v>ID_1405</v>
      </c>
      <c r="B335" s="17">
        <v>45674</v>
      </c>
      <c r="C335" s="18" t="str">
        <f>TEXT('Working Sheet'!$B335,"mmm")</f>
        <v>Jan</v>
      </c>
      <c r="D335" s="18" t="s">
        <v>11</v>
      </c>
      <c r="E335" s="18" t="s">
        <v>32</v>
      </c>
      <c r="F335" s="18" t="s">
        <v>23</v>
      </c>
      <c r="G335" s="18" t="s">
        <v>20</v>
      </c>
      <c r="H335" s="18" t="s">
        <v>27</v>
      </c>
      <c r="I335" s="18" t="s">
        <v>22</v>
      </c>
      <c r="J335" s="19">
        <v>60000</v>
      </c>
      <c r="K335" s="18">
        <v>8</v>
      </c>
      <c r="L335" s="18" t="s">
        <v>24</v>
      </c>
      <c r="M335" s="20">
        <f t="shared" si="11"/>
        <v>48000</v>
      </c>
      <c r="N335" s="20">
        <f>'Working Sheet'!$J335*'Working Sheet'!$K335</f>
        <v>480000</v>
      </c>
      <c r="O335" s="21">
        <f>'Working Sheet'!$M335*'Working Sheet'!$K335</f>
        <v>384000</v>
      </c>
      <c r="P335" s="20">
        <f>'Working Sheet'!$N335-'Working Sheet'!$O335</f>
        <v>96000</v>
      </c>
    </row>
    <row r="336" spans="1:16" ht="14.25" customHeight="1" x14ac:dyDescent="0.25">
      <c r="A336" s="23" t="str">
        <f t="shared" ca="1" si="10"/>
        <v>ID_1138</v>
      </c>
      <c r="B336" s="22">
        <v>45664</v>
      </c>
      <c r="C336" s="23" t="str">
        <f>TEXT('Working Sheet'!$B336,"mmm")</f>
        <v>Jan</v>
      </c>
      <c r="D336" s="23" t="s">
        <v>11</v>
      </c>
      <c r="E336" s="23" t="s">
        <v>19</v>
      </c>
      <c r="F336" s="23" t="s">
        <v>23</v>
      </c>
      <c r="G336" s="23" t="s">
        <v>20</v>
      </c>
      <c r="H336" s="23" t="s">
        <v>33</v>
      </c>
      <c r="I336" s="23" t="s">
        <v>22</v>
      </c>
      <c r="J336" s="24">
        <v>180000</v>
      </c>
      <c r="K336" s="23">
        <v>10</v>
      </c>
      <c r="L336" s="23" t="s">
        <v>35</v>
      </c>
      <c r="M336" s="25">
        <f t="shared" si="11"/>
        <v>144000</v>
      </c>
      <c r="N336" s="25">
        <f>'Working Sheet'!$J336*'Working Sheet'!$K336</f>
        <v>1800000</v>
      </c>
      <c r="O336" s="26">
        <f>'Working Sheet'!$M336*'Working Sheet'!$K336</f>
        <v>1440000</v>
      </c>
      <c r="P336" s="25">
        <f>'Working Sheet'!$N336-'Working Sheet'!$O336</f>
        <v>360000</v>
      </c>
    </row>
    <row r="337" spans="1:16" ht="14.25" customHeight="1" x14ac:dyDescent="0.25">
      <c r="A337" s="18" t="str">
        <f t="shared" ca="1" si="10"/>
        <v>ID_1871</v>
      </c>
      <c r="B337" s="17">
        <v>45735</v>
      </c>
      <c r="C337" s="18" t="str">
        <f>TEXT('Working Sheet'!$B337,"mmm")</f>
        <v>Mar</v>
      </c>
      <c r="D337" s="18" t="s">
        <v>18</v>
      </c>
      <c r="E337" s="18" t="s">
        <v>32</v>
      </c>
      <c r="F337" s="18" t="s">
        <v>23</v>
      </c>
      <c r="G337" s="18" t="s">
        <v>14</v>
      </c>
      <c r="H337" s="18" t="s">
        <v>33</v>
      </c>
      <c r="I337" s="18" t="s">
        <v>22</v>
      </c>
      <c r="J337" s="19">
        <v>180000</v>
      </c>
      <c r="K337" s="18">
        <v>7</v>
      </c>
      <c r="L337" s="18" t="s">
        <v>17</v>
      </c>
      <c r="M337" s="20">
        <f t="shared" si="11"/>
        <v>144000</v>
      </c>
      <c r="N337" s="20">
        <f>'Working Sheet'!$J337*'Working Sheet'!$K337</f>
        <v>1260000</v>
      </c>
      <c r="O337" s="21">
        <f>'Working Sheet'!$M337*'Working Sheet'!$K337</f>
        <v>1008000</v>
      </c>
      <c r="P337" s="20">
        <f>'Working Sheet'!$N337-'Working Sheet'!$O337</f>
        <v>252000</v>
      </c>
    </row>
    <row r="338" spans="1:16" ht="14.25" customHeight="1" x14ac:dyDescent="0.25">
      <c r="A338" s="23" t="str">
        <f t="shared" ca="1" si="10"/>
        <v>ID_508</v>
      </c>
      <c r="B338" s="22">
        <v>45668</v>
      </c>
      <c r="C338" s="23" t="str">
        <f>TEXT('Working Sheet'!$B338,"mmm")</f>
        <v>Jan</v>
      </c>
      <c r="D338" s="23" t="s">
        <v>18</v>
      </c>
      <c r="E338" s="23" t="s">
        <v>32</v>
      </c>
      <c r="F338" s="23" t="s">
        <v>13</v>
      </c>
      <c r="G338" s="23" t="s">
        <v>20</v>
      </c>
      <c r="H338" s="23" t="s">
        <v>21</v>
      </c>
      <c r="I338" s="23" t="s">
        <v>22</v>
      </c>
      <c r="J338" s="24">
        <v>30000</v>
      </c>
      <c r="K338" s="23">
        <v>3</v>
      </c>
      <c r="L338" s="23" t="s">
        <v>28</v>
      </c>
      <c r="M338" s="25">
        <f t="shared" si="11"/>
        <v>24000</v>
      </c>
      <c r="N338" s="25">
        <f>'Working Sheet'!$J338*'Working Sheet'!$K338</f>
        <v>90000</v>
      </c>
      <c r="O338" s="26">
        <f>'Working Sheet'!$M338*'Working Sheet'!$K338</f>
        <v>72000</v>
      </c>
      <c r="P338" s="25">
        <f>'Working Sheet'!$N338-'Working Sheet'!$O338</f>
        <v>18000</v>
      </c>
    </row>
    <row r="339" spans="1:16" ht="14.25" customHeight="1" x14ac:dyDescent="0.25">
      <c r="A339" s="18" t="str">
        <f t="shared" ca="1" si="10"/>
        <v>ID_1228</v>
      </c>
      <c r="B339" s="17">
        <v>45767</v>
      </c>
      <c r="C339" s="18" t="str">
        <f>TEXT('Working Sheet'!$B339,"mmm")</f>
        <v>Apr</v>
      </c>
      <c r="D339" s="18" t="s">
        <v>29</v>
      </c>
      <c r="E339" s="18" t="s">
        <v>12</v>
      </c>
      <c r="F339" s="18" t="s">
        <v>23</v>
      </c>
      <c r="G339" s="18" t="s">
        <v>20</v>
      </c>
      <c r="H339" s="18" t="s">
        <v>21</v>
      </c>
      <c r="I339" s="18" t="s">
        <v>22</v>
      </c>
      <c r="J339" s="19">
        <v>30000</v>
      </c>
      <c r="K339" s="18">
        <v>6</v>
      </c>
      <c r="L339" s="18" t="s">
        <v>24</v>
      </c>
      <c r="M339" s="20">
        <f t="shared" si="11"/>
        <v>24000</v>
      </c>
      <c r="N339" s="20">
        <f>'Working Sheet'!$J339*'Working Sheet'!$K339</f>
        <v>180000</v>
      </c>
      <c r="O339" s="21">
        <f>'Working Sheet'!$M339*'Working Sheet'!$K339</f>
        <v>144000</v>
      </c>
      <c r="P339" s="20">
        <f>'Working Sheet'!$N339-'Working Sheet'!$O339</f>
        <v>36000</v>
      </c>
    </row>
    <row r="340" spans="1:16" ht="14.25" customHeight="1" x14ac:dyDescent="0.25">
      <c r="A340" s="23" t="str">
        <f t="shared" ca="1" si="10"/>
        <v>ID_1287</v>
      </c>
      <c r="B340" s="22">
        <v>45759</v>
      </c>
      <c r="C340" s="23" t="str">
        <f>TEXT('Working Sheet'!$B340,"mmm")</f>
        <v>Apr</v>
      </c>
      <c r="D340" s="23" t="s">
        <v>29</v>
      </c>
      <c r="E340" s="23" t="s">
        <v>19</v>
      </c>
      <c r="F340" s="23" t="s">
        <v>23</v>
      </c>
      <c r="G340" s="23" t="s">
        <v>14</v>
      </c>
      <c r="H340" s="23" t="s">
        <v>38</v>
      </c>
      <c r="I340" s="23" t="s">
        <v>31</v>
      </c>
      <c r="J340" s="24">
        <v>420000</v>
      </c>
      <c r="K340" s="23">
        <v>4</v>
      </c>
      <c r="L340" s="23" t="s">
        <v>37</v>
      </c>
      <c r="M340" s="25">
        <f t="shared" si="11"/>
        <v>336000</v>
      </c>
      <c r="N340" s="25">
        <f>'Working Sheet'!$J340*'Working Sheet'!$K340</f>
        <v>1680000</v>
      </c>
      <c r="O340" s="26">
        <f>'Working Sheet'!$M340*'Working Sheet'!$K340</f>
        <v>1344000</v>
      </c>
      <c r="P340" s="25">
        <f>'Working Sheet'!$N340-'Working Sheet'!$O340</f>
        <v>336000</v>
      </c>
    </row>
    <row r="341" spans="1:16" ht="14.25" customHeight="1" x14ac:dyDescent="0.25">
      <c r="A341" s="18" t="str">
        <f t="shared" ca="1" si="10"/>
        <v>ID_844</v>
      </c>
      <c r="B341" s="17">
        <v>45723</v>
      </c>
      <c r="C341" s="18" t="str">
        <f>TEXT('Working Sheet'!$B341,"mmm")</f>
        <v>Mar</v>
      </c>
      <c r="D341" s="18" t="s">
        <v>18</v>
      </c>
      <c r="E341" s="18" t="s">
        <v>26</v>
      </c>
      <c r="F341" s="18" t="s">
        <v>13</v>
      </c>
      <c r="G341" s="18" t="s">
        <v>14</v>
      </c>
      <c r="H341" s="18" t="s">
        <v>41</v>
      </c>
      <c r="I341" s="18" t="s">
        <v>22</v>
      </c>
      <c r="J341" s="19">
        <v>220000</v>
      </c>
      <c r="K341" s="18">
        <v>8</v>
      </c>
      <c r="L341" s="18" t="s">
        <v>39</v>
      </c>
      <c r="M341" s="20">
        <f t="shared" si="11"/>
        <v>176000</v>
      </c>
      <c r="N341" s="20">
        <f>'Working Sheet'!$J341*'Working Sheet'!$K341</f>
        <v>1760000</v>
      </c>
      <c r="O341" s="21">
        <f>'Working Sheet'!$M341*'Working Sheet'!$K341</f>
        <v>1408000</v>
      </c>
      <c r="P341" s="20">
        <f>'Working Sheet'!$N341-'Working Sheet'!$O341</f>
        <v>352000</v>
      </c>
    </row>
    <row r="342" spans="1:16" ht="14.25" customHeight="1" x14ac:dyDescent="0.25">
      <c r="A342" s="23" t="str">
        <f t="shared" ca="1" si="10"/>
        <v>ID_1770</v>
      </c>
      <c r="B342" s="22">
        <v>45715</v>
      </c>
      <c r="C342" s="23" t="str">
        <f>TEXT('Working Sheet'!$B342,"mmm")</f>
        <v>Feb</v>
      </c>
      <c r="D342" s="23" t="s">
        <v>29</v>
      </c>
      <c r="E342" s="23" t="s">
        <v>19</v>
      </c>
      <c r="F342" s="23" t="s">
        <v>23</v>
      </c>
      <c r="G342" s="23" t="s">
        <v>20</v>
      </c>
      <c r="H342" s="23" t="s">
        <v>15</v>
      </c>
      <c r="I342" s="23" t="s">
        <v>16</v>
      </c>
      <c r="J342" s="24">
        <v>85000</v>
      </c>
      <c r="K342" s="23">
        <v>5</v>
      </c>
      <c r="L342" s="23" t="s">
        <v>17</v>
      </c>
      <c r="M342" s="25">
        <f t="shared" si="11"/>
        <v>68000</v>
      </c>
      <c r="N342" s="25">
        <f>'Working Sheet'!$J342*'Working Sheet'!$K342</f>
        <v>425000</v>
      </c>
      <c r="O342" s="26">
        <f>'Working Sheet'!$M342*'Working Sheet'!$K342</f>
        <v>340000</v>
      </c>
      <c r="P342" s="25">
        <f>'Working Sheet'!$N342-'Working Sheet'!$O342</f>
        <v>85000</v>
      </c>
    </row>
    <row r="343" spans="1:16" ht="14.25" customHeight="1" x14ac:dyDescent="0.25">
      <c r="A343" s="18" t="str">
        <f t="shared" ca="1" si="10"/>
        <v>ID_933</v>
      </c>
      <c r="B343" s="17">
        <v>45759</v>
      </c>
      <c r="C343" s="18" t="str">
        <f>TEXT('Working Sheet'!$B343,"mmm")</f>
        <v>Apr</v>
      </c>
      <c r="D343" s="18" t="s">
        <v>11</v>
      </c>
      <c r="E343" s="18" t="s">
        <v>19</v>
      </c>
      <c r="F343" s="18" t="s">
        <v>13</v>
      </c>
      <c r="G343" s="18" t="s">
        <v>14</v>
      </c>
      <c r="H343" s="18" t="s">
        <v>34</v>
      </c>
      <c r="I343" s="18" t="s">
        <v>16</v>
      </c>
      <c r="J343" s="19">
        <v>320000</v>
      </c>
      <c r="K343" s="18">
        <v>7</v>
      </c>
      <c r="L343" s="18" t="s">
        <v>28</v>
      </c>
      <c r="M343" s="20">
        <f t="shared" si="11"/>
        <v>256000</v>
      </c>
      <c r="N343" s="20">
        <f>'Working Sheet'!$J343*'Working Sheet'!$K343</f>
        <v>2240000</v>
      </c>
      <c r="O343" s="21">
        <f>'Working Sheet'!$M343*'Working Sheet'!$K343</f>
        <v>1792000</v>
      </c>
      <c r="P343" s="20">
        <f>'Working Sheet'!$N343-'Working Sheet'!$O343</f>
        <v>448000</v>
      </c>
    </row>
    <row r="344" spans="1:16" ht="14.25" customHeight="1" x14ac:dyDescent="0.25">
      <c r="A344" s="23" t="str">
        <f t="shared" ca="1" si="10"/>
        <v>ID_419</v>
      </c>
      <c r="B344" s="22">
        <v>45750</v>
      </c>
      <c r="C344" s="23" t="str">
        <f>TEXT('Working Sheet'!$B344,"mmm")</f>
        <v>Apr</v>
      </c>
      <c r="D344" s="23" t="s">
        <v>25</v>
      </c>
      <c r="E344" s="23" t="s">
        <v>19</v>
      </c>
      <c r="F344" s="23" t="s">
        <v>23</v>
      </c>
      <c r="G344" s="23" t="s">
        <v>20</v>
      </c>
      <c r="H344" s="23" t="s">
        <v>33</v>
      </c>
      <c r="I344" s="23" t="s">
        <v>22</v>
      </c>
      <c r="J344" s="24">
        <v>180000</v>
      </c>
      <c r="K344" s="23">
        <v>6</v>
      </c>
      <c r="L344" s="23" t="s">
        <v>17</v>
      </c>
      <c r="M344" s="25">
        <f t="shared" si="11"/>
        <v>144000</v>
      </c>
      <c r="N344" s="25">
        <f>'Working Sheet'!$J344*'Working Sheet'!$K344</f>
        <v>1080000</v>
      </c>
      <c r="O344" s="26">
        <f>'Working Sheet'!$M344*'Working Sheet'!$K344</f>
        <v>864000</v>
      </c>
      <c r="P344" s="25">
        <f>'Working Sheet'!$N344-'Working Sheet'!$O344</f>
        <v>216000</v>
      </c>
    </row>
    <row r="345" spans="1:16" ht="14.25" customHeight="1" x14ac:dyDescent="0.25">
      <c r="A345" s="18" t="str">
        <f t="shared" ca="1" si="10"/>
        <v>ID_1784</v>
      </c>
      <c r="B345" s="17">
        <v>45676</v>
      </c>
      <c r="C345" s="18" t="str">
        <f>TEXT('Working Sheet'!$B345,"mmm")</f>
        <v>Jan</v>
      </c>
      <c r="D345" s="18" t="s">
        <v>18</v>
      </c>
      <c r="E345" s="18" t="s">
        <v>32</v>
      </c>
      <c r="F345" s="18" t="s">
        <v>23</v>
      </c>
      <c r="G345" s="18" t="s">
        <v>14</v>
      </c>
      <c r="H345" s="18" t="s">
        <v>27</v>
      </c>
      <c r="I345" s="18" t="s">
        <v>22</v>
      </c>
      <c r="J345" s="19">
        <v>60000</v>
      </c>
      <c r="K345" s="18">
        <v>2</v>
      </c>
      <c r="L345" s="18" t="s">
        <v>37</v>
      </c>
      <c r="M345" s="20">
        <f t="shared" si="11"/>
        <v>48000</v>
      </c>
      <c r="N345" s="20">
        <f>'Working Sheet'!$J345*'Working Sheet'!$K345</f>
        <v>120000</v>
      </c>
      <c r="O345" s="21">
        <f>'Working Sheet'!$M345*'Working Sheet'!$K345</f>
        <v>96000</v>
      </c>
      <c r="P345" s="20">
        <f>'Working Sheet'!$N345-'Working Sheet'!$O345</f>
        <v>24000</v>
      </c>
    </row>
    <row r="346" spans="1:16" ht="14.25" customHeight="1" x14ac:dyDescent="0.25">
      <c r="A346" s="23" t="str">
        <f t="shared" ca="1" si="10"/>
        <v>ID_38</v>
      </c>
      <c r="B346" s="22">
        <v>45712</v>
      </c>
      <c r="C346" s="23" t="str">
        <f>TEXT('Working Sheet'!$B346,"mmm")</f>
        <v>Feb</v>
      </c>
      <c r="D346" s="23" t="s">
        <v>11</v>
      </c>
      <c r="E346" s="23" t="s">
        <v>32</v>
      </c>
      <c r="F346" s="23" t="s">
        <v>23</v>
      </c>
      <c r="G346" s="23" t="s">
        <v>20</v>
      </c>
      <c r="H346" s="23" t="s">
        <v>33</v>
      </c>
      <c r="I346" s="23" t="s">
        <v>22</v>
      </c>
      <c r="J346" s="24">
        <v>180000</v>
      </c>
      <c r="K346" s="23">
        <v>5</v>
      </c>
      <c r="L346" s="23" t="s">
        <v>24</v>
      </c>
      <c r="M346" s="25">
        <f t="shared" si="11"/>
        <v>144000</v>
      </c>
      <c r="N346" s="25">
        <f>'Working Sheet'!$J346*'Working Sheet'!$K346</f>
        <v>900000</v>
      </c>
      <c r="O346" s="26">
        <f>'Working Sheet'!$M346*'Working Sheet'!$K346</f>
        <v>720000</v>
      </c>
      <c r="P346" s="25">
        <f>'Working Sheet'!$N346-'Working Sheet'!$O346</f>
        <v>180000</v>
      </c>
    </row>
    <row r="347" spans="1:16" ht="14.25" customHeight="1" x14ac:dyDescent="0.25">
      <c r="A347" s="18" t="str">
        <f t="shared" ca="1" si="10"/>
        <v>ID_1756</v>
      </c>
      <c r="B347" s="17">
        <v>45775</v>
      </c>
      <c r="C347" s="18" t="str">
        <f>TEXT('Working Sheet'!$B347,"mmm")</f>
        <v>Apr</v>
      </c>
      <c r="D347" s="18" t="s">
        <v>18</v>
      </c>
      <c r="E347" s="18" t="s">
        <v>32</v>
      </c>
      <c r="F347" s="18" t="s">
        <v>23</v>
      </c>
      <c r="G347" s="18" t="s">
        <v>20</v>
      </c>
      <c r="H347" s="18" t="s">
        <v>36</v>
      </c>
      <c r="I347" s="18" t="s">
        <v>31</v>
      </c>
      <c r="J347" s="19">
        <v>150000</v>
      </c>
      <c r="K347" s="18">
        <v>6</v>
      </c>
      <c r="L347" s="18" t="s">
        <v>37</v>
      </c>
      <c r="M347" s="20">
        <f t="shared" si="11"/>
        <v>120000</v>
      </c>
      <c r="N347" s="20">
        <f>'Working Sheet'!$J347*'Working Sheet'!$K347</f>
        <v>900000</v>
      </c>
      <c r="O347" s="21">
        <f>'Working Sheet'!$M347*'Working Sheet'!$K347</f>
        <v>720000</v>
      </c>
      <c r="P347" s="20">
        <f>'Working Sheet'!$N347-'Working Sheet'!$O347</f>
        <v>180000</v>
      </c>
    </row>
    <row r="348" spans="1:16" ht="14.25" customHeight="1" x14ac:dyDescent="0.25">
      <c r="A348" s="23" t="str">
        <f t="shared" ca="1" si="10"/>
        <v>ID_100</v>
      </c>
      <c r="B348" s="22">
        <v>45684</v>
      </c>
      <c r="C348" s="23" t="str">
        <f>TEXT('Working Sheet'!$B348,"mmm")</f>
        <v>Jan</v>
      </c>
      <c r="D348" s="23" t="s">
        <v>18</v>
      </c>
      <c r="E348" s="23" t="s">
        <v>12</v>
      </c>
      <c r="F348" s="23" t="s">
        <v>23</v>
      </c>
      <c r="G348" s="23" t="s">
        <v>20</v>
      </c>
      <c r="H348" s="23" t="s">
        <v>21</v>
      </c>
      <c r="I348" s="23" t="s">
        <v>22</v>
      </c>
      <c r="J348" s="24">
        <v>30000</v>
      </c>
      <c r="K348" s="23">
        <v>2</v>
      </c>
      <c r="L348" s="23" t="s">
        <v>37</v>
      </c>
      <c r="M348" s="25">
        <f t="shared" si="11"/>
        <v>24000</v>
      </c>
      <c r="N348" s="25">
        <f>'Working Sheet'!$J348*'Working Sheet'!$K348</f>
        <v>60000</v>
      </c>
      <c r="O348" s="26">
        <f>'Working Sheet'!$M348*'Working Sheet'!$K348</f>
        <v>48000</v>
      </c>
      <c r="P348" s="25">
        <f>'Working Sheet'!$N348-'Working Sheet'!$O348</f>
        <v>12000</v>
      </c>
    </row>
    <row r="349" spans="1:16" ht="14.25" customHeight="1" x14ac:dyDescent="0.25">
      <c r="A349" s="18" t="str">
        <f t="shared" ca="1" si="10"/>
        <v>ID_1007</v>
      </c>
      <c r="B349" s="17">
        <v>45770</v>
      </c>
      <c r="C349" s="18" t="str">
        <f>TEXT('Working Sheet'!$B349,"mmm")</f>
        <v>Apr</v>
      </c>
      <c r="D349" s="18" t="s">
        <v>29</v>
      </c>
      <c r="E349" s="18" t="s">
        <v>12</v>
      </c>
      <c r="F349" s="18" t="s">
        <v>13</v>
      </c>
      <c r="G349" s="18" t="s">
        <v>14</v>
      </c>
      <c r="H349" s="18" t="s">
        <v>40</v>
      </c>
      <c r="I349" s="18" t="s">
        <v>31</v>
      </c>
      <c r="J349" s="19">
        <v>250000</v>
      </c>
      <c r="K349" s="18">
        <v>9</v>
      </c>
      <c r="L349" s="18" t="s">
        <v>37</v>
      </c>
      <c r="M349" s="20">
        <f t="shared" si="11"/>
        <v>200000</v>
      </c>
      <c r="N349" s="20">
        <f>'Working Sheet'!$J349*'Working Sheet'!$K349</f>
        <v>2250000</v>
      </c>
      <c r="O349" s="21">
        <f>'Working Sheet'!$M349*'Working Sheet'!$K349</f>
        <v>1800000</v>
      </c>
      <c r="P349" s="20">
        <f>'Working Sheet'!$N349-'Working Sheet'!$O349</f>
        <v>450000</v>
      </c>
    </row>
    <row r="350" spans="1:16" ht="14.25" customHeight="1" x14ac:dyDescent="0.25">
      <c r="A350" s="23" t="str">
        <f t="shared" ca="1" si="10"/>
        <v>ID_157</v>
      </c>
      <c r="B350" s="22">
        <v>45678</v>
      </c>
      <c r="C350" s="23" t="str">
        <f>TEXT('Working Sheet'!$B350,"mmm")</f>
        <v>Jan</v>
      </c>
      <c r="D350" s="23" t="s">
        <v>11</v>
      </c>
      <c r="E350" s="23" t="s">
        <v>26</v>
      </c>
      <c r="F350" s="23" t="s">
        <v>13</v>
      </c>
      <c r="G350" s="23" t="s">
        <v>20</v>
      </c>
      <c r="H350" s="23" t="s">
        <v>27</v>
      </c>
      <c r="I350" s="23" t="s">
        <v>22</v>
      </c>
      <c r="J350" s="24">
        <v>60000</v>
      </c>
      <c r="K350" s="23">
        <v>4</v>
      </c>
      <c r="L350" s="23" t="s">
        <v>24</v>
      </c>
      <c r="M350" s="25">
        <f t="shared" si="11"/>
        <v>48000</v>
      </c>
      <c r="N350" s="25">
        <f>'Working Sheet'!$J350*'Working Sheet'!$K350</f>
        <v>240000</v>
      </c>
      <c r="O350" s="26">
        <f>'Working Sheet'!$M350*'Working Sheet'!$K350</f>
        <v>192000</v>
      </c>
      <c r="P350" s="25">
        <f>'Working Sheet'!$N350-'Working Sheet'!$O350</f>
        <v>48000</v>
      </c>
    </row>
    <row r="351" spans="1:16" ht="14.25" customHeight="1" x14ac:dyDescent="0.25">
      <c r="A351" s="18" t="str">
        <f t="shared" ca="1" si="10"/>
        <v>ID_196</v>
      </c>
      <c r="B351" s="17">
        <v>45743</v>
      </c>
      <c r="C351" s="18" t="str">
        <f>TEXT('Working Sheet'!$B351,"mmm")</f>
        <v>Mar</v>
      </c>
      <c r="D351" s="18" t="s">
        <v>18</v>
      </c>
      <c r="E351" s="18" t="s">
        <v>12</v>
      </c>
      <c r="F351" s="18" t="s">
        <v>13</v>
      </c>
      <c r="G351" s="18" t="s">
        <v>14</v>
      </c>
      <c r="H351" s="18" t="s">
        <v>36</v>
      </c>
      <c r="I351" s="18" t="s">
        <v>31</v>
      </c>
      <c r="J351" s="19">
        <v>150000</v>
      </c>
      <c r="K351" s="18">
        <v>9</v>
      </c>
      <c r="L351" s="18" t="s">
        <v>37</v>
      </c>
      <c r="M351" s="20">
        <f t="shared" si="11"/>
        <v>120000</v>
      </c>
      <c r="N351" s="20">
        <f>'Working Sheet'!$J351*'Working Sheet'!$K351</f>
        <v>1350000</v>
      </c>
      <c r="O351" s="21">
        <f>'Working Sheet'!$M351*'Working Sheet'!$K351</f>
        <v>1080000</v>
      </c>
      <c r="P351" s="20">
        <f>'Working Sheet'!$N351-'Working Sheet'!$O351</f>
        <v>270000</v>
      </c>
    </row>
    <row r="352" spans="1:16" ht="14.25" customHeight="1" x14ac:dyDescent="0.25">
      <c r="A352" s="23" t="str">
        <f t="shared" ca="1" si="10"/>
        <v>ID_140</v>
      </c>
      <c r="B352" s="22">
        <v>45675</v>
      </c>
      <c r="C352" s="23" t="str">
        <f>TEXT('Working Sheet'!$B352,"mmm")</f>
        <v>Jan</v>
      </c>
      <c r="D352" s="23" t="s">
        <v>29</v>
      </c>
      <c r="E352" s="23" t="s">
        <v>19</v>
      </c>
      <c r="F352" s="23" t="s">
        <v>23</v>
      </c>
      <c r="G352" s="23" t="s">
        <v>20</v>
      </c>
      <c r="H352" s="23" t="s">
        <v>33</v>
      </c>
      <c r="I352" s="23" t="s">
        <v>22</v>
      </c>
      <c r="J352" s="24">
        <v>180000</v>
      </c>
      <c r="K352" s="23">
        <v>3</v>
      </c>
      <c r="L352" s="23" t="s">
        <v>17</v>
      </c>
      <c r="M352" s="25">
        <f t="shared" si="11"/>
        <v>144000</v>
      </c>
      <c r="N352" s="25">
        <f>'Working Sheet'!$J352*'Working Sheet'!$K352</f>
        <v>540000</v>
      </c>
      <c r="O352" s="26">
        <f>'Working Sheet'!$M352*'Working Sheet'!$K352</f>
        <v>432000</v>
      </c>
      <c r="P352" s="25">
        <f>'Working Sheet'!$N352-'Working Sheet'!$O352</f>
        <v>108000</v>
      </c>
    </row>
    <row r="353" spans="1:16" ht="14.25" customHeight="1" x14ac:dyDescent="0.25">
      <c r="A353" s="18" t="str">
        <f t="shared" ca="1" si="10"/>
        <v>ID_92</v>
      </c>
      <c r="B353" s="17">
        <v>45742</v>
      </c>
      <c r="C353" s="18" t="str">
        <f>TEXT('Working Sheet'!$B353,"mmm")</f>
        <v>Mar</v>
      </c>
      <c r="D353" s="18" t="s">
        <v>11</v>
      </c>
      <c r="E353" s="18" t="s">
        <v>12</v>
      </c>
      <c r="F353" s="18" t="s">
        <v>13</v>
      </c>
      <c r="G353" s="18" t="s">
        <v>14</v>
      </c>
      <c r="H353" s="18" t="s">
        <v>33</v>
      </c>
      <c r="I353" s="18" t="s">
        <v>22</v>
      </c>
      <c r="J353" s="19">
        <v>180000</v>
      </c>
      <c r="K353" s="18">
        <v>10</v>
      </c>
      <c r="L353" s="18" t="s">
        <v>17</v>
      </c>
      <c r="M353" s="20">
        <f t="shared" si="11"/>
        <v>144000</v>
      </c>
      <c r="N353" s="20">
        <f>'Working Sheet'!$J353*'Working Sheet'!$K353</f>
        <v>1800000</v>
      </c>
      <c r="O353" s="21">
        <f>'Working Sheet'!$M353*'Working Sheet'!$K353</f>
        <v>1440000</v>
      </c>
      <c r="P353" s="20">
        <f>'Working Sheet'!$N353-'Working Sheet'!$O353</f>
        <v>360000</v>
      </c>
    </row>
    <row r="354" spans="1:16" ht="14.25" customHeight="1" x14ac:dyDescent="0.25">
      <c r="A354" s="23" t="str">
        <f t="shared" ca="1" si="10"/>
        <v>ID_15</v>
      </c>
      <c r="B354" s="22">
        <v>45676</v>
      </c>
      <c r="C354" s="23" t="str">
        <f>TEXT('Working Sheet'!$B354,"mmm")</f>
        <v>Jan</v>
      </c>
      <c r="D354" s="23" t="s">
        <v>18</v>
      </c>
      <c r="E354" s="23" t="s">
        <v>19</v>
      </c>
      <c r="F354" s="23" t="s">
        <v>13</v>
      </c>
      <c r="G354" s="23" t="s">
        <v>14</v>
      </c>
      <c r="H354" s="23" t="s">
        <v>41</v>
      </c>
      <c r="I354" s="23" t="s">
        <v>22</v>
      </c>
      <c r="J354" s="24">
        <v>220000</v>
      </c>
      <c r="K354" s="23">
        <v>2</v>
      </c>
      <c r="L354" s="23" t="s">
        <v>17</v>
      </c>
      <c r="M354" s="25">
        <f t="shared" si="11"/>
        <v>176000</v>
      </c>
      <c r="N354" s="25">
        <f>'Working Sheet'!$J354*'Working Sheet'!$K354</f>
        <v>440000</v>
      </c>
      <c r="O354" s="26">
        <f>'Working Sheet'!$M354*'Working Sheet'!$K354</f>
        <v>352000</v>
      </c>
      <c r="P354" s="25">
        <f>'Working Sheet'!$N354-'Working Sheet'!$O354</f>
        <v>88000</v>
      </c>
    </row>
    <row r="355" spans="1:16" ht="14.25" customHeight="1" x14ac:dyDescent="0.25">
      <c r="A355" s="18" t="str">
        <f t="shared" ca="1" si="10"/>
        <v>ID_1205</v>
      </c>
      <c r="B355" s="17">
        <v>45749</v>
      </c>
      <c r="C355" s="18" t="str">
        <f>TEXT('Working Sheet'!$B355,"mmm")</f>
        <v>Apr</v>
      </c>
      <c r="D355" s="18" t="s">
        <v>29</v>
      </c>
      <c r="E355" s="18" t="s">
        <v>12</v>
      </c>
      <c r="F355" s="18" t="s">
        <v>23</v>
      </c>
      <c r="G355" s="18" t="s">
        <v>14</v>
      </c>
      <c r="H355" s="18" t="s">
        <v>38</v>
      </c>
      <c r="I355" s="18" t="s">
        <v>31</v>
      </c>
      <c r="J355" s="19">
        <v>420000</v>
      </c>
      <c r="K355" s="18">
        <v>10</v>
      </c>
      <c r="L355" s="18" t="s">
        <v>28</v>
      </c>
      <c r="M355" s="20">
        <f t="shared" si="11"/>
        <v>336000</v>
      </c>
      <c r="N355" s="20">
        <f>'Working Sheet'!$J355*'Working Sheet'!$K355</f>
        <v>4200000</v>
      </c>
      <c r="O355" s="21">
        <f>'Working Sheet'!$M355*'Working Sheet'!$K355</f>
        <v>3360000</v>
      </c>
      <c r="P355" s="20">
        <f>'Working Sheet'!$N355-'Working Sheet'!$O355</f>
        <v>840000</v>
      </c>
    </row>
    <row r="356" spans="1:16" ht="14.25" customHeight="1" x14ac:dyDescent="0.25">
      <c r="A356" s="23" t="str">
        <f t="shared" ca="1" si="10"/>
        <v>ID_946</v>
      </c>
      <c r="B356" s="22">
        <v>45736</v>
      </c>
      <c r="C356" s="23" t="str">
        <f>TEXT('Working Sheet'!$B356,"mmm")</f>
        <v>Mar</v>
      </c>
      <c r="D356" s="23" t="s">
        <v>11</v>
      </c>
      <c r="E356" s="23" t="s">
        <v>12</v>
      </c>
      <c r="F356" s="23" t="s">
        <v>13</v>
      </c>
      <c r="G356" s="23" t="s">
        <v>20</v>
      </c>
      <c r="H356" s="23" t="s">
        <v>21</v>
      </c>
      <c r="I356" s="23" t="s">
        <v>22</v>
      </c>
      <c r="J356" s="24">
        <v>30000</v>
      </c>
      <c r="K356" s="23">
        <v>9</v>
      </c>
      <c r="L356" s="23" t="s">
        <v>39</v>
      </c>
      <c r="M356" s="25">
        <f t="shared" si="11"/>
        <v>24000</v>
      </c>
      <c r="N356" s="25">
        <f>'Working Sheet'!$J356*'Working Sheet'!$K356</f>
        <v>270000</v>
      </c>
      <c r="O356" s="26">
        <f>'Working Sheet'!$M356*'Working Sheet'!$K356</f>
        <v>216000</v>
      </c>
      <c r="P356" s="25">
        <f>'Working Sheet'!$N356-'Working Sheet'!$O356</f>
        <v>54000</v>
      </c>
    </row>
    <row r="357" spans="1:16" ht="14.25" customHeight="1" x14ac:dyDescent="0.25">
      <c r="A357" s="18" t="str">
        <f t="shared" ca="1" si="10"/>
        <v>ID_795</v>
      </c>
      <c r="B357" s="17">
        <v>45676</v>
      </c>
      <c r="C357" s="18" t="str">
        <f>TEXT('Working Sheet'!$B357,"mmm")</f>
        <v>Jan</v>
      </c>
      <c r="D357" s="18" t="s">
        <v>11</v>
      </c>
      <c r="E357" s="18" t="s">
        <v>32</v>
      </c>
      <c r="F357" s="18" t="s">
        <v>23</v>
      </c>
      <c r="G357" s="18" t="s">
        <v>14</v>
      </c>
      <c r="H357" s="18" t="s">
        <v>34</v>
      </c>
      <c r="I357" s="18" t="s">
        <v>16</v>
      </c>
      <c r="J357" s="19">
        <v>320000</v>
      </c>
      <c r="K357" s="18">
        <v>6</v>
      </c>
      <c r="L357" s="18" t="s">
        <v>35</v>
      </c>
      <c r="M357" s="20">
        <f t="shared" si="11"/>
        <v>256000</v>
      </c>
      <c r="N357" s="20">
        <f>'Working Sheet'!$J357*'Working Sheet'!$K357</f>
        <v>1920000</v>
      </c>
      <c r="O357" s="21">
        <f>'Working Sheet'!$M357*'Working Sheet'!$K357</f>
        <v>1536000</v>
      </c>
      <c r="P357" s="20">
        <f>'Working Sheet'!$N357-'Working Sheet'!$O357</f>
        <v>384000</v>
      </c>
    </row>
    <row r="358" spans="1:16" ht="14.25" customHeight="1" x14ac:dyDescent="0.25">
      <c r="A358" s="23" t="str">
        <f t="shared" ca="1" si="10"/>
        <v>ID_288</v>
      </c>
      <c r="B358" s="22">
        <v>45681</v>
      </c>
      <c r="C358" s="23" t="str">
        <f>TEXT('Working Sheet'!$B358,"mmm")</f>
        <v>Jan</v>
      </c>
      <c r="D358" s="23" t="s">
        <v>11</v>
      </c>
      <c r="E358" s="23" t="s">
        <v>32</v>
      </c>
      <c r="F358" s="23" t="s">
        <v>13</v>
      </c>
      <c r="G358" s="23" t="s">
        <v>20</v>
      </c>
      <c r="H358" s="23" t="s">
        <v>38</v>
      </c>
      <c r="I358" s="23" t="s">
        <v>31</v>
      </c>
      <c r="J358" s="24">
        <v>420000</v>
      </c>
      <c r="K358" s="23">
        <v>2</v>
      </c>
      <c r="L358" s="23" t="s">
        <v>39</v>
      </c>
      <c r="M358" s="25">
        <f t="shared" si="11"/>
        <v>336000</v>
      </c>
      <c r="N358" s="25">
        <f>'Working Sheet'!$J358*'Working Sheet'!$K358</f>
        <v>840000</v>
      </c>
      <c r="O358" s="26">
        <f>'Working Sheet'!$M358*'Working Sheet'!$K358</f>
        <v>672000</v>
      </c>
      <c r="P358" s="25">
        <f>'Working Sheet'!$N358-'Working Sheet'!$O358</f>
        <v>168000</v>
      </c>
    </row>
    <row r="359" spans="1:16" ht="14.25" customHeight="1" x14ac:dyDescent="0.25">
      <c r="A359" s="18" t="str">
        <f t="shared" ca="1" si="10"/>
        <v>ID_198</v>
      </c>
      <c r="B359" s="17">
        <v>45770</v>
      </c>
      <c r="C359" s="18" t="str">
        <f>TEXT('Working Sheet'!$B359,"mmm")</f>
        <v>Apr</v>
      </c>
      <c r="D359" s="18" t="s">
        <v>25</v>
      </c>
      <c r="E359" s="18" t="s">
        <v>26</v>
      </c>
      <c r="F359" s="18" t="s">
        <v>23</v>
      </c>
      <c r="G359" s="18" t="s">
        <v>14</v>
      </c>
      <c r="H359" s="18" t="s">
        <v>34</v>
      </c>
      <c r="I359" s="18" t="s">
        <v>16</v>
      </c>
      <c r="J359" s="19">
        <v>320000</v>
      </c>
      <c r="K359" s="18">
        <v>10</v>
      </c>
      <c r="L359" s="18" t="s">
        <v>35</v>
      </c>
      <c r="M359" s="20">
        <f t="shared" si="11"/>
        <v>256000</v>
      </c>
      <c r="N359" s="20">
        <f>'Working Sheet'!$J359*'Working Sheet'!$K359</f>
        <v>3200000</v>
      </c>
      <c r="O359" s="21">
        <f>'Working Sheet'!$M359*'Working Sheet'!$K359</f>
        <v>2560000</v>
      </c>
      <c r="P359" s="20">
        <f>'Working Sheet'!$N359-'Working Sheet'!$O359</f>
        <v>640000</v>
      </c>
    </row>
    <row r="360" spans="1:16" ht="14.25" customHeight="1" x14ac:dyDescent="0.25">
      <c r="A360" s="23" t="str">
        <f t="shared" ca="1" si="10"/>
        <v>ID_217</v>
      </c>
      <c r="B360" s="22">
        <v>45694</v>
      </c>
      <c r="C360" s="23" t="str">
        <f>TEXT('Working Sheet'!$B360,"mmm")</f>
        <v>Feb</v>
      </c>
      <c r="D360" s="23" t="s">
        <v>18</v>
      </c>
      <c r="E360" s="23" t="s">
        <v>26</v>
      </c>
      <c r="F360" s="23" t="s">
        <v>23</v>
      </c>
      <c r="G360" s="23" t="s">
        <v>20</v>
      </c>
      <c r="H360" s="23" t="s">
        <v>30</v>
      </c>
      <c r="I360" s="23" t="s">
        <v>31</v>
      </c>
      <c r="J360" s="24">
        <v>300000</v>
      </c>
      <c r="K360" s="23">
        <v>8</v>
      </c>
      <c r="L360" s="23" t="s">
        <v>39</v>
      </c>
      <c r="M360" s="25">
        <f t="shared" si="11"/>
        <v>240000</v>
      </c>
      <c r="N360" s="25">
        <f>'Working Sheet'!$J360*'Working Sheet'!$K360</f>
        <v>2400000</v>
      </c>
      <c r="O360" s="26">
        <f>'Working Sheet'!$M360*'Working Sheet'!$K360</f>
        <v>1920000</v>
      </c>
      <c r="P360" s="25">
        <f>'Working Sheet'!$N360-'Working Sheet'!$O360</f>
        <v>480000</v>
      </c>
    </row>
    <row r="361" spans="1:16" ht="14.25" customHeight="1" x14ac:dyDescent="0.25">
      <c r="A361" s="18" t="str">
        <f t="shared" ca="1" si="10"/>
        <v>ID_1693</v>
      </c>
      <c r="B361" s="17">
        <v>45695</v>
      </c>
      <c r="C361" s="18" t="str">
        <f>TEXT('Working Sheet'!$B361,"mmm")</f>
        <v>Feb</v>
      </c>
      <c r="D361" s="18" t="s">
        <v>18</v>
      </c>
      <c r="E361" s="18" t="s">
        <v>12</v>
      </c>
      <c r="F361" s="18" t="s">
        <v>23</v>
      </c>
      <c r="G361" s="18" t="s">
        <v>14</v>
      </c>
      <c r="H361" s="18" t="s">
        <v>27</v>
      </c>
      <c r="I361" s="18" t="s">
        <v>22</v>
      </c>
      <c r="J361" s="19">
        <v>60000</v>
      </c>
      <c r="K361" s="18">
        <v>1</v>
      </c>
      <c r="L361" s="18" t="s">
        <v>24</v>
      </c>
      <c r="M361" s="20">
        <f t="shared" si="11"/>
        <v>48000</v>
      </c>
      <c r="N361" s="20">
        <f>'Working Sheet'!$J361*'Working Sheet'!$K361</f>
        <v>60000</v>
      </c>
      <c r="O361" s="21">
        <f>'Working Sheet'!$M361*'Working Sheet'!$K361</f>
        <v>48000</v>
      </c>
      <c r="P361" s="20">
        <f>'Working Sheet'!$N361-'Working Sheet'!$O361</f>
        <v>12000</v>
      </c>
    </row>
    <row r="362" spans="1:16" ht="14.25" customHeight="1" x14ac:dyDescent="0.25">
      <c r="A362" s="23" t="str">
        <f t="shared" ca="1" si="10"/>
        <v>ID_1175</v>
      </c>
      <c r="B362" s="22">
        <v>45737</v>
      </c>
      <c r="C362" s="23" t="str">
        <f>TEXT('Working Sheet'!$B362,"mmm")</f>
        <v>Mar</v>
      </c>
      <c r="D362" s="23" t="s">
        <v>25</v>
      </c>
      <c r="E362" s="23" t="s">
        <v>19</v>
      </c>
      <c r="F362" s="23" t="s">
        <v>23</v>
      </c>
      <c r="G362" s="23" t="s">
        <v>14</v>
      </c>
      <c r="H362" s="23" t="s">
        <v>15</v>
      </c>
      <c r="I362" s="23" t="s">
        <v>16</v>
      </c>
      <c r="J362" s="24">
        <v>85000</v>
      </c>
      <c r="K362" s="23">
        <v>3</v>
      </c>
      <c r="L362" s="23" t="s">
        <v>24</v>
      </c>
      <c r="M362" s="25">
        <f t="shared" si="11"/>
        <v>68000</v>
      </c>
      <c r="N362" s="25">
        <f>'Working Sheet'!$J362*'Working Sheet'!$K362</f>
        <v>255000</v>
      </c>
      <c r="O362" s="26">
        <f>'Working Sheet'!$M362*'Working Sheet'!$K362</f>
        <v>204000</v>
      </c>
      <c r="P362" s="25">
        <f>'Working Sheet'!$N362-'Working Sheet'!$O362</f>
        <v>51000</v>
      </c>
    </row>
    <row r="363" spans="1:16" ht="14.25" customHeight="1" x14ac:dyDescent="0.25">
      <c r="A363" s="18" t="str">
        <f t="shared" ca="1" si="10"/>
        <v>ID_158</v>
      </c>
      <c r="B363" s="17">
        <v>45741</v>
      </c>
      <c r="C363" s="18" t="str">
        <f>TEXT('Working Sheet'!$B363,"mmm")</f>
        <v>Mar</v>
      </c>
      <c r="D363" s="18" t="s">
        <v>18</v>
      </c>
      <c r="E363" s="18" t="s">
        <v>26</v>
      </c>
      <c r="F363" s="18" t="s">
        <v>23</v>
      </c>
      <c r="G363" s="18" t="s">
        <v>20</v>
      </c>
      <c r="H363" s="18" t="s">
        <v>21</v>
      </c>
      <c r="I363" s="18" t="s">
        <v>22</v>
      </c>
      <c r="J363" s="19">
        <v>30000</v>
      </c>
      <c r="K363" s="18">
        <v>10</v>
      </c>
      <c r="L363" s="18" t="s">
        <v>17</v>
      </c>
      <c r="M363" s="20">
        <f t="shared" si="11"/>
        <v>24000</v>
      </c>
      <c r="N363" s="20">
        <f>'Working Sheet'!$J363*'Working Sheet'!$K363</f>
        <v>300000</v>
      </c>
      <c r="O363" s="21">
        <f>'Working Sheet'!$M363*'Working Sheet'!$K363</f>
        <v>240000</v>
      </c>
      <c r="P363" s="20">
        <f>'Working Sheet'!$N363-'Working Sheet'!$O363</f>
        <v>60000</v>
      </c>
    </row>
    <row r="364" spans="1:16" ht="14.25" customHeight="1" x14ac:dyDescent="0.25">
      <c r="A364" s="23" t="str">
        <f t="shared" ca="1" si="10"/>
        <v>ID_964</v>
      </c>
      <c r="B364" s="22">
        <v>45679</v>
      </c>
      <c r="C364" s="23" t="str">
        <f>TEXT('Working Sheet'!$B364,"mmm")</f>
        <v>Jan</v>
      </c>
      <c r="D364" s="23" t="s">
        <v>18</v>
      </c>
      <c r="E364" s="23" t="s">
        <v>26</v>
      </c>
      <c r="F364" s="23" t="s">
        <v>23</v>
      </c>
      <c r="G364" s="23" t="s">
        <v>14</v>
      </c>
      <c r="H364" s="23" t="s">
        <v>21</v>
      </c>
      <c r="I364" s="23" t="s">
        <v>22</v>
      </c>
      <c r="J364" s="24">
        <v>30000</v>
      </c>
      <c r="K364" s="23">
        <v>4</v>
      </c>
      <c r="L364" s="23" t="s">
        <v>35</v>
      </c>
      <c r="M364" s="25">
        <f t="shared" si="11"/>
        <v>24000</v>
      </c>
      <c r="N364" s="25">
        <f>'Working Sheet'!$J364*'Working Sheet'!$K364</f>
        <v>120000</v>
      </c>
      <c r="O364" s="26">
        <f>'Working Sheet'!$M364*'Working Sheet'!$K364</f>
        <v>96000</v>
      </c>
      <c r="P364" s="25">
        <f>'Working Sheet'!$N364-'Working Sheet'!$O364</f>
        <v>24000</v>
      </c>
    </row>
    <row r="365" spans="1:16" ht="14.25" customHeight="1" x14ac:dyDescent="0.25">
      <c r="A365" s="18" t="str">
        <f t="shared" ca="1" si="10"/>
        <v>ID_1628</v>
      </c>
      <c r="B365" s="17">
        <v>45684</v>
      </c>
      <c r="C365" s="18" t="str">
        <f>TEXT('Working Sheet'!$B365,"mmm")</f>
        <v>Jan</v>
      </c>
      <c r="D365" s="18" t="s">
        <v>25</v>
      </c>
      <c r="E365" s="18" t="s">
        <v>32</v>
      </c>
      <c r="F365" s="18" t="s">
        <v>23</v>
      </c>
      <c r="G365" s="18" t="s">
        <v>20</v>
      </c>
      <c r="H365" s="18" t="s">
        <v>36</v>
      </c>
      <c r="I365" s="18" t="s">
        <v>31</v>
      </c>
      <c r="J365" s="19">
        <v>150000</v>
      </c>
      <c r="K365" s="18">
        <v>3</v>
      </c>
      <c r="L365" s="18" t="s">
        <v>24</v>
      </c>
      <c r="M365" s="20">
        <f t="shared" si="11"/>
        <v>120000</v>
      </c>
      <c r="N365" s="20">
        <f>'Working Sheet'!$J365*'Working Sheet'!$K365</f>
        <v>450000</v>
      </c>
      <c r="O365" s="21">
        <f>'Working Sheet'!$M365*'Working Sheet'!$K365</f>
        <v>360000</v>
      </c>
      <c r="P365" s="20">
        <f>'Working Sheet'!$N365-'Working Sheet'!$O365</f>
        <v>90000</v>
      </c>
    </row>
    <row r="366" spans="1:16" ht="14.25" customHeight="1" x14ac:dyDescent="0.25">
      <c r="A366" s="23" t="str">
        <f t="shared" ca="1" si="10"/>
        <v>ID_1360</v>
      </c>
      <c r="B366" s="22">
        <v>45761</v>
      </c>
      <c r="C366" s="23" t="str">
        <f>TEXT('Working Sheet'!$B366,"mmm")</f>
        <v>Apr</v>
      </c>
      <c r="D366" s="23" t="s">
        <v>11</v>
      </c>
      <c r="E366" s="23" t="s">
        <v>12</v>
      </c>
      <c r="F366" s="23" t="s">
        <v>23</v>
      </c>
      <c r="G366" s="23" t="s">
        <v>14</v>
      </c>
      <c r="H366" s="23" t="s">
        <v>36</v>
      </c>
      <c r="I366" s="23" t="s">
        <v>31</v>
      </c>
      <c r="J366" s="24">
        <v>150000</v>
      </c>
      <c r="K366" s="23">
        <v>3</v>
      </c>
      <c r="L366" s="23" t="s">
        <v>17</v>
      </c>
      <c r="M366" s="25">
        <f t="shared" si="11"/>
        <v>120000</v>
      </c>
      <c r="N366" s="25">
        <f>'Working Sheet'!$J366*'Working Sheet'!$K366</f>
        <v>450000</v>
      </c>
      <c r="O366" s="26">
        <f>'Working Sheet'!$M366*'Working Sheet'!$K366</f>
        <v>360000</v>
      </c>
      <c r="P366" s="25">
        <f>'Working Sheet'!$N366-'Working Sheet'!$O366</f>
        <v>90000</v>
      </c>
    </row>
    <row r="367" spans="1:16" ht="14.25" customHeight="1" x14ac:dyDescent="0.25">
      <c r="A367" s="18" t="str">
        <f t="shared" ca="1" si="10"/>
        <v>ID_1776</v>
      </c>
      <c r="B367" s="17">
        <v>45777</v>
      </c>
      <c r="C367" s="18" t="str">
        <f>TEXT('Working Sheet'!$B367,"mmm")</f>
        <v>Apr</v>
      </c>
      <c r="D367" s="18" t="s">
        <v>18</v>
      </c>
      <c r="E367" s="18" t="s">
        <v>26</v>
      </c>
      <c r="F367" s="18" t="s">
        <v>23</v>
      </c>
      <c r="G367" s="18" t="s">
        <v>20</v>
      </c>
      <c r="H367" s="18" t="s">
        <v>15</v>
      </c>
      <c r="I367" s="18" t="s">
        <v>16</v>
      </c>
      <c r="J367" s="19">
        <v>85000</v>
      </c>
      <c r="K367" s="18">
        <v>8</v>
      </c>
      <c r="L367" s="18" t="s">
        <v>17</v>
      </c>
      <c r="M367" s="20">
        <f t="shared" si="11"/>
        <v>68000</v>
      </c>
      <c r="N367" s="20">
        <f>'Working Sheet'!$J367*'Working Sheet'!$K367</f>
        <v>680000</v>
      </c>
      <c r="O367" s="21">
        <f>'Working Sheet'!$M367*'Working Sheet'!$K367</f>
        <v>544000</v>
      </c>
      <c r="P367" s="20">
        <f>'Working Sheet'!$N367-'Working Sheet'!$O367</f>
        <v>136000</v>
      </c>
    </row>
    <row r="368" spans="1:16" ht="14.25" customHeight="1" x14ac:dyDescent="0.25">
      <c r="A368" s="23" t="str">
        <f t="shared" ca="1" si="10"/>
        <v>ID_1843</v>
      </c>
      <c r="B368" s="22">
        <v>45754</v>
      </c>
      <c r="C368" s="23" t="str">
        <f>TEXT('Working Sheet'!$B368,"mmm")</f>
        <v>Apr</v>
      </c>
      <c r="D368" s="23" t="s">
        <v>25</v>
      </c>
      <c r="E368" s="23" t="s">
        <v>26</v>
      </c>
      <c r="F368" s="23" t="s">
        <v>23</v>
      </c>
      <c r="G368" s="23" t="s">
        <v>14</v>
      </c>
      <c r="H368" s="23" t="s">
        <v>38</v>
      </c>
      <c r="I368" s="23" t="s">
        <v>31</v>
      </c>
      <c r="J368" s="24">
        <v>420000</v>
      </c>
      <c r="K368" s="23">
        <v>7</v>
      </c>
      <c r="L368" s="23" t="s">
        <v>17</v>
      </c>
      <c r="M368" s="25">
        <f t="shared" si="11"/>
        <v>336000</v>
      </c>
      <c r="N368" s="25">
        <f>'Working Sheet'!$J368*'Working Sheet'!$K368</f>
        <v>2940000</v>
      </c>
      <c r="O368" s="26">
        <f>'Working Sheet'!$M368*'Working Sheet'!$K368</f>
        <v>2352000</v>
      </c>
      <c r="P368" s="25">
        <f>'Working Sheet'!$N368-'Working Sheet'!$O368</f>
        <v>588000</v>
      </c>
    </row>
    <row r="369" spans="1:16" ht="14.25" customHeight="1" x14ac:dyDescent="0.25">
      <c r="A369" s="18" t="str">
        <f t="shared" ca="1" si="10"/>
        <v>ID_315</v>
      </c>
      <c r="B369" s="17">
        <v>45679</v>
      </c>
      <c r="C369" s="18" t="str">
        <f>TEXT('Working Sheet'!$B369,"mmm")</f>
        <v>Jan</v>
      </c>
      <c r="D369" s="18" t="s">
        <v>18</v>
      </c>
      <c r="E369" s="18" t="s">
        <v>32</v>
      </c>
      <c r="F369" s="18" t="s">
        <v>23</v>
      </c>
      <c r="G369" s="18" t="s">
        <v>20</v>
      </c>
      <c r="H369" s="18" t="s">
        <v>36</v>
      </c>
      <c r="I369" s="18" t="s">
        <v>31</v>
      </c>
      <c r="J369" s="19">
        <v>150000</v>
      </c>
      <c r="K369" s="18">
        <v>3</v>
      </c>
      <c r="L369" s="18" t="s">
        <v>24</v>
      </c>
      <c r="M369" s="20">
        <f t="shared" si="11"/>
        <v>120000</v>
      </c>
      <c r="N369" s="20">
        <f>'Working Sheet'!$J369*'Working Sheet'!$K369</f>
        <v>450000</v>
      </c>
      <c r="O369" s="21">
        <f>'Working Sheet'!$M369*'Working Sheet'!$K369</f>
        <v>360000</v>
      </c>
      <c r="P369" s="20">
        <f>'Working Sheet'!$N369-'Working Sheet'!$O369</f>
        <v>90000</v>
      </c>
    </row>
    <row r="370" spans="1:16" ht="14.25" customHeight="1" x14ac:dyDescent="0.25">
      <c r="A370" s="23" t="str">
        <f t="shared" ca="1" si="10"/>
        <v>ID_957</v>
      </c>
      <c r="B370" s="22">
        <v>45772</v>
      </c>
      <c r="C370" s="23" t="str">
        <f>TEXT('Working Sheet'!$B370,"mmm")</f>
        <v>Apr</v>
      </c>
      <c r="D370" s="23" t="s">
        <v>11</v>
      </c>
      <c r="E370" s="23" t="s">
        <v>32</v>
      </c>
      <c r="F370" s="23" t="s">
        <v>23</v>
      </c>
      <c r="G370" s="23" t="s">
        <v>20</v>
      </c>
      <c r="H370" s="23" t="s">
        <v>34</v>
      </c>
      <c r="I370" s="23" t="s">
        <v>16</v>
      </c>
      <c r="J370" s="24">
        <v>320000</v>
      </c>
      <c r="K370" s="23">
        <v>1</v>
      </c>
      <c r="L370" s="23" t="s">
        <v>28</v>
      </c>
      <c r="M370" s="25">
        <f t="shared" si="11"/>
        <v>256000</v>
      </c>
      <c r="N370" s="25">
        <f>'Working Sheet'!$J370*'Working Sheet'!$K370</f>
        <v>320000</v>
      </c>
      <c r="O370" s="26">
        <f>'Working Sheet'!$M370*'Working Sheet'!$K370</f>
        <v>256000</v>
      </c>
      <c r="P370" s="25">
        <f>'Working Sheet'!$N370-'Working Sheet'!$O370</f>
        <v>64000</v>
      </c>
    </row>
    <row r="371" spans="1:16" ht="14.25" customHeight="1" x14ac:dyDescent="0.25">
      <c r="A371" s="18" t="str">
        <f t="shared" ca="1" si="10"/>
        <v>ID_1534</v>
      </c>
      <c r="B371" s="17">
        <v>45697</v>
      </c>
      <c r="C371" s="18" t="str">
        <f>TEXT('Working Sheet'!$B371,"mmm")</f>
        <v>Feb</v>
      </c>
      <c r="D371" s="18" t="s">
        <v>18</v>
      </c>
      <c r="E371" s="18" t="s">
        <v>32</v>
      </c>
      <c r="F371" s="18" t="s">
        <v>23</v>
      </c>
      <c r="G371" s="18" t="s">
        <v>14</v>
      </c>
      <c r="H371" s="18" t="s">
        <v>33</v>
      </c>
      <c r="I371" s="18" t="s">
        <v>22</v>
      </c>
      <c r="J371" s="19">
        <v>180000</v>
      </c>
      <c r="K371" s="18">
        <v>5</v>
      </c>
      <c r="L371" s="18" t="s">
        <v>17</v>
      </c>
      <c r="M371" s="20">
        <f t="shared" si="11"/>
        <v>144000</v>
      </c>
      <c r="N371" s="20">
        <f>'Working Sheet'!$J371*'Working Sheet'!$K371</f>
        <v>900000</v>
      </c>
      <c r="O371" s="21">
        <f>'Working Sheet'!$M371*'Working Sheet'!$K371</f>
        <v>720000</v>
      </c>
      <c r="P371" s="20">
        <f>'Working Sheet'!$N371-'Working Sheet'!$O371</f>
        <v>180000</v>
      </c>
    </row>
    <row r="372" spans="1:16" ht="14.25" customHeight="1" x14ac:dyDescent="0.25">
      <c r="A372" s="23" t="str">
        <f t="shared" ca="1" si="10"/>
        <v>ID_868</v>
      </c>
      <c r="B372" s="22">
        <v>45744</v>
      </c>
      <c r="C372" s="23" t="str">
        <f>TEXT('Working Sheet'!$B372,"mmm")</f>
        <v>Mar</v>
      </c>
      <c r="D372" s="23" t="s">
        <v>29</v>
      </c>
      <c r="E372" s="23" t="s">
        <v>26</v>
      </c>
      <c r="F372" s="23" t="s">
        <v>23</v>
      </c>
      <c r="G372" s="23" t="s">
        <v>20</v>
      </c>
      <c r="H372" s="23" t="s">
        <v>30</v>
      </c>
      <c r="I372" s="23" t="s">
        <v>31</v>
      </c>
      <c r="J372" s="24">
        <v>300000</v>
      </c>
      <c r="K372" s="23">
        <v>1</v>
      </c>
      <c r="L372" s="23" t="s">
        <v>28</v>
      </c>
      <c r="M372" s="25">
        <f t="shared" si="11"/>
        <v>240000</v>
      </c>
      <c r="N372" s="25">
        <f>'Working Sheet'!$J372*'Working Sheet'!$K372</f>
        <v>300000</v>
      </c>
      <c r="O372" s="26">
        <f>'Working Sheet'!$M372*'Working Sheet'!$K372</f>
        <v>240000</v>
      </c>
      <c r="P372" s="25">
        <f>'Working Sheet'!$N372-'Working Sheet'!$O372</f>
        <v>60000</v>
      </c>
    </row>
    <row r="373" spans="1:16" ht="14.25" customHeight="1" x14ac:dyDescent="0.25">
      <c r="A373" s="18" t="str">
        <f t="shared" ca="1" si="10"/>
        <v>ID_819</v>
      </c>
      <c r="B373" s="17">
        <v>45756</v>
      </c>
      <c r="C373" s="18" t="str">
        <f>TEXT('Working Sheet'!$B373,"mmm")</f>
        <v>Apr</v>
      </c>
      <c r="D373" s="18" t="s">
        <v>18</v>
      </c>
      <c r="E373" s="18" t="s">
        <v>12</v>
      </c>
      <c r="F373" s="18" t="s">
        <v>23</v>
      </c>
      <c r="G373" s="18" t="s">
        <v>14</v>
      </c>
      <c r="H373" s="18" t="s">
        <v>33</v>
      </c>
      <c r="I373" s="18" t="s">
        <v>22</v>
      </c>
      <c r="J373" s="19">
        <v>180000</v>
      </c>
      <c r="K373" s="18">
        <v>8</v>
      </c>
      <c r="L373" s="18" t="s">
        <v>37</v>
      </c>
      <c r="M373" s="20">
        <f t="shared" si="11"/>
        <v>144000</v>
      </c>
      <c r="N373" s="20">
        <f>'Working Sheet'!$J373*'Working Sheet'!$K373</f>
        <v>1440000</v>
      </c>
      <c r="O373" s="21">
        <f>'Working Sheet'!$M373*'Working Sheet'!$K373</f>
        <v>1152000</v>
      </c>
      <c r="P373" s="20">
        <f>'Working Sheet'!$N373-'Working Sheet'!$O373</f>
        <v>288000</v>
      </c>
    </row>
    <row r="374" spans="1:16" ht="14.25" customHeight="1" x14ac:dyDescent="0.25">
      <c r="A374" s="23" t="str">
        <f t="shared" ca="1" si="10"/>
        <v>ID_569</v>
      </c>
      <c r="B374" s="22">
        <v>45752</v>
      </c>
      <c r="C374" s="23" t="str">
        <f>TEXT('Working Sheet'!$B374,"mmm")</f>
        <v>Apr</v>
      </c>
      <c r="D374" s="23" t="s">
        <v>25</v>
      </c>
      <c r="E374" s="23" t="s">
        <v>26</v>
      </c>
      <c r="F374" s="23" t="s">
        <v>23</v>
      </c>
      <c r="G374" s="23" t="s">
        <v>14</v>
      </c>
      <c r="H374" s="23" t="s">
        <v>33</v>
      </c>
      <c r="I374" s="23" t="s">
        <v>22</v>
      </c>
      <c r="J374" s="24">
        <v>180000</v>
      </c>
      <c r="K374" s="23">
        <v>3</v>
      </c>
      <c r="L374" s="23" t="s">
        <v>35</v>
      </c>
      <c r="M374" s="25">
        <f t="shared" si="11"/>
        <v>144000</v>
      </c>
      <c r="N374" s="25">
        <f>'Working Sheet'!$J374*'Working Sheet'!$K374</f>
        <v>540000</v>
      </c>
      <c r="O374" s="26">
        <f>'Working Sheet'!$M374*'Working Sheet'!$K374</f>
        <v>432000</v>
      </c>
      <c r="P374" s="25">
        <f>'Working Sheet'!$N374-'Working Sheet'!$O374</f>
        <v>108000</v>
      </c>
    </row>
    <row r="375" spans="1:16" ht="14.25" customHeight="1" x14ac:dyDescent="0.25">
      <c r="A375" s="18" t="str">
        <f t="shared" ca="1" si="10"/>
        <v>ID_1443</v>
      </c>
      <c r="B375" s="17">
        <v>45668</v>
      </c>
      <c r="C375" s="18" t="str">
        <f>TEXT('Working Sheet'!$B375,"mmm")</f>
        <v>Jan</v>
      </c>
      <c r="D375" s="18" t="s">
        <v>11</v>
      </c>
      <c r="E375" s="18" t="s">
        <v>32</v>
      </c>
      <c r="F375" s="18" t="s">
        <v>23</v>
      </c>
      <c r="G375" s="18" t="s">
        <v>20</v>
      </c>
      <c r="H375" s="18" t="s">
        <v>34</v>
      </c>
      <c r="I375" s="18" t="s">
        <v>16</v>
      </c>
      <c r="J375" s="19">
        <v>320000</v>
      </c>
      <c r="K375" s="18">
        <v>6</v>
      </c>
      <c r="L375" s="18" t="s">
        <v>39</v>
      </c>
      <c r="M375" s="20">
        <f t="shared" si="11"/>
        <v>256000</v>
      </c>
      <c r="N375" s="20">
        <f>'Working Sheet'!$J375*'Working Sheet'!$K375</f>
        <v>1920000</v>
      </c>
      <c r="O375" s="21">
        <f>'Working Sheet'!$M375*'Working Sheet'!$K375</f>
        <v>1536000</v>
      </c>
      <c r="P375" s="20">
        <f>'Working Sheet'!$N375-'Working Sheet'!$O375</f>
        <v>384000</v>
      </c>
    </row>
    <row r="376" spans="1:16" ht="14.25" customHeight="1" x14ac:dyDescent="0.25">
      <c r="A376" s="23" t="str">
        <f t="shared" ca="1" si="10"/>
        <v>ID_826</v>
      </c>
      <c r="B376" s="22">
        <v>45675</v>
      </c>
      <c r="C376" s="23" t="str">
        <f>TEXT('Working Sheet'!$B376,"mmm")</f>
        <v>Jan</v>
      </c>
      <c r="D376" s="23" t="s">
        <v>11</v>
      </c>
      <c r="E376" s="23" t="s">
        <v>32</v>
      </c>
      <c r="F376" s="23" t="s">
        <v>23</v>
      </c>
      <c r="G376" s="23" t="s">
        <v>20</v>
      </c>
      <c r="H376" s="23" t="s">
        <v>27</v>
      </c>
      <c r="I376" s="23" t="s">
        <v>22</v>
      </c>
      <c r="J376" s="24">
        <v>60000</v>
      </c>
      <c r="K376" s="23">
        <v>10</v>
      </c>
      <c r="L376" s="23" t="s">
        <v>17</v>
      </c>
      <c r="M376" s="25">
        <f t="shared" si="11"/>
        <v>48000</v>
      </c>
      <c r="N376" s="25">
        <f>'Working Sheet'!$J376*'Working Sheet'!$K376</f>
        <v>600000</v>
      </c>
      <c r="O376" s="26">
        <f>'Working Sheet'!$M376*'Working Sheet'!$K376</f>
        <v>480000</v>
      </c>
      <c r="P376" s="25">
        <f>'Working Sheet'!$N376-'Working Sheet'!$O376</f>
        <v>120000</v>
      </c>
    </row>
    <row r="377" spans="1:16" ht="14.25" customHeight="1" x14ac:dyDescent="0.25">
      <c r="A377" s="18" t="str">
        <f t="shared" ca="1" si="10"/>
        <v>ID_1311</v>
      </c>
      <c r="B377" s="17">
        <v>45712</v>
      </c>
      <c r="C377" s="18" t="str">
        <f>TEXT('Working Sheet'!$B377,"mmm")</f>
        <v>Feb</v>
      </c>
      <c r="D377" s="18" t="s">
        <v>25</v>
      </c>
      <c r="E377" s="18" t="s">
        <v>19</v>
      </c>
      <c r="F377" s="18" t="s">
        <v>23</v>
      </c>
      <c r="G377" s="18" t="s">
        <v>20</v>
      </c>
      <c r="H377" s="18" t="s">
        <v>30</v>
      </c>
      <c r="I377" s="18" t="s">
        <v>31</v>
      </c>
      <c r="J377" s="19">
        <v>300000</v>
      </c>
      <c r="K377" s="18">
        <v>1</v>
      </c>
      <c r="L377" s="18" t="s">
        <v>37</v>
      </c>
      <c r="M377" s="20">
        <f t="shared" si="11"/>
        <v>240000</v>
      </c>
      <c r="N377" s="20">
        <f>'Working Sheet'!$J377*'Working Sheet'!$K377</f>
        <v>300000</v>
      </c>
      <c r="O377" s="21">
        <f>'Working Sheet'!$M377*'Working Sheet'!$K377</f>
        <v>240000</v>
      </c>
      <c r="P377" s="20">
        <f>'Working Sheet'!$N377-'Working Sheet'!$O377</f>
        <v>60000</v>
      </c>
    </row>
    <row r="378" spans="1:16" ht="14.25" customHeight="1" x14ac:dyDescent="0.25">
      <c r="A378" s="23" t="str">
        <f t="shared" ca="1" si="10"/>
        <v>ID_1198</v>
      </c>
      <c r="B378" s="22">
        <v>45727</v>
      </c>
      <c r="C378" s="23" t="str">
        <f>TEXT('Working Sheet'!$B378,"mmm")</f>
        <v>Mar</v>
      </c>
      <c r="D378" s="23" t="s">
        <v>11</v>
      </c>
      <c r="E378" s="23" t="s">
        <v>19</v>
      </c>
      <c r="F378" s="23" t="s">
        <v>23</v>
      </c>
      <c r="G378" s="23" t="s">
        <v>14</v>
      </c>
      <c r="H378" s="23" t="s">
        <v>33</v>
      </c>
      <c r="I378" s="23" t="s">
        <v>22</v>
      </c>
      <c r="J378" s="24">
        <v>180000</v>
      </c>
      <c r="K378" s="23">
        <v>1</v>
      </c>
      <c r="L378" s="23" t="s">
        <v>24</v>
      </c>
      <c r="M378" s="25">
        <f t="shared" si="11"/>
        <v>144000</v>
      </c>
      <c r="N378" s="25">
        <f>'Working Sheet'!$J378*'Working Sheet'!$K378</f>
        <v>180000</v>
      </c>
      <c r="O378" s="26">
        <f>'Working Sheet'!$M378*'Working Sheet'!$K378</f>
        <v>144000</v>
      </c>
      <c r="P378" s="25">
        <f>'Working Sheet'!$N378-'Working Sheet'!$O378</f>
        <v>36000</v>
      </c>
    </row>
    <row r="379" spans="1:16" ht="14.25" customHeight="1" x14ac:dyDescent="0.25">
      <c r="A379" s="18" t="str">
        <f t="shared" ca="1" si="10"/>
        <v>ID_920</v>
      </c>
      <c r="B379" s="17">
        <v>45679</v>
      </c>
      <c r="C379" s="18" t="str">
        <f>TEXT('Working Sheet'!$B379,"mmm")</f>
        <v>Jan</v>
      </c>
      <c r="D379" s="18" t="s">
        <v>18</v>
      </c>
      <c r="E379" s="18" t="s">
        <v>19</v>
      </c>
      <c r="F379" s="18" t="s">
        <v>13</v>
      </c>
      <c r="G379" s="18" t="s">
        <v>20</v>
      </c>
      <c r="H379" s="18" t="s">
        <v>41</v>
      </c>
      <c r="I379" s="18" t="s">
        <v>22</v>
      </c>
      <c r="J379" s="19">
        <v>220000</v>
      </c>
      <c r="K379" s="18">
        <v>8</v>
      </c>
      <c r="L379" s="18" t="s">
        <v>37</v>
      </c>
      <c r="M379" s="20">
        <f t="shared" si="11"/>
        <v>176000</v>
      </c>
      <c r="N379" s="20">
        <f>'Working Sheet'!$J379*'Working Sheet'!$K379</f>
        <v>1760000</v>
      </c>
      <c r="O379" s="21">
        <f>'Working Sheet'!$M379*'Working Sheet'!$K379</f>
        <v>1408000</v>
      </c>
      <c r="P379" s="20">
        <f>'Working Sheet'!$N379-'Working Sheet'!$O379</f>
        <v>352000</v>
      </c>
    </row>
    <row r="380" spans="1:16" ht="14.25" customHeight="1" x14ac:dyDescent="0.25">
      <c r="A380" s="23" t="str">
        <f t="shared" ca="1" si="10"/>
        <v>ID_371</v>
      </c>
      <c r="B380" s="22">
        <v>45689</v>
      </c>
      <c r="C380" s="23" t="str">
        <f>TEXT('Working Sheet'!$B380,"mmm")</f>
        <v>Feb</v>
      </c>
      <c r="D380" s="23" t="s">
        <v>29</v>
      </c>
      <c r="E380" s="23" t="s">
        <v>19</v>
      </c>
      <c r="F380" s="23" t="s">
        <v>23</v>
      </c>
      <c r="G380" s="23" t="s">
        <v>20</v>
      </c>
      <c r="H380" s="23" t="s">
        <v>15</v>
      </c>
      <c r="I380" s="23" t="s">
        <v>16</v>
      </c>
      <c r="J380" s="24">
        <v>85000</v>
      </c>
      <c r="K380" s="23">
        <v>7</v>
      </c>
      <c r="L380" s="23" t="s">
        <v>28</v>
      </c>
      <c r="M380" s="25">
        <f t="shared" si="11"/>
        <v>68000</v>
      </c>
      <c r="N380" s="25">
        <f>'Working Sheet'!$J380*'Working Sheet'!$K380</f>
        <v>595000</v>
      </c>
      <c r="O380" s="26">
        <f>'Working Sheet'!$M380*'Working Sheet'!$K380</f>
        <v>476000</v>
      </c>
      <c r="P380" s="25">
        <f>'Working Sheet'!$N380-'Working Sheet'!$O380</f>
        <v>119000</v>
      </c>
    </row>
    <row r="381" spans="1:16" ht="14.25" customHeight="1" x14ac:dyDescent="0.25">
      <c r="A381" s="18" t="str">
        <f t="shared" ca="1" si="10"/>
        <v>ID_1079</v>
      </c>
      <c r="B381" s="17">
        <v>45697</v>
      </c>
      <c r="C381" s="18" t="str">
        <f>TEXT('Working Sheet'!$B381,"mmm")</f>
        <v>Feb</v>
      </c>
      <c r="D381" s="18" t="s">
        <v>11</v>
      </c>
      <c r="E381" s="18" t="s">
        <v>12</v>
      </c>
      <c r="F381" s="18" t="s">
        <v>13</v>
      </c>
      <c r="G381" s="18" t="s">
        <v>20</v>
      </c>
      <c r="H381" s="18" t="s">
        <v>33</v>
      </c>
      <c r="I381" s="18" t="s">
        <v>22</v>
      </c>
      <c r="J381" s="19">
        <v>180000</v>
      </c>
      <c r="K381" s="18">
        <v>9</v>
      </c>
      <c r="L381" s="18" t="s">
        <v>39</v>
      </c>
      <c r="M381" s="20">
        <f t="shared" si="11"/>
        <v>144000</v>
      </c>
      <c r="N381" s="20">
        <f>'Working Sheet'!$J381*'Working Sheet'!$K381</f>
        <v>1620000</v>
      </c>
      <c r="O381" s="21">
        <f>'Working Sheet'!$M381*'Working Sheet'!$K381</f>
        <v>1296000</v>
      </c>
      <c r="P381" s="20">
        <f>'Working Sheet'!$N381-'Working Sheet'!$O381</f>
        <v>324000</v>
      </c>
    </row>
    <row r="382" spans="1:16" ht="14.25" customHeight="1" x14ac:dyDescent="0.25">
      <c r="A382" s="23" t="str">
        <f t="shared" ca="1" si="10"/>
        <v>ID_2033</v>
      </c>
      <c r="B382" s="22">
        <v>45691</v>
      </c>
      <c r="C382" s="23" t="str">
        <f>TEXT('Working Sheet'!$B382,"mmm")</f>
        <v>Feb</v>
      </c>
      <c r="D382" s="23" t="s">
        <v>29</v>
      </c>
      <c r="E382" s="23" t="s">
        <v>12</v>
      </c>
      <c r="F382" s="23" t="s">
        <v>23</v>
      </c>
      <c r="G382" s="23" t="s">
        <v>14</v>
      </c>
      <c r="H382" s="23" t="s">
        <v>34</v>
      </c>
      <c r="I382" s="23" t="s">
        <v>16</v>
      </c>
      <c r="J382" s="24">
        <v>320000</v>
      </c>
      <c r="K382" s="23">
        <v>3</v>
      </c>
      <c r="L382" s="23" t="s">
        <v>35</v>
      </c>
      <c r="M382" s="25">
        <f t="shared" si="11"/>
        <v>256000</v>
      </c>
      <c r="N382" s="25">
        <f>'Working Sheet'!$J382*'Working Sheet'!$K382</f>
        <v>960000</v>
      </c>
      <c r="O382" s="26">
        <f>'Working Sheet'!$M382*'Working Sheet'!$K382</f>
        <v>768000</v>
      </c>
      <c r="P382" s="25">
        <f>'Working Sheet'!$N382-'Working Sheet'!$O382</f>
        <v>192000</v>
      </c>
    </row>
    <row r="383" spans="1:16" ht="14.25" customHeight="1" x14ac:dyDescent="0.25">
      <c r="A383" s="18" t="str">
        <f t="shared" ca="1" si="10"/>
        <v>ID_295</v>
      </c>
      <c r="B383" s="17">
        <v>45748</v>
      </c>
      <c r="C383" s="18" t="str">
        <f>TEXT('Working Sheet'!$B383,"mmm")</f>
        <v>Apr</v>
      </c>
      <c r="D383" s="18" t="s">
        <v>29</v>
      </c>
      <c r="E383" s="18" t="s">
        <v>12</v>
      </c>
      <c r="F383" s="18" t="s">
        <v>23</v>
      </c>
      <c r="G383" s="18" t="s">
        <v>14</v>
      </c>
      <c r="H383" s="18" t="s">
        <v>36</v>
      </c>
      <c r="I383" s="18" t="s">
        <v>31</v>
      </c>
      <c r="J383" s="19">
        <v>150000</v>
      </c>
      <c r="K383" s="18">
        <v>4</v>
      </c>
      <c r="L383" s="18" t="s">
        <v>17</v>
      </c>
      <c r="M383" s="20">
        <f t="shared" si="11"/>
        <v>120000</v>
      </c>
      <c r="N383" s="20">
        <f>'Working Sheet'!$J383*'Working Sheet'!$K383</f>
        <v>600000</v>
      </c>
      <c r="O383" s="21">
        <f>'Working Sheet'!$M383*'Working Sheet'!$K383</f>
        <v>480000</v>
      </c>
      <c r="P383" s="20">
        <f>'Working Sheet'!$N383-'Working Sheet'!$O383</f>
        <v>120000</v>
      </c>
    </row>
    <row r="384" spans="1:16" ht="14.25" customHeight="1" x14ac:dyDescent="0.25">
      <c r="A384" s="23" t="str">
        <f t="shared" ca="1" si="10"/>
        <v>ID_1426</v>
      </c>
      <c r="B384" s="22">
        <v>45749</v>
      </c>
      <c r="C384" s="23" t="str">
        <f>TEXT('Working Sheet'!$B384,"mmm")</f>
        <v>Apr</v>
      </c>
      <c r="D384" s="23" t="s">
        <v>18</v>
      </c>
      <c r="E384" s="23" t="s">
        <v>19</v>
      </c>
      <c r="F384" s="23" t="s">
        <v>13</v>
      </c>
      <c r="G384" s="23" t="s">
        <v>14</v>
      </c>
      <c r="H384" s="23" t="s">
        <v>41</v>
      </c>
      <c r="I384" s="23" t="s">
        <v>22</v>
      </c>
      <c r="J384" s="24">
        <v>220000</v>
      </c>
      <c r="K384" s="23">
        <v>10</v>
      </c>
      <c r="L384" s="23" t="s">
        <v>39</v>
      </c>
      <c r="M384" s="25">
        <f t="shared" si="11"/>
        <v>176000</v>
      </c>
      <c r="N384" s="25">
        <f>'Working Sheet'!$J384*'Working Sheet'!$K384</f>
        <v>2200000</v>
      </c>
      <c r="O384" s="26">
        <f>'Working Sheet'!$M384*'Working Sheet'!$K384</f>
        <v>1760000</v>
      </c>
      <c r="P384" s="25">
        <f>'Working Sheet'!$N384-'Working Sheet'!$O384</f>
        <v>440000</v>
      </c>
    </row>
    <row r="385" spans="1:16" ht="14.25" customHeight="1" x14ac:dyDescent="0.25">
      <c r="A385" s="18" t="str">
        <f t="shared" ca="1" si="10"/>
        <v>ID_425</v>
      </c>
      <c r="B385" s="17">
        <v>45703</v>
      </c>
      <c r="C385" s="18" t="str">
        <f>TEXT('Working Sheet'!$B385,"mmm")</f>
        <v>Feb</v>
      </c>
      <c r="D385" s="18" t="s">
        <v>25</v>
      </c>
      <c r="E385" s="18" t="s">
        <v>12</v>
      </c>
      <c r="F385" s="18" t="s">
        <v>23</v>
      </c>
      <c r="G385" s="18" t="s">
        <v>14</v>
      </c>
      <c r="H385" s="18" t="s">
        <v>36</v>
      </c>
      <c r="I385" s="18" t="s">
        <v>31</v>
      </c>
      <c r="J385" s="19">
        <v>150000</v>
      </c>
      <c r="K385" s="18">
        <v>6</v>
      </c>
      <c r="L385" s="18" t="s">
        <v>17</v>
      </c>
      <c r="M385" s="20">
        <f t="shared" si="11"/>
        <v>120000</v>
      </c>
      <c r="N385" s="20">
        <f>'Working Sheet'!$J385*'Working Sheet'!$K385</f>
        <v>900000</v>
      </c>
      <c r="O385" s="21">
        <f>'Working Sheet'!$M385*'Working Sheet'!$K385</f>
        <v>720000</v>
      </c>
      <c r="P385" s="20">
        <f>'Working Sheet'!$N385-'Working Sheet'!$O385</f>
        <v>180000</v>
      </c>
    </row>
    <row r="386" spans="1:16" ht="14.25" customHeight="1" x14ac:dyDescent="0.25">
      <c r="A386" s="23" t="str">
        <f t="shared" ref="A386:A449" ca="1" si="12">"ID_"&amp; RANDBETWEEN(1,2098)</f>
        <v>ID_1435</v>
      </c>
      <c r="B386" s="22">
        <v>45672</v>
      </c>
      <c r="C386" s="23" t="str">
        <f>TEXT('Working Sheet'!$B386,"mmm")</f>
        <v>Jan</v>
      </c>
      <c r="D386" s="23" t="s">
        <v>11</v>
      </c>
      <c r="E386" s="23" t="s">
        <v>19</v>
      </c>
      <c r="F386" s="23" t="s">
        <v>23</v>
      </c>
      <c r="G386" s="23" t="s">
        <v>20</v>
      </c>
      <c r="H386" s="23" t="s">
        <v>33</v>
      </c>
      <c r="I386" s="23" t="s">
        <v>22</v>
      </c>
      <c r="J386" s="24">
        <v>180000</v>
      </c>
      <c r="K386" s="23">
        <v>1</v>
      </c>
      <c r="L386" s="23" t="s">
        <v>28</v>
      </c>
      <c r="M386" s="25">
        <f t="shared" ref="M386:M449" si="13">J386-J386*0.2</f>
        <v>144000</v>
      </c>
      <c r="N386" s="25">
        <f>'Working Sheet'!$J386*'Working Sheet'!$K386</f>
        <v>180000</v>
      </c>
      <c r="O386" s="26">
        <f>'Working Sheet'!$M386*'Working Sheet'!$K386</f>
        <v>144000</v>
      </c>
      <c r="P386" s="25">
        <f>'Working Sheet'!$N386-'Working Sheet'!$O386</f>
        <v>36000</v>
      </c>
    </row>
    <row r="387" spans="1:16" ht="14.25" customHeight="1" x14ac:dyDescent="0.25">
      <c r="A387" s="18" t="str">
        <f t="shared" ca="1" si="12"/>
        <v>ID_1126</v>
      </c>
      <c r="B387" s="17">
        <v>45768</v>
      </c>
      <c r="C387" s="18" t="str">
        <f>TEXT('Working Sheet'!$B387,"mmm")</f>
        <v>Apr</v>
      </c>
      <c r="D387" s="18" t="s">
        <v>18</v>
      </c>
      <c r="E387" s="18" t="s">
        <v>26</v>
      </c>
      <c r="F387" s="18" t="s">
        <v>13</v>
      </c>
      <c r="G387" s="18" t="s">
        <v>14</v>
      </c>
      <c r="H387" s="18" t="s">
        <v>21</v>
      </c>
      <c r="I387" s="18" t="s">
        <v>22</v>
      </c>
      <c r="J387" s="19">
        <v>30000</v>
      </c>
      <c r="K387" s="18">
        <v>2</v>
      </c>
      <c r="L387" s="18" t="s">
        <v>35</v>
      </c>
      <c r="M387" s="20">
        <f t="shared" si="13"/>
        <v>24000</v>
      </c>
      <c r="N387" s="20">
        <f>'Working Sheet'!$J387*'Working Sheet'!$K387</f>
        <v>60000</v>
      </c>
      <c r="O387" s="21">
        <f>'Working Sheet'!$M387*'Working Sheet'!$K387</f>
        <v>48000</v>
      </c>
      <c r="P387" s="20">
        <f>'Working Sheet'!$N387-'Working Sheet'!$O387</f>
        <v>12000</v>
      </c>
    </row>
    <row r="388" spans="1:16" ht="14.25" customHeight="1" x14ac:dyDescent="0.25">
      <c r="A388" s="23" t="str">
        <f t="shared" ca="1" si="12"/>
        <v>ID_1270</v>
      </c>
      <c r="B388" s="22">
        <v>45717</v>
      </c>
      <c r="C388" s="23" t="str">
        <f>TEXT('Working Sheet'!$B388,"mmm")</f>
        <v>Mar</v>
      </c>
      <c r="D388" s="23" t="s">
        <v>29</v>
      </c>
      <c r="E388" s="23" t="s">
        <v>32</v>
      </c>
      <c r="F388" s="23" t="s">
        <v>23</v>
      </c>
      <c r="G388" s="23" t="s">
        <v>14</v>
      </c>
      <c r="H388" s="23" t="s">
        <v>34</v>
      </c>
      <c r="I388" s="23" t="s">
        <v>16</v>
      </c>
      <c r="J388" s="24">
        <v>320000</v>
      </c>
      <c r="K388" s="23">
        <v>7</v>
      </c>
      <c r="L388" s="23" t="s">
        <v>17</v>
      </c>
      <c r="M388" s="25">
        <f t="shared" si="13"/>
        <v>256000</v>
      </c>
      <c r="N388" s="25">
        <f>'Working Sheet'!$J388*'Working Sheet'!$K388</f>
        <v>2240000</v>
      </c>
      <c r="O388" s="26">
        <f>'Working Sheet'!$M388*'Working Sheet'!$K388</f>
        <v>1792000</v>
      </c>
      <c r="P388" s="25">
        <f>'Working Sheet'!$N388-'Working Sheet'!$O388</f>
        <v>448000</v>
      </c>
    </row>
    <row r="389" spans="1:16" ht="14.25" customHeight="1" x14ac:dyDescent="0.25">
      <c r="A389" s="18" t="str">
        <f t="shared" ca="1" si="12"/>
        <v>ID_1824</v>
      </c>
      <c r="B389" s="17">
        <v>45695</v>
      </c>
      <c r="C389" s="18" t="str">
        <f>TEXT('Working Sheet'!$B389,"mmm")</f>
        <v>Feb</v>
      </c>
      <c r="D389" s="18" t="s">
        <v>29</v>
      </c>
      <c r="E389" s="18" t="s">
        <v>26</v>
      </c>
      <c r="F389" s="18" t="s">
        <v>13</v>
      </c>
      <c r="G389" s="18" t="s">
        <v>20</v>
      </c>
      <c r="H389" s="18" t="s">
        <v>15</v>
      </c>
      <c r="I389" s="18" t="s">
        <v>16</v>
      </c>
      <c r="J389" s="19">
        <v>85000</v>
      </c>
      <c r="K389" s="18">
        <v>10</v>
      </c>
      <c r="L389" s="18" t="s">
        <v>24</v>
      </c>
      <c r="M389" s="20">
        <f t="shared" si="13"/>
        <v>68000</v>
      </c>
      <c r="N389" s="20">
        <f>'Working Sheet'!$J389*'Working Sheet'!$K389</f>
        <v>850000</v>
      </c>
      <c r="O389" s="21">
        <f>'Working Sheet'!$M389*'Working Sheet'!$K389</f>
        <v>680000</v>
      </c>
      <c r="P389" s="20">
        <f>'Working Sheet'!$N389-'Working Sheet'!$O389</f>
        <v>170000</v>
      </c>
    </row>
    <row r="390" spans="1:16" ht="14.25" customHeight="1" x14ac:dyDescent="0.25">
      <c r="A390" s="23" t="str">
        <f t="shared" ca="1" si="12"/>
        <v>ID_162</v>
      </c>
      <c r="B390" s="22">
        <v>45752</v>
      </c>
      <c r="C390" s="23" t="str">
        <f>TEXT('Working Sheet'!$B390,"mmm")</f>
        <v>Apr</v>
      </c>
      <c r="D390" s="23" t="s">
        <v>18</v>
      </c>
      <c r="E390" s="23" t="s">
        <v>12</v>
      </c>
      <c r="F390" s="23" t="s">
        <v>23</v>
      </c>
      <c r="G390" s="23" t="s">
        <v>14</v>
      </c>
      <c r="H390" s="23" t="s">
        <v>33</v>
      </c>
      <c r="I390" s="23" t="s">
        <v>22</v>
      </c>
      <c r="J390" s="24">
        <v>180000</v>
      </c>
      <c r="K390" s="23">
        <v>7</v>
      </c>
      <c r="L390" s="23" t="s">
        <v>28</v>
      </c>
      <c r="M390" s="25">
        <f t="shared" si="13"/>
        <v>144000</v>
      </c>
      <c r="N390" s="25">
        <f>'Working Sheet'!$J390*'Working Sheet'!$K390</f>
        <v>1260000</v>
      </c>
      <c r="O390" s="26">
        <f>'Working Sheet'!$M390*'Working Sheet'!$K390</f>
        <v>1008000</v>
      </c>
      <c r="P390" s="25">
        <f>'Working Sheet'!$N390-'Working Sheet'!$O390</f>
        <v>252000</v>
      </c>
    </row>
    <row r="391" spans="1:16" ht="14.25" customHeight="1" x14ac:dyDescent="0.25">
      <c r="A391" s="18" t="str">
        <f t="shared" ca="1" si="12"/>
        <v>ID_1076</v>
      </c>
      <c r="B391" s="17">
        <v>45740</v>
      </c>
      <c r="C391" s="18" t="str">
        <f>TEXT('Working Sheet'!$B391,"mmm")</f>
        <v>Mar</v>
      </c>
      <c r="D391" s="18" t="s">
        <v>25</v>
      </c>
      <c r="E391" s="18" t="s">
        <v>19</v>
      </c>
      <c r="F391" s="18" t="s">
        <v>13</v>
      </c>
      <c r="G391" s="18" t="s">
        <v>14</v>
      </c>
      <c r="H391" s="18" t="s">
        <v>38</v>
      </c>
      <c r="I391" s="18" t="s">
        <v>31</v>
      </c>
      <c r="J391" s="19">
        <v>420000</v>
      </c>
      <c r="K391" s="18">
        <v>5</v>
      </c>
      <c r="L391" s="18" t="s">
        <v>35</v>
      </c>
      <c r="M391" s="20">
        <f t="shared" si="13"/>
        <v>336000</v>
      </c>
      <c r="N391" s="20">
        <f>'Working Sheet'!$J391*'Working Sheet'!$K391</f>
        <v>2100000</v>
      </c>
      <c r="O391" s="21">
        <f>'Working Sheet'!$M391*'Working Sheet'!$K391</f>
        <v>1680000</v>
      </c>
      <c r="P391" s="20">
        <f>'Working Sheet'!$N391-'Working Sheet'!$O391</f>
        <v>420000</v>
      </c>
    </row>
    <row r="392" spans="1:16" ht="14.25" customHeight="1" x14ac:dyDescent="0.25">
      <c r="A392" s="23" t="str">
        <f t="shared" ca="1" si="12"/>
        <v>ID_695</v>
      </c>
      <c r="B392" s="22">
        <v>45751</v>
      </c>
      <c r="C392" s="23" t="str">
        <f>TEXT('Working Sheet'!$B392,"mmm")</f>
        <v>Apr</v>
      </c>
      <c r="D392" s="23" t="s">
        <v>25</v>
      </c>
      <c r="E392" s="23" t="s">
        <v>32</v>
      </c>
      <c r="F392" s="23" t="s">
        <v>23</v>
      </c>
      <c r="G392" s="23" t="s">
        <v>20</v>
      </c>
      <c r="H392" s="23" t="s">
        <v>34</v>
      </c>
      <c r="I392" s="23" t="s">
        <v>16</v>
      </c>
      <c r="J392" s="24">
        <v>320000</v>
      </c>
      <c r="K392" s="23">
        <v>8</v>
      </c>
      <c r="L392" s="23" t="s">
        <v>24</v>
      </c>
      <c r="M392" s="25">
        <f t="shared" si="13"/>
        <v>256000</v>
      </c>
      <c r="N392" s="25">
        <f>'Working Sheet'!$J392*'Working Sheet'!$K392</f>
        <v>2560000</v>
      </c>
      <c r="O392" s="26">
        <f>'Working Sheet'!$M392*'Working Sheet'!$K392</f>
        <v>2048000</v>
      </c>
      <c r="P392" s="25">
        <f>'Working Sheet'!$N392-'Working Sheet'!$O392</f>
        <v>512000</v>
      </c>
    </row>
    <row r="393" spans="1:16" ht="14.25" customHeight="1" x14ac:dyDescent="0.25">
      <c r="A393" s="18" t="str">
        <f t="shared" ca="1" si="12"/>
        <v>ID_763</v>
      </c>
      <c r="B393" s="17">
        <v>45713</v>
      </c>
      <c r="C393" s="18" t="str">
        <f>TEXT('Working Sheet'!$B393,"mmm")</f>
        <v>Feb</v>
      </c>
      <c r="D393" s="18" t="s">
        <v>18</v>
      </c>
      <c r="E393" s="18" t="s">
        <v>26</v>
      </c>
      <c r="F393" s="18" t="s">
        <v>23</v>
      </c>
      <c r="G393" s="18" t="s">
        <v>20</v>
      </c>
      <c r="H393" s="18" t="s">
        <v>33</v>
      </c>
      <c r="I393" s="18" t="s">
        <v>22</v>
      </c>
      <c r="J393" s="19">
        <v>180000</v>
      </c>
      <c r="K393" s="18">
        <v>5</v>
      </c>
      <c r="L393" s="18" t="s">
        <v>28</v>
      </c>
      <c r="M393" s="20">
        <f t="shared" si="13"/>
        <v>144000</v>
      </c>
      <c r="N393" s="20">
        <f>'Working Sheet'!$J393*'Working Sheet'!$K393</f>
        <v>900000</v>
      </c>
      <c r="O393" s="21">
        <f>'Working Sheet'!$M393*'Working Sheet'!$K393</f>
        <v>720000</v>
      </c>
      <c r="P393" s="20">
        <f>'Working Sheet'!$N393-'Working Sheet'!$O393</f>
        <v>180000</v>
      </c>
    </row>
    <row r="394" spans="1:16" ht="14.25" customHeight="1" x14ac:dyDescent="0.25">
      <c r="A394" s="23" t="str">
        <f t="shared" ca="1" si="12"/>
        <v>ID_462</v>
      </c>
      <c r="B394" s="22">
        <v>45739</v>
      </c>
      <c r="C394" s="23" t="str">
        <f>TEXT('Working Sheet'!$B394,"mmm")</f>
        <v>Mar</v>
      </c>
      <c r="D394" s="23" t="s">
        <v>29</v>
      </c>
      <c r="E394" s="23" t="s">
        <v>12</v>
      </c>
      <c r="F394" s="23" t="s">
        <v>23</v>
      </c>
      <c r="G394" s="23" t="s">
        <v>20</v>
      </c>
      <c r="H394" s="23" t="s">
        <v>38</v>
      </c>
      <c r="I394" s="23" t="s">
        <v>31</v>
      </c>
      <c r="J394" s="24">
        <v>420000</v>
      </c>
      <c r="K394" s="23">
        <v>2</v>
      </c>
      <c r="L394" s="23" t="s">
        <v>17</v>
      </c>
      <c r="M394" s="25">
        <f t="shared" si="13"/>
        <v>336000</v>
      </c>
      <c r="N394" s="25">
        <f>'Working Sheet'!$J394*'Working Sheet'!$K394</f>
        <v>840000</v>
      </c>
      <c r="O394" s="26">
        <f>'Working Sheet'!$M394*'Working Sheet'!$K394</f>
        <v>672000</v>
      </c>
      <c r="P394" s="25">
        <f>'Working Sheet'!$N394-'Working Sheet'!$O394</f>
        <v>168000</v>
      </c>
    </row>
    <row r="395" spans="1:16" ht="14.25" customHeight="1" x14ac:dyDescent="0.25">
      <c r="A395" s="18" t="str">
        <f t="shared" ca="1" si="12"/>
        <v>ID_1898</v>
      </c>
      <c r="B395" s="17">
        <v>45744</v>
      </c>
      <c r="C395" s="18" t="str">
        <f>TEXT('Working Sheet'!$B395,"mmm")</f>
        <v>Mar</v>
      </c>
      <c r="D395" s="18" t="s">
        <v>29</v>
      </c>
      <c r="E395" s="18" t="s">
        <v>26</v>
      </c>
      <c r="F395" s="18" t="s">
        <v>13</v>
      </c>
      <c r="G395" s="18" t="s">
        <v>14</v>
      </c>
      <c r="H395" s="18" t="s">
        <v>30</v>
      </c>
      <c r="I395" s="18" t="s">
        <v>31</v>
      </c>
      <c r="J395" s="19">
        <v>300000</v>
      </c>
      <c r="K395" s="18">
        <v>8</v>
      </c>
      <c r="L395" s="18" t="s">
        <v>24</v>
      </c>
      <c r="M395" s="20">
        <f t="shared" si="13"/>
        <v>240000</v>
      </c>
      <c r="N395" s="20">
        <f>'Working Sheet'!$J395*'Working Sheet'!$K395</f>
        <v>2400000</v>
      </c>
      <c r="O395" s="21">
        <f>'Working Sheet'!$M395*'Working Sheet'!$K395</f>
        <v>1920000</v>
      </c>
      <c r="P395" s="20">
        <f>'Working Sheet'!$N395-'Working Sheet'!$O395</f>
        <v>480000</v>
      </c>
    </row>
    <row r="396" spans="1:16" ht="14.25" customHeight="1" x14ac:dyDescent="0.25">
      <c r="A396" s="23" t="str">
        <f t="shared" ca="1" si="12"/>
        <v>ID_1287</v>
      </c>
      <c r="B396" s="22">
        <v>45659</v>
      </c>
      <c r="C396" s="23" t="str">
        <f>TEXT('Working Sheet'!$B396,"mmm")</f>
        <v>Jan</v>
      </c>
      <c r="D396" s="23" t="s">
        <v>18</v>
      </c>
      <c r="E396" s="23" t="s">
        <v>26</v>
      </c>
      <c r="F396" s="23" t="s">
        <v>13</v>
      </c>
      <c r="G396" s="23" t="s">
        <v>14</v>
      </c>
      <c r="H396" s="23" t="s">
        <v>34</v>
      </c>
      <c r="I396" s="23" t="s">
        <v>16</v>
      </c>
      <c r="J396" s="24">
        <v>320000</v>
      </c>
      <c r="K396" s="23">
        <v>1</v>
      </c>
      <c r="L396" s="23" t="s">
        <v>24</v>
      </c>
      <c r="M396" s="25">
        <f t="shared" si="13"/>
        <v>256000</v>
      </c>
      <c r="N396" s="25">
        <f>'Working Sheet'!$J396*'Working Sheet'!$K396</f>
        <v>320000</v>
      </c>
      <c r="O396" s="26">
        <f>'Working Sheet'!$M396*'Working Sheet'!$K396</f>
        <v>256000</v>
      </c>
      <c r="P396" s="25">
        <f>'Working Sheet'!$N396-'Working Sheet'!$O396</f>
        <v>64000</v>
      </c>
    </row>
    <row r="397" spans="1:16" ht="14.25" customHeight="1" x14ac:dyDescent="0.25">
      <c r="A397" s="18" t="str">
        <f t="shared" ca="1" si="12"/>
        <v>ID_275</v>
      </c>
      <c r="B397" s="17">
        <v>45674</v>
      </c>
      <c r="C397" s="18" t="str">
        <f>TEXT('Working Sheet'!$B397,"mmm")</f>
        <v>Jan</v>
      </c>
      <c r="D397" s="18" t="s">
        <v>18</v>
      </c>
      <c r="E397" s="18" t="s">
        <v>26</v>
      </c>
      <c r="F397" s="18" t="s">
        <v>13</v>
      </c>
      <c r="G397" s="18" t="s">
        <v>14</v>
      </c>
      <c r="H397" s="18" t="s">
        <v>38</v>
      </c>
      <c r="I397" s="18" t="s">
        <v>31</v>
      </c>
      <c r="J397" s="19">
        <v>420000</v>
      </c>
      <c r="K397" s="18">
        <v>9</v>
      </c>
      <c r="L397" s="18" t="s">
        <v>17</v>
      </c>
      <c r="M397" s="20">
        <f t="shared" si="13"/>
        <v>336000</v>
      </c>
      <c r="N397" s="20">
        <f>'Working Sheet'!$J397*'Working Sheet'!$K397</f>
        <v>3780000</v>
      </c>
      <c r="O397" s="21">
        <f>'Working Sheet'!$M397*'Working Sheet'!$K397</f>
        <v>3024000</v>
      </c>
      <c r="P397" s="20">
        <f>'Working Sheet'!$N397-'Working Sheet'!$O397</f>
        <v>756000</v>
      </c>
    </row>
    <row r="398" spans="1:16" ht="14.25" customHeight="1" x14ac:dyDescent="0.25">
      <c r="A398" s="23" t="str">
        <f t="shared" ca="1" si="12"/>
        <v>ID_904</v>
      </c>
      <c r="B398" s="22">
        <v>45705</v>
      </c>
      <c r="C398" s="23" t="str">
        <f>TEXT('Working Sheet'!$B398,"mmm")</f>
        <v>Feb</v>
      </c>
      <c r="D398" s="23" t="s">
        <v>18</v>
      </c>
      <c r="E398" s="23" t="s">
        <v>32</v>
      </c>
      <c r="F398" s="23" t="s">
        <v>23</v>
      </c>
      <c r="G398" s="23" t="s">
        <v>20</v>
      </c>
      <c r="H398" s="23" t="s">
        <v>15</v>
      </c>
      <c r="I398" s="23" t="s">
        <v>16</v>
      </c>
      <c r="J398" s="24">
        <v>85000</v>
      </c>
      <c r="K398" s="23">
        <v>8</v>
      </c>
      <c r="L398" s="23" t="s">
        <v>39</v>
      </c>
      <c r="M398" s="25">
        <f t="shared" si="13"/>
        <v>68000</v>
      </c>
      <c r="N398" s="25">
        <f>'Working Sheet'!$J398*'Working Sheet'!$K398</f>
        <v>680000</v>
      </c>
      <c r="O398" s="26">
        <f>'Working Sheet'!$M398*'Working Sheet'!$K398</f>
        <v>544000</v>
      </c>
      <c r="P398" s="25">
        <f>'Working Sheet'!$N398-'Working Sheet'!$O398</f>
        <v>136000</v>
      </c>
    </row>
    <row r="399" spans="1:16" ht="14.25" customHeight="1" x14ac:dyDescent="0.25">
      <c r="A399" s="18" t="str">
        <f t="shared" ca="1" si="12"/>
        <v>ID_366</v>
      </c>
      <c r="B399" s="17">
        <v>45691</v>
      </c>
      <c r="C399" s="18" t="str">
        <f>TEXT('Working Sheet'!$B399,"mmm")</f>
        <v>Feb</v>
      </c>
      <c r="D399" s="18" t="s">
        <v>29</v>
      </c>
      <c r="E399" s="18" t="s">
        <v>12</v>
      </c>
      <c r="F399" s="18" t="s">
        <v>23</v>
      </c>
      <c r="G399" s="18" t="s">
        <v>20</v>
      </c>
      <c r="H399" s="18" t="s">
        <v>38</v>
      </c>
      <c r="I399" s="18" t="s">
        <v>31</v>
      </c>
      <c r="J399" s="19">
        <v>420000</v>
      </c>
      <c r="K399" s="18">
        <v>10</v>
      </c>
      <c r="L399" s="18" t="s">
        <v>35</v>
      </c>
      <c r="M399" s="20">
        <f t="shared" si="13"/>
        <v>336000</v>
      </c>
      <c r="N399" s="20">
        <f>'Working Sheet'!$J399*'Working Sheet'!$K399</f>
        <v>4200000</v>
      </c>
      <c r="O399" s="21">
        <f>'Working Sheet'!$M399*'Working Sheet'!$K399</f>
        <v>3360000</v>
      </c>
      <c r="P399" s="20">
        <f>'Working Sheet'!$N399-'Working Sheet'!$O399</f>
        <v>840000</v>
      </c>
    </row>
    <row r="400" spans="1:16" ht="14.25" customHeight="1" x14ac:dyDescent="0.25">
      <c r="A400" s="23" t="str">
        <f t="shared" ca="1" si="12"/>
        <v>ID_60</v>
      </c>
      <c r="B400" s="22">
        <v>45699</v>
      </c>
      <c r="C400" s="23" t="str">
        <f>TEXT('Working Sheet'!$B400,"mmm")</f>
        <v>Feb</v>
      </c>
      <c r="D400" s="23" t="s">
        <v>18</v>
      </c>
      <c r="E400" s="23" t="s">
        <v>12</v>
      </c>
      <c r="F400" s="23" t="s">
        <v>13</v>
      </c>
      <c r="G400" s="23" t="s">
        <v>20</v>
      </c>
      <c r="H400" s="23" t="s">
        <v>40</v>
      </c>
      <c r="I400" s="23" t="s">
        <v>31</v>
      </c>
      <c r="J400" s="24">
        <v>250000</v>
      </c>
      <c r="K400" s="23">
        <v>1</v>
      </c>
      <c r="L400" s="23" t="s">
        <v>35</v>
      </c>
      <c r="M400" s="25">
        <f t="shared" si="13"/>
        <v>200000</v>
      </c>
      <c r="N400" s="25">
        <f>'Working Sheet'!$J400*'Working Sheet'!$K400</f>
        <v>250000</v>
      </c>
      <c r="O400" s="26">
        <f>'Working Sheet'!$M400*'Working Sheet'!$K400</f>
        <v>200000</v>
      </c>
      <c r="P400" s="25">
        <f>'Working Sheet'!$N400-'Working Sheet'!$O400</f>
        <v>50000</v>
      </c>
    </row>
    <row r="401" spans="1:16" ht="14.25" customHeight="1" x14ac:dyDescent="0.25">
      <c r="A401" s="18" t="str">
        <f t="shared" ca="1" si="12"/>
        <v>ID_70</v>
      </c>
      <c r="B401" s="17">
        <v>45710</v>
      </c>
      <c r="C401" s="18" t="str">
        <f>TEXT('Working Sheet'!$B401,"mmm")</f>
        <v>Feb</v>
      </c>
      <c r="D401" s="18" t="s">
        <v>18</v>
      </c>
      <c r="E401" s="18" t="s">
        <v>32</v>
      </c>
      <c r="F401" s="18" t="s">
        <v>23</v>
      </c>
      <c r="G401" s="18" t="s">
        <v>14</v>
      </c>
      <c r="H401" s="18" t="s">
        <v>41</v>
      </c>
      <c r="I401" s="18" t="s">
        <v>22</v>
      </c>
      <c r="J401" s="19">
        <v>220000</v>
      </c>
      <c r="K401" s="18">
        <v>5</v>
      </c>
      <c r="L401" s="18" t="s">
        <v>39</v>
      </c>
      <c r="M401" s="20">
        <f t="shared" si="13"/>
        <v>176000</v>
      </c>
      <c r="N401" s="20">
        <f>'Working Sheet'!$J401*'Working Sheet'!$K401</f>
        <v>1100000</v>
      </c>
      <c r="O401" s="21">
        <f>'Working Sheet'!$M401*'Working Sheet'!$K401</f>
        <v>880000</v>
      </c>
      <c r="P401" s="20">
        <f>'Working Sheet'!$N401-'Working Sheet'!$O401</f>
        <v>220000</v>
      </c>
    </row>
    <row r="402" spans="1:16" ht="14.25" customHeight="1" x14ac:dyDescent="0.25">
      <c r="A402" s="23" t="str">
        <f t="shared" ca="1" si="12"/>
        <v>ID_1442</v>
      </c>
      <c r="B402" s="22">
        <v>45735</v>
      </c>
      <c r="C402" s="23" t="str">
        <f>TEXT('Working Sheet'!$B402,"mmm")</f>
        <v>Mar</v>
      </c>
      <c r="D402" s="23" t="s">
        <v>29</v>
      </c>
      <c r="E402" s="23" t="s">
        <v>19</v>
      </c>
      <c r="F402" s="23" t="s">
        <v>13</v>
      </c>
      <c r="G402" s="23" t="s">
        <v>14</v>
      </c>
      <c r="H402" s="23" t="s">
        <v>30</v>
      </c>
      <c r="I402" s="23" t="s">
        <v>31</v>
      </c>
      <c r="J402" s="24">
        <v>300000</v>
      </c>
      <c r="K402" s="23">
        <v>1</v>
      </c>
      <c r="L402" s="23" t="s">
        <v>17</v>
      </c>
      <c r="M402" s="25">
        <f t="shared" si="13"/>
        <v>240000</v>
      </c>
      <c r="N402" s="25">
        <f>'Working Sheet'!$J402*'Working Sheet'!$K402</f>
        <v>300000</v>
      </c>
      <c r="O402" s="26">
        <f>'Working Sheet'!$M402*'Working Sheet'!$K402</f>
        <v>240000</v>
      </c>
      <c r="P402" s="25">
        <f>'Working Sheet'!$N402-'Working Sheet'!$O402</f>
        <v>60000</v>
      </c>
    </row>
    <row r="403" spans="1:16" ht="14.25" customHeight="1" x14ac:dyDescent="0.25">
      <c r="A403" s="18" t="str">
        <f t="shared" ca="1" si="12"/>
        <v>ID_2094</v>
      </c>
      <c r="B403" s="17">
        <v>45714</v>
      </c>
      <c r="C403" s="18" t="str">
        <f>TEXT('Working Sheet'!$B403,"mmm")</f>
        <v>Feb</v>
      </c>
      <c r="D403" s="18" t="s">
        <v>29</v>
      </c>
      <c r="E403" s="18" t="s">
        <v>26</v>
      </c>
      <c r="F403" s="18" t="s">
        <v>23</v>
      </c>
      <c r="G403" s="18" t="s">
        <v>20</v>
      </c>
      <c r="H403" s="18" t="s">
        <v>27</v>
      </c>
      <c r="I403" s="18" t="s">
        <v>22</v>
      </c>
      <c r="J403" s="19">
        <v>60000</v>
      </c>
      <c r="K403" s="18">
        <v>6</v>
      </c>
      <c r="L403" s="18" t="s">
        <v>37</v>
      </c>
      <c r="M403" s="20">
        <f t="shared" si="13"/>
        <v>48000</v>
      </c>
      <c r="N403" s="20">
        <f>'Working Sheet'!$J403*'Working Sheet'!$K403</f>
        <v>360000</v>
      </c>
      <c r="O403" s="21">
        <f>'Working Sheet'!$M403*'Working Sheet'!$K403</f>
        <v>288000</v>
      </c>
      <c r="P403" s="20">
        <f>'Working Sheet'!$N403-'Working Sheet'!$O403</f>
        <v>72000</v>
      </c>
    </row>
    <row r="404" spans="1:16" ht="14.25" customHeight="1" x14ac:dyDescent="0.25">
      <c r="A404" s="23" t="str">
        <f t="shared" ca="1" si="12"/>
        <v>ID_1156</v>
      </c>
      <c r="B404" s="22">
        <v>45720</v>
      </c>
      <c r="C404" s="23" t="str">
        <f>TEXT('Working Sheet'!$B404,"mmm")</f>
        <v>Mar</v>
      </c>
      <c r="D404" s="23" t="s">
        <v>25</v>
      </c>
      <c r="E404" s="23" t="s">
        <v>32</v>
      </c>
      <c r="F404" s="23" t="s">
        <v>13</v>
      </c>
      <c r="G404" s="23" t="s">
        <v>14</v>
      </c>
      <c r="H404" s="23" t="s">
        <v>27</v>
      </c>
      <c r="I404" s="23" t="s">
        <v>22</v>
      </c>
      <c r="J404" s="24">
        <v>60000</v>
      </c>
      <c r="K404" s="23">
        <v>8</v>
      </c>
      <c r="L404" s="23" t="s">
        <v>24</v>
      </c>
      <c r="M404" s="25">
        <f t="shared" si="13"/>
        <v>48000</v>
      </c>
      <c r="N404" s="25">
        <f>'Working Sheet'!$J404*'Working Sheet'!$K404</f>
        <v>480000</v>
      </c>
      <c r="O404" s="26">
        <f>'Working Sheet'!$M404*'Working Sheet'!$K404</f>
        <v>384000</v>
      </c>
      <c r="P404" s="25">
        <f>'Working Sheet'!$N404-'Working Sheet'!$O404</f>
        <v>96000</v>
      </c>
    </row>
    <row r="405" spans="1:16" ht="14.25" customHeight="1" x14ac:dyDescent="0.25">
      <c r="A405" s="18" t="str">
        <f t="shared" ca="1" si="12"/>
        <v>ID_1889</v>
      </c>
      <c r="B405" s="17">
        <v>45750</v>
      </c>
      <c r="C405" s="18" t="str">
        <f>TEXT('Working Sheet'!$B405,"mmm")</f>
        <v>Apr</v>
      </c>
      <c r="D405" s="18" t="s">
        <v>25</v>
      </c>
      <c r="E405" s="18" t="s">
        <v>26</v>
      </c>
      <c r="F405" s="18" t="s">
        <v>13</v>
      </c>
      <c r="G405" s="18" t="s">
        <v>20</v>
      </c>
      <c r="H405" s="18" t="s">
        <v>41</v>
      </c>
      <c r="I405" s="18" t="s">
        <v>22</v>
      </c>
      <c r="J405" s="19">
        <v>220000</v>
      </c>
      <c r="K405" s="18">
        <v>3</v>
      </c>
      <c r="L405" s="18" t="s">
        <v>37</v>
      </c>
      <c r="M405" s="20">
        <f t="shared" si="13"/>
        <v>176000</v>
      </c>
      <c r="N405" s="20">
        <f>'Working Sheet'!$J405*'Working Sheet'!$K405</f>
        <v>660000</v>
      </c>
      <c r="O405" s="21">
        <f>'Working Sheet'!$M405*'Working Sheet'!$K405</f>
        <v>528000</v>
      </c>
      <c r="P405" s="20">
        <f>'Working Sheet'!$N405-'Working Sheet'!$O405</f>
        <v>132000</v>
      </c>
    </row>
    <row r="406" spans="1:16" ht="14.25" customHeight="1" x14ac:dyDescent="0.25">
      <c r="A406" s="23" t="str">
        <f t="shared" ca="1" si="12"/>
        <v>ID_989</v>
      </c>
      <c r="B406" s="22">
        <v>45739</v>
      </c>
      <c r="C406" s="23" t="str">
        <f>TEXT('Working Sheet'!$B406,"mmm")</f>
        <v>Mar</v>
      </c>
      <c r="D406" s="23" t="s">
        <v>29</v>
      </c>
      <c r="E406" s="23" t="s">
        <v>32</v>
      </c>
      <c r="F406" s="23" t="s">
        <v>13</v>
      </c>
      <c r="G406" s="23" t="s">
        <v>14</v>
      </c>
      <c r="H406" s="23" t="s">
        <v>27</v>
      </c>
      <c r="I406" s="23" t="s">
        <v>22</v>
      </c>
      <c r="J406" s="24">
        <v>60000</v>
      </c>
      <c r="K406" s="23">
        <v>1</v>
      </c>
      <c r="L406" s="23" t="s">
        <v>35</v>
      </c>
      <c r="M406" s="25">
        <f t="shared" si="13"/>
        <v>48000</v>
      </c>
      <c r="N406" s="25">
        <f>'Working Sheet'!$J406*'Working Sheet'!$K406</f>
        <v>60000</v>
      </c>
      <c r="O406" s="26">
        <f>'Working Sheet'!$M406*'Working Sheet'!$K406</f>
        <v>48000</v>
      </c>
      <c r="P406" s="25">
        <f>'Working Sheet'!$N406-'Working Sheet'!$O406</f>
        <v>12000</v>
      </c>
    </row>
    <row r="407" spans="1:16" ht="14.25" customHeight="1" x14ac:dyDescent="0.25">
      <c r="A407" s="18" t="str">
        <f t="shared" ca="1" si="12"/>
        <v>ID_1289</v>
      </c>
      <c r="B407" s="17">
        <v>45732</v>
      </c>
      <c r="C407" s="18" t="str">
        <f>TEXT('Working Sheet'!$B407,"mmm")</f>
        <v>Mar</v>
      </c>
      <c r="D407" s="18" t="s">
        <v>18</v>
      </c>
      <c r="E407" s="18" t="s">
        <v>19</v>
      </c>
      <c r="F407" s="18" t="s">
        <v>23</v>
      </c>
      <c r="G407" s="18" t="s">
        <v>14</v>
      </c>
      <c r="H407" s="18" t="s">
        <v>36</v>
      </c>
      <c r="I407" s="18" t="s">
        <v>31</v>
      </c>
      <c r="J407" s="19">
        <v>150000</v>
      </c>
      <c r="K407" s="18">
        <v>1</v>
      </c>
      <c r="L407" s="18" t="s">
        <v>28</v>
      </c>
      <c r="M407" s="20">
        <f t="shared" si="13"/>
        <v>120000</v>
      </c>
      <c r="N407" s="20">
        <f>'Working Sheet'!$J407*'Working Sheet'!$K407</f>
        <v>150000</v>
      </c>
      <c r="O407" s="21">
        <f>'Working Sheet'!$M407*'Working Sheet'!$K407</f>
        <v>120000</v>
      </c>
      <c r="P407" s="20">
        <f>'Working Sheet'!$N407-'Working Sheet'!$O407</f>
        <v>30000</v>
      </c>
    </row>
    <row r="408" spans="1:16" ht="14.25" customHeight="1" x14ac:dyDescent="0.25">
      <c r="A408" s="23" t="str">
        <f t="shared" ca="1" si="12"/>
        <v>ID_913</v>
      </c>
      <c r="B408" s="22">
        <v>45732</v>
      </c>
      <c r="C408" s="23" t="str">
        <f>TEXT('Working Sheet'!$B408,"mmm")</f>
        <v>Mar</v>
      </c>
      <c r="D408" s="23" t="s">
        <v>11</v>
      </c>
      <c r="E408" s="23" t="s">
        <v>26</v>
      </c>
      <c r="F408" s="23" t="s">
        <v>23</v>
      </c>
      <c r="G408" s="23" t="s">
        <v>14</v>
      </c>
      <c r="H408" s="23" t="s">
        <v>34</v>
      </c>
      <c r="I408" s="23" t="s">
        <v>16</v>
      </c>
      <c r="J408" s="24">
        <v>320000</v>
      </c>
      <c r="K408" s="23">
        <v>7</v>
      </c>
      <c r="L408" s="23" t="s">
        <v>39</v>
      </c>
      <c r="M408" s="25">
        <f t="shared" si="13"/>
        <v>256000</v>
      </c>
      <c r="N408" s="25">
        <f>'Working Sheet'!$J408*'Working Sheet'!$K408</f>
        <v>2240000</v>
      </c>
      <c r="O408" s="26">
        <f>'Working Sheet'!$M408*'Working Sheet'!$K408</f>
        <v>1792000</v>
      </c>
      <c r="P408" s="25">
        <f>'Working Sheet'!$N408-'Working Sheet'!$O408</f>
        <v>448000</v>
      </c>
    </row>
    <row r="409" spans="1:16" ht="14.25" customHeight="1" x14ac:dyDescent="0.25">
      <c r="A409" s="18" t="str">
        <f t="shared" ca="1" si="12"/>
        <v>ID_1094</v>
      </c>
      <c r="B409" s="17">
        <v>45709</v>
      </c>
      <c r="C409" s="18" t="str">
        <f>TEXT('Working Sheet'!$B409,"mmm")</f>
        <v>Feb</v>
      </c>
      <c r="D409" s="18" t="s">
        <v>25</v>
      </c>
      <c r="E409" s="18" t="s">
        <v>26</v>
      </c>
      <c r="F409" s="18" t="s">
        <v>13</v>
      </c>
      <c r="G409" s="18" t="s">
        <v>20</v>
      </c>
      <c r="H409" s="18" t="s">
        <v>15</v>
      </c>
      <c r="I409" s="18" t="s">
        <v>16</v>
      </c>
      <c r="J409" s="19">
        <v>85000</v>
      </c>
      <c r="K409" s="18">
        <v>10</v>
      </c>
      <c r="L409" s="18" t="s">
        <v>28</v>
      </c>
      <c r="M409" s="20">
        <f t="shared" si="13"/>
        <v>68000</v>
      </c>
      <c r="N409" s="20">
        <f>'Working Sheet'!$J409*'Working Sheet'!$K409</f>
        <v>850000</v>
      </c>
      <c r="O409" s="21">
        <f>'Working Sheet'!$M409*'Working Sheet'!$K409</f>
        <v>680000</v>
      </c>
      <c r="P409" s="20">
        <f>'Working Sheet'!$N409-'Working Sheet'!$O409</f>
        <v>170000</v>
      </c>
    </row>
    <row r="410" spans="1:16" ht="14.25" customHeight="1" x14ac:dyDescent="0.25">
      <c r="A410" s="23" t="str">
        <f t="shared" ca="1" si="12"/>
        <v>ID_391</v>
      </c>
      <c r="B410" s="22">
        <v>45767</v>
      </c>
      <c r="C410" s="23" t="str">
        <f>TEXT('Working Sheet'!$B410,"mmm")</f>
        <v>Apr</v>
      </c>
      <c r="D410" s="23" t="s">
        <v>11</v>
      </c>
      <c r="E410" s="23" t="s">
        <v>12</v>
      </c>
      <c r="F410" s="23" t="s">
        <v>23</v>
      </c>
      <c r="G410" s="23" t="s">
        <v>14</v>
      </c>
      <c r="H410" s="23" t="s">
        <v>36</v>
      </c>
      <c r="I410" s="23" t="s">
        <v>31</v>
      </c>
      <c r="J410" s="24">
        <v>150000</v>
      </c>
      <c r="K410" s="23">
        <v>10</v>
      </c>
      <c r="L410" s="23" t="s">
        <v>17</v>
      </c>
      <c r="M410" s="25">
        <f t="shared" si="13"/>
        <v>120000</v>
      </c>
      <c r="N410" s="25">
        <f>'Working Sheet'!$J410*'Working Sheet'!$K410</f>
        <v>1500000</v>
      </c>
      <c r="O410" s="26">
        <f>'Working Sheet'!$M410*'Working Sheet'!$K410</f>
        <v>1200000</v>
      </c>
      <c r="P410" s="25">
        <f>'Working Sheet'!$N410-'Working Sheet'!$O410</f>
        <v>300000</v>
      </c>
    </row>
    <row r="411" spans="1:16" ht="14.25" customHeight="1" x14ac:dyDescent="0.25">
      <c r="A411" s="18" t="str">
        <f t="shared" ca="1" si="12"/>
        <v>ID_2087</v>
      </c>
      <c r="B411" s="17">
        <v>45681</v>
      </c>
      <c r="C411" s="18" t="str">
        <f>TEXT('Working Sheet'!$B411,"mmm")</f>
        <v>Jan</v>
      </c>
      <c r="D411" s="18" t="s">
        <v>25</v>
      </c>
      <c r="E411" s="18" t="s">
        <v>19</v>
      </c>
      <c r="F411" s="18" t="s">
        <v>23</v>
      </c>
      <c r="G411" s="18" t="s">
        <v>14</v>
      </c>
      <c r="H411" s="18" t="s">
        <v>27</v>
      </c>
      <c r="I411" s="18" t="s">
        <v>22</v>
      </c>
      <c r="J411" s="19">
        <v>60000</v>
      </c>
      <c r="K411" s="18">
        <v>2</v>
      </c>
      <c r="L411" s="18" t="s">
        <v>28</v>
      </c>
      <c r="M411" s="20">
        <f t="shared" si="13"/>
        <v>48000</v>
      </c>
      <c r="N411" s="20">
        <f>'Working Sheet'!$J411*'Working Sheet'!$K411</f>
        <v>120000</v>
      </c>
      <c r="O411" s="21">
        <f>'Working Sheet'!$M411*'Working Sheet'!$K411</f>
        <v>96000</v>
      </c>
      <c r="P411" s="20">
        <f>'Working Sheet'!$N411-'Working Sheet'!$O411</f>
        <v>24000</v>
      </c>
    </row>
    <row r="412" spans="1:16" ht="14.25" customHeight="1" x14ac:dyDescent="0.25">
      <c r="A412" s="23" t="str">
        <f t="shared" ca="1" si="12"/>
        <v>ID_706</v>
      </c>
      <c r="B412" s="22">
        <v>45724</v>
      </c>
      <c r="C412" s="23" t="str">
        <f>TEXT('Working Sheet'!$B412,"mmm")</f>
        <v>Mar</v>
      </c>
      <c r="D412" s="23" t="s">
        <v>29</v>
      </c>
      <c r="E412" s="23" t="s">
        <v>32</v>
      </c>
      <c r="F412" s="23" t="s">
        <v>23</v>
      </c>
      <c r="G412" s="23" t="s">
        <v>14</v>
      </c>
      <c r="H412" s="23" t="s">
        <v>30</v>
      </c>
      <c r="I412" s="23" t="s">
        <v>31</v>
      </c>
      <c r="J412" s="24">
        <v>300000</v>
      </c>
      <c r="K412" s="23">
        <v>6</v>
      </c>
      <c r="L412" s="23" t="s">
        <v>17</v>
      </c>
      <c r="M412" s="25">
        <f t="shared" si="13"/>
        <v>240000</v>
      </c>
      <c r="N412" s="25">
        <f>'Working Sheet'!$J412*'Working Sheet'!$K412</f>
        <v>1800000</v>
      </c>
      <c r="O412" s="26">
        <f>'Working Sheet'!$M412*'Working Sheet'!$K412</f>
        <v>1440000</v>
      </c>
      <c r="P412" s="25">
        <f>'Working Sheet'!$N412-'Working Sheet'!$O412</f>
        <v>360000</v>
      </c>
    </row>
    <row r="413" spans="1:16" ht="14.25" customHeight="1" x14ac:dyDescent="0.25">
      <c r="A413" s="18" t="str">
        <f t="shared" ca="1" si="12"/>
        <v>ID_236</v>
      </c>
      <c r="B413" s="17">
        <v>45720</v>
      </c>
      <c r="C413" s="18" t="str">
        <f>TEXT('Working Sheet'!$B413,"mmm")</f>
        <v>Mar</v>
      </c>
      <c r="D413" s="18" t="s">
        <v>18</v>
      </c>
      <c r="E413" s="18" t="s">
        <v>26</v>
      </c>
      <c r="F413" s="18" t="s">
        <v>13</v>
      </c>
      <c r="G413" s="18" t="s">
        <v>14</v>
      </c>
      <c r="H413" s="18" t="s">
        <v>36</v>
      </c>
      <c r="I413" s="18" t="s">
        <v>31</v>
      </c>
      <c r="J413" s="19">
        <v>150000</v>
      </c>
      <c r="K413" s="18">
        <v>3</v>
      </c>
      <c r="L413" s="18" t="s">
        <v>37</v>
      </c>
      <c r="M413" s="20">
        <f t="shared" si="13"/>
        <v>120000</v>
      </c>
      <c r="N413" s="20">
        <f>'Working Sheet'!$J413*'Working Sheet'!$K413</f>
        <v>450000</v>
      </c>
      <c r="O413" s="21">
        <f>'Working Sheet'!$M413*'Working Sheet'!$K413</f>
        <v>360000</v>
      </c>
      <c r="P413" s="20">
        <f>'Working Sheet'!$N413-'Working Sheet'!$O413</f>
        <v>90000</v>
      </c>
    </row>
    <row r="414" spans="1:16" ht="14.25" customHeight="1" x14ac:dyDescent="0.25">
      <c r="A414" s="23" t="str">
        <f t="shared" ca="1" si="12"/>
        <v>ID_1807</v>
      </c>
      <c r="B414" s="22">
        <v>45746</v>
      </c>
      <c r="C414" s="23" t="str">
        <f>TEXT('Working Sheet'!$B414,"mmm")</f>
        <v>Mar</v>
      </c>
      <c r="D414" s="23" t="s">
        <v>11</v>
      </c>
      <c r="E414" s="23" t="s">
        <v>12</v>
      </c>
      <c r="F414" s="23" t="s">
        <v>23</v>
      </c>
      <c r="G414" s="23" t="s">
        <v>14</v>
      </c>
      <c r="H414" s="23" t="s">
        <v>21</v>
      </c>
      <c r="I414" s="23" t="s">
        <v>22</v>
      </c>
      <c r="J414" s="24">
        <v>30000</v>
      </c>
      <c r="K414" s="23">
        <v>2</v>
      </c>
      <c r="L414" s="23" t="s">
        <v>24</v>
      </c>
      <c r="M414" s="25">
        <f t="shared" si="13"/>
        <v>24000</v>
      </c>
      <c r="N414" s="25">
        <f>'Working Sheet'!$J414*'Working Sheet'!$K414</f>
        <v>60000</v>
      </c>
      <c r="O414" s="26">
        <f>'Working Sheet'!$M414*'Working Sheet'!$K414</f>
        <v>48000</v>
      </c>
      <c r="P414" s="25">
        <f>'Working Sheet'!$N414-'Working Sheet'!$O414</f>
        <v>12000</v>
      </c>
    </row>
    <row r="415" spans="1:16" ht="14.25" customHeight="1" x14ac:dyDescent="0.25">
      <c r="A415" s="18" t="str">
        <f t="shared" ca="1" si="12"/>
        <v>ID_2086</v>
      </c>
      <c r="B415" s="17">
        <v>45668</v>
      </c>
      <c r="C415" s="18" t="str">
        <f>TEXT('Working Sheet'!$B415,"mmm")</f>
        <v>Jan</v>
      </c>
      <c r="D415" s="18" t="s">
        <v>18</v>
      </c>
      <c r="E415" s="18" t="s">
        <v>19</v>
      </c>
      <c r="F415" s="18" t="s">
        <v>13</v>
      </c>
      <c r="G415" s="18" t="s">
        <v>14</v>
      </c>
      <c r="H415" s="18" t="s">
        <v>33</v>
      </c>
      <c r="I415" s="18" t="s">
        <v>22</v>
      </c>
      <c r="J415" s="19">
        <v>180000</v>
      </c>
      <c r="K415" s="18">
        <v>2</v>
      </c>
      <c r="L415" s="18" t="s">
        <v>37</v>
      </c>
      <c r="M415" s="20">
        <f t="shared" si="13"/>
        <v>144000</v>
      </c>
      <c r="N415" s="20">
        <f>'Working Sheet'!$J415*'Working Sheet'!$K415</f>
        <v>360000</v>
      </c>
      <c r="O415" s="21">
        <f>'Working Sheet'!$M415*'Working Sheet'!$K415</f>
        <v>288000</v>
      </c>
      <c r="P415" s="20">
        <f>'Working Sheet'!$N415-'Working Sheet'!$O415</f>
        <v>72000</v>
      </c>
    </row>
    <row r="416" spans="1:16" ht="14.25" customHeight="1" x14ac:dyDescent="0.25">
      <c r="A416" s="23" t="str">
        <f t="shared" ca="1" si="12"/>
        <v>ID_1980</v>
      </c>
      <c r="B416" s="22">
        <v>45680</v>
      </c>
      <c r="C416" s="23" t="str">
        <f>TEXT('Working Sheet'!$B416,"mmm")</f>
        <v>Jan</v>
      </c>
      <c r="D416" s="23" t="s">
        <v>11</v>
      </c>
      <c r="E416" s="23" t="s">
        <v>26</v>
      </c>
      <c r="F416" s="23" t="s">
        <v>23</v>
      </c>
      <c r="G416" s="23" t="s">
        <v>14</v>
      </c>
      <c r="H416" s="23" t="s">
        <v>34</v>
      </c>
      <c r="I416" s="23" t="s">
        <v>16</v>
      </c>
      <c r="J416" s="24">
        <v>320000</v>
      </c>
      <c r="K416" s="23">
        <v>3</v>
      </c>
      <c r="L416" s="23" t="s">
        <v>28</v>
      </c>
      <c r="M416" s="25">
        <f t="shared" si="13"/>
        <v>256000</v>
      </c>
      <c r="N416" s="25">
        <f>'Working Sheet'!$J416*'Working Sheet'!$K416</f>
        <v>960000</v>
      </c>
      <c r="O416" s="26">
        <f>'Working Sheet'!$M416*'Working Sheet'!$K416</f>
        <v>768000</v>
      </c>
      <c r="P416" s="25">
        <f>'Working Sheet'!$N416-'Working Sheet'!$O416</f>
        <v>192000</v>
      </c>
    </row>
    <row r="417" spans="1:16" ht="14.25" customHeight="1" x14ac:dyDescent="0.25">
      <c r="A417" s="18" t="str">
        <f t="shared" ca="1" si="12"/>
        <v>ID_1485</v>
      </c>
      <c r="B417" s="17">
        <v>45662</v>
      </c>
      <c r="C417" s="18" t="str">
        <f>TEXT('Working Sheet'!$B417,"mmm")</f>
        <v>Jan</v>
      </c>
      <c r="D417" s="18" t="s">
        <v>25</v>
      </c>
      <c r="E417" s="18" t="s">
        <v>26</v>
      </c>
      <c r="F417" s="18" t="s">
        <v>23</v>
      </c>
      <c r="G417" s="18" t="s">
        <v>20</v>
      </c>
      <c r="H417" s="18" t="s">
        <v>21</v>
      </c>
      <c r="I417" s="18" t="s">
        <v>22</v>
      </c>
      <c r="J417" s="19">
        <v>30000</v>
      </c>
      <c r="K417" s="18">
        <v>3</v>
      </c>
      <c r="L417" s="18" t="s">
        <v>37</v>
      </c>
      <c r="M417" s="20">
        <f t="shared" si="13"/>
        <v>24000</v>
      </c>
      <c r="N417" s="20">
        <f>'Working Sheet'!$J417*'Working Sheet'!$K417</f>
        <v>90000</v>
      </c>
      <c r="O417" s="21">
        <f>'Working Sheet'!$M417*'Working Sheet'!$K417</f>
        <v>72000</v>
      </c>
      <c r="P417" s="20">
        <f>'Working Sheet'!$N417-'Working Sheet'!$O417</f>
        <v>18000</v>
      </c>
    </row>
    <row r="418" spans="1:16" ht="14.25" customHeight="1" x14ac:dyDescent="0.25">
      <c r="A418" s="23" t="str">
        <f t="shared" ca="1" si="12"/>
        <v>ID_1786</v>
      </c>
      <c r="B418" s="22">
        <v>45764</v>
      </c>
      <c r="C418" s="23" t="str">
        <f>TEXT('Working Sheet'!$B418,"mmm")</f>
        <v>Apr</v>
      </c>
      <c r="D418" s="23" t="s">
        <v>11</v>
      </c>
      <c r="E418" s="23" t="s">
        <v>32</v>
      </c>
      <c r="F418" s="23" t="s">
        <v>13</v>
      </c>
      <c r="G418" s="23" t="s">
        <v>20</v>
      </c>
      <c r="H418" s="23" t="s">
        <v>15</v>
      </c>
      <c r="I418" s="23" t="s">
        <v>16</v>
      </c>
      <c r="J418" s="24">
        <v>85000</v>
      </c>
      <c r="K418" s="23">
        <v>3</v>
      </c>
      <c r="L418" s="23" t="s">
        <v>35</v>
      </c>
      <c r="M418" s="25">
        <f t="shared" si="13"/>
        <v>68000</v>
      </c>
      <c r="N418" s="25">
        <f>'Working Sheet'!$J418*'Working Sheet'!$K418</f>
        <v>255000</v>
      </c>
      <c r="O418" s="26">
        <f>'Working Sheet'!$M418*'Working Sheet'!$K418</f>
        <v>204000</v>
      </c>
      <c r="P418" s="25">
        <f>'Working Sheet'!$N418-'Working Sheet'!$O418</f>
        <v>51000</v>
      </c>
    </row>
    <row r="419" spans="1:16" ht="14.25" customHeight="1" x14ac:dyDescent="0.25">
      <c r="A419" s="18" t="str">
        <f t="shared" ca="1" si="12"/>
        <v>ID_713</v>
      </c>
      <c r="B419" s="17">
        <v>45714</v>
      </c>
      <c r="C419" s="18" t="str">
        <f>TEXT('Working Sheet'!$B419,"mmm")</f>
        <v>Feb</v>
      </c>
      <c r="D419" s="18" t="s">
        <v>29</v>
      </c>
      <c r="E419" s="18" t="s">
        <v>26</v>
      </c>
      <c r="F419" s="18" t="s">
        <v>13</v>
      </c>
      <c r="G419" s="18" t="s">
        <v>20</v>
      </c>
      <c r="H419" s="18" t="s">
        <v>15</v>
      </c>
      <c r="I419" s="18" t="s">
        <v>16</v>
      </c>
      <c r="J419" s="19">
        <v>85000</v>
      </c>
      <c r="K419" s="18">
        <v>10</v>
      </c>
      <c r="L419" s="18" t="s">
        <v>37</v>
      </c>
      <c r="M419" s="20">
        <f t="shared" si="13"/>
        <v>68000</v>
      </c>
      <c r="N419" s="20">
        <f>'Working Sheet'!$J419*'Working Sheet'!$K419</f>
        <v>850000</v>
      </c>
      <c r="O419" s="21">
        <f>'Working Sheet'!$M419*'Working Sheet'!$K419</f>
        <v>680000</v>
      </c>
      <c r="P419" s="20">
        <f>'Working Sheet'!$N419-'Working Sheet'!$O419</f>
        <v>170000</v>
      </c>
    </row>
    <row r="420" spans="1:16" ht="14.25" customHeight="1" x14ac:dyDescent="0.25">
      <c r="A420" s="23" t="str">
        <f t="shared" ca="1" si="12"/>
        <v>ID_108</v>
      </c>
      <c r="B420" s="22">
        <v>45722</v>
      </c>
      <c r="C420" s="23" t="str">
        <f>TEXT('Working Sheet'!$B420,"mmm")</f>
        <v>Mar</v>
      </c>
      <c r="D420" s="23" t="s">
        <v>18</v>
      </c>
      <c r="E420" s="23" t="s">
        <v>12</v>
      </c>
      <c r="F420" s="23" t="s">
        <v>23</v>
      </c>
      <c r="G420" s="23" t="s">
        <v>20</v>
      </c>
      <c r="H420" s="23" t="s">
        <v>33</v>
      </c>
      <c r="I420" s="23" t="s">
        <v>22</v>
      </c>
      <c r="J420" s="24">
        <v>180000</v>
      </c>
      <c r="K420" s="23">
        <v>10</v>
      </c>
      <c r="L420" s="23" t="s">
        <v>17</v>
      </c>
      <c r="M420" s="25">
        <f t="shared" si="13"/>
        <v>144000</v>
      </c>
      <c r="N420" s="25">
        <f>'Working Sheet'!$J420*'Working Sheet'!$K420</f>
        <v>1800000</v>
      </c>
      <c r="O420" s="26">
        <f>'Working Sheet'!$M420*'Working Sheet'!$K420</f>
        <v>1440000</v>
      </c>
      <c r="P420" s="25">
        <f>'Working Sheet'!$N420-'Working Sheet'!$O420</f>
        <v>360000</v>
      </c>
    </row>
    <row r="421" spans="1:16" ht="14.25" customHeight="1" x14ac:dyDescent="0.25">
      <c r="A421" s="18" t="str">
        <f t="shared" ca="1" si="12"/>
        <v>ID_1588</v>
      </c>
      <c r="B421" s="17">
        <v>45673</v>
      </c>
      <c r="C421" s="18" t="str">
        <f>TEXT('Working Sheet'!$B421,"mmm")</f>
        <v>Jan</v>
      </c>
      <c r="D421" s="18" t="s">
        <v>11</v>
      </c>
      <c r="E421" s="18" t="s">
        <v>19</v>
      </c>
      <c r="F421" s="18" t="s">
        <v>13</v>
      </c>
      <c r="G421" s="18" t="s">
        <v>20</v>
      </c>
      <c r="H421" s="18" t="s">
        <v>41</v>
      </c>
      <c r="I421" s="18" t="s">
        <v>22</v>
      </c>
      <c r="J421" s="19">
        <v>220000</v>
      </c>
      <c r="K421" s="18">
        <v>9</v>
      </c>
      <c r="L421" s="18" t="s">
        <v>28</v>
      </c>
      <c r="M421" s="20">
        <f t="shared" si="13"/>
        <v>176000</v>
      </c>
      <c r="N421" s="20">
        <f>'Working Sheet'!$J421*'Working Sheet'!$K421</f>
        <v>1980000</v>
      </c>
      <c r="O421" s="21">
        <f>'Working Sheet'!$M421*'Working Sheet'!$K421</f>
        <v>1584000</v>
      </c>
      <c r="P421" s="20">
        <f>'Working Sheet'!$N421-'Working Sheet'!$O421</f>
        <v>396000</v>
      </c>
    </row>
    <row r="422" spans="1:16" ht="14.25" customHeight="1" x14ac:dyDescent="0.25">
      <c r="A422" s="23" t="str">
        <f t="shared" ca="1" si="12"/>
        <v>ID_83</v>
      </c>
      <c r="B422" s="22">
        <v>45719</v>
      </c>
      <c r="C422" s="23" t="str">
        <f>TEXT('Working Sheet'!$B422,"mmm")</f>
        <v>Mar</v>
      </c>
      <c r="D422" s="23" t="s">
        <v>11</v>
      </c>
      <c r="E422" s="23" t="s">
        <v>32</v>
      </c>
      <c r="F422" s="23" t="s">
        <v>23</v>
      </c>
      <c r="G422" s="23" t="s">
        <v>20</v>
      </c>
      <c r="H422" s="23" t="s">
        <v>38</v>
      </c>
      <c r="I422" s="23" t="s">
        <v>31</v>
      </c>
      <c r="J422" s="24">
        <v>420000</v>
      </c>
      <c r="K422" s="23">
        <v>9</v>
      </c>
      <c r="L422" s="23" t="s">
        <v>28</v>
      </c>
      <c r="M422" s="25">
        <f t="shared" si="13"/>
        <v>336000</v>
      </c>
      <c r="N422" s="25">
        <f>'Working Sheet'!$J422*'Working Sheet'!$K422</f>
        <v>3780000</v>
      </c>
      <c r="O422" s="26">
        <f>'Working Sheet'!$M422*'Working Sheet'!$K422</f>
        <v>3024000</v>
      </c>
      <c r="P422" s="25">
        <f>'Working Sheet'!$N422-'Working Sheet'!$O422</f>
        <v>756000</v>
      </c>
    </row>
    <row r="423" spans="1:16" ht="14.25" customHeight="1" x14ac:dyDescent="0.25">
      <c r="A423" s="18" t="str">
        <f t="shared" ca="1" si="12"/>
        <v>ID_263</v>
      </c>
      <c r="B423" s="17">
        <v>45712</v>
      </c>
      <c r="C423" s="18" t="str">
        <f>TEXT('Working Sheet'!$B423,"mmm")</f>
        <v>Feb</v>
      </c>
      <c r="D423" s="18" t="s">
        <v>18</v>
      </c>
      <c r="E423" s="18" t="s">
        <v>12</v>
      </c>
      <c r="F423" s="18" t="s">
        <v>23</v>
      </c>
      <c r="G423" s="18" t="s">
        <v>14</v>
      </c>
      <c r="H423" s="18" t="s">
        <v>33</v>
      </c>
      <c r="I423" s="18" t="s">
        <v>22</v>
      </c>
      <c r="J423" s="19">
        <v>180000</v>
      </c>
      <c r="K423" s="18">
        <v>2</v>
      </c>
      <c r="L423" s="18" t="s">
        <v>37</v>
      </c>
      <c r="M423" s="20">
        <f t="shared" si="13"/>
        <v>144000</v>
      </c>
      <c r="N423" s="20">
        <f>'Working Sheet'!$J423*'Working Sheet'!$K423</f>
        <v>360000</v>
      </c>
      <c r="O423" s="21">
        <f>'Working Sheet'!$M423*'Working Sheet'!$K423</f>
        <v>288000</v>
      </c>
      <c r="P423" s="20">
        <f>'Working Sheet'!$N423-'Working Sheet'!$O423</f>
        <v>72000</v>
      </c>
    </row>
    <row r="424" spans="1:16" ht="14.25" customHeight="1" x14ac:dyDescent="0.25">
      <c r="A424" s="23" t="str">
        <f t="shared" ca="1" si="12"/>
        <v>ID_1966</v>
      </c>
      <c r="B424" s="22">
        <v>45732</v>
      </c>
      <c r="C424" s="23" t="str">
        <f>TEXT('Working Sheet'!$B424,"mmm")</f>
        <v>Mar</v>
      </c>
      <c r="D424" s="23" t="s">
        <v>11</v>
      </c>
      <c r="E424" s="23" t="s">
        <v>19</v>
      </c>
      <c r="F424" s="23" t="s">
        <v>23</v>
      </c>
      <c r="G424" s="23" t="s">
        <v>14</v>
      </c>
      <c r="H424" s="23" t="s">
        <v>30</v>
      </c>
      <c r="I424" s="23" t="s">
        <v>31</v>
      </c>
      <c r="J424" s="24">
        <v>300000</v>
      </c>
      <c r="K424" s="23">
        <v>3</v>
      </c>
      <c r="L424" s="23" t="s">
        <v>24</v>
      </c>
      <c r="M424" s="25">
        <f t="shared" si="13"/>
        <v>240000</v>
      </c>
      <c r="N424" s="25">
        <f>'Working Sheet'!$J424*'Working Sheet'!$K424</f>
        <v>900000</v>
      </c>
      <c r="O424" s="26">
        <f>'Working Sheet'!$M424*'Working Sheet'!$K424</f>
        <v>720000</v>
      </c>
      <c r="P424" s="25">
        <f>'Working Sheet'!$N424-'Working Sheet'!$O424</f>
        <v>180000</v>
      </c>
    </row>
    <row r="425" spans="1:16" ht="14.25" customHeight="1" x14ac:dyDescent="0.25">
      <c r="A425" s="18" t="str">
        <f t="shared" ca="1" si="12"/>
        <v>ID_1640</v>
      </c>
      <c r="B425" s="17">
        <v>45713</v>
      </c>
      <c r="C425" s="18" t="str">
        <f>TEXT('Working Sheet'!$B425,"mmm")</f>
        <v>Feb</v>
      </c>
      <c r="D425" s="18" t="s">
        <v>29</v>
      </c>
      <c r="E425" s="18" t="s">
        <v>26</v>
      </c>
      <c r="F425" s="18" t="s">
        <v>23</v>
      </c>
      <c r="G425" s="18" t="s">
        <v>14</v>
      </c>
      <c r="H425" s="18" t="s">
        <v>33</v>
      </c>
      <c r="I425" s="18" t="s">
        <v>22</v>
      </c>
      <c r="J425" s="19">
        <v>180000</v>
      </c>
      <c r="K425" s="18">
        <v>1</v>
      </c>
      <c r="L425" s="18" t="s">
        <v>39</v>
      </c>
      <c r="M425" s="20">
        <f t="shared" si="13"/>
        <v>144000</v>
      </c>
      <c r="N425" s="20">
        <f>'Working Sheet'!$J425*'Working Sheet'!$K425</f>
        <v>180000</v>
      </c>
      <c r="O425" s="21">
        <f>'Working Sheet'!$M425*'Working Sheet'!$K425</f>
        <v>144000</v>
      </c>
      <c r="P425" s="20">
        <f>'Working Sheet'!$N425-'Working Sheet'!$O425</f>
        <v>36000</v>
      </c>
    </row>
    <row r="426" spans="1:16" ht="14.25" customHeight="1" x14ac:dyDescent="0.25">
      <c r="A426" s="23" t="str">
        <f t="shared" ca="1" si="12"/>
        <v>ID_1335</v>
      </c>
      <c r="B426" s="22">
        <v>45758</v>
      </c>
      <c r="C426" s="23" t="str">
        <f>TEXT('Working Sheet'!$B426,"mmm")</f>
        <v>Apr</v>
      </c>
      <c r="D426" s="23" t="s">
        <v>29</v>
      </c>
      <c r="E426" s="23" t="s">
        <v>19</v>
      </c>
      <c r="F426" s="23" t="s">
        <v>13</v>
      </c>
      <c r="G426" s="23" t="s">
        <v>20</v>
      </c>
      <c r="H426" s="23" t="s">
        <v>34</v>
      </c>
      <c r="I426" s="23" t="s">
        <v>16</v>
      </c>
      <c r="J426" s="24">
        <v>320000</v>
      </c>
      <c r="K426" s="23">
        <v>9</v>
      </c>
      <c r="L426" s="23" t="s">
        <v>35</v>
      </c>
      <c r="M426" s="25">
        <f t="shared" si="13"/>
        <v>256000</v>
      </c>
      <c r="N426" s="25">
        <f>'Working Sheet'!$J426*'Working Sheet'!$K426</f>
        <v>2880000</v>
      </c>
      <c r="O426" s="26">
        <f>'Working Sheet'!$M426*'Working Sheet'!$K426</f>
        <v>2304000</v>
      </c>
      <c r="P426" s="25">
        <f>'Working Sheet'!$N426-'Working Sheet'!$O426</f>
        <v>576000</v>
      </c>
    </row>
    <row r="427" spans="1:16" ht="14.25" customHeight="1" x14ac:dyDescent="0.25">
      <c r="A427" s="18" t="str">
        <f t="shared" ca="1" si="12"/>
        <v>ID_1445</v>
      </c>
      <c r="B427" s="17">
        <v>45734</v>
      </c>
      <c r="C427" s="18" t="str">
        <f>TEXT('Working Sheet'!$B427,"mmm")</f>
        <v>Mar</v>
      </c>
      <c r="D427" s="18" t="s">
        <v>29</v>
      </c>
      <c r="E427" s="18" t="s">
        <v>12</v>
      </c>
      <c r="F427" s="18" t="s">
        <v>13</v>
      </c>
      <c r="G427" s="18" t="s">
        <v>14</v>
      </c>
      <c r="H427" s="18" t="s">
        <v>34</v>
      </c>
      <c r="I427" s="18" t="s">
        <v>16</v>
      </c>
      <c r="J427" s="19">
        <v>320000</v>
      </c>
      <c r="K427" s="18">
        <v>5</v>
      </c>
      <c r="L427" s="18" t="s">
        <v>24</v>
      </c>
      <c r="M427" s="20">
        <f t="shared" si="13"/>
        <v>256000</v>
      </c>
      <c r="N427" s="20">
        <f>'Working Sheet'!$J427*'Working Sheet'!$K427</f>
        <v>1600000</v>
      </c>
      <c r="O427" s="21">
        <f>'Working Sheet'!$M427*'Working Sheet'!$K427</f>
        <v>1280000</v>
      </c>
      <c r="P427" s="20">
        <f>'Working Sheet'!$N427-'Working Sheet'!$O427</f>
        <v>320000</v>
      </c>
    </row>
    <row r="428" spans="1:16" ht="14.25" customHeight="1" x14ac:dyDescent="0.25">
      <c r="A428" s="23" t="str">
        <f t="shared" ca="1" si="12"/>
        <v>ID_733</v>
      </c>
      <c r="B428" s="22">
        <v>45708</v>
      </c>
      <c r="C428" s="23" t="str">
        <f>TEXT('Working Sheet'!$B428,"mmm")</f>
        <v>Feb</v>
      </c>
      <c r="D428" s="23" t="s">
        <v>29</v>
      </c>
      <c r="E428" s="23" t="s">
        <v>32</v>
      </c>
      <c r="F428" s="23" t="s">
        <v>13</v>
      </c>
      <c r="G428" s="23" t="s">
        <v>14</v>
      </c>
      <c r="H428" s="23" t="s">
        <v>27</v>
      </c>
      <c r="I428" s="23" t="s">
        <v>22</v>
      </c>
      <c r="J428" s="24">
        <v>60000</v>
      </c>
      <c r="K428" s="23">
        <v>8</v>
      </c>
      <c r="L428" s="23" t="s">
        <v>39</v>
      </c>
      <c r="M428" s="25">
        <f t="shared" si="13"/>
        <v>48000</v>
      </c>
      <c r="N428" s="25">
        <f>'Working Sheet'!$J428*'Working Sheet'!$K428</f>
        <v>480000</v>
      </c>
      <c r="O428" s="26">
        <f>'Working Sheet'!$M428*'Working Sheet'!$K428</f>
        <v>384000</v>
      </c>
      <c r="P428" s="25">
        <f>'Working Sheet'!$N428-'Working Sheet'!$O428</f>
        <v>96000</v>
      </c>
    </row>
    <row r="429" spans="1:16" ht="14.25" customHeight="1" x14ac:dyDescent="0.25">
      <c r="A429" s="18" t="str">
        <f t="shared" ca="1" si="12"/>
        <v>ID_649</v>
      </c>
      <c r="B429" s="17">
        <v>45721</v>
      </c>
      <c r="C429" s="18" t="str">
        <f>TEXT('Working Sheet'!$B429,"mmm")</f>
        <v>Mar</v>
      </c>
      <c r="D429" s="18" t="s">
        <v>25</v>
      </c>
      <c r="E429" s="18" t="s">
        <v>12</v>
      </c>
      <c r="F429" s="18" t="s">
        <v>23</v>
      </c>
      <c r="G429" s="18" t="s">
        <v>14</v>
      </c>
      <c r="H429" s="18" t="s">
        <v>15</v>
      </c>
      <c r="I429" s="18" t="s">
        <v>16</v>
      </c>
      <c r="J429" s="19">
        <v>85000</v>
      </c>
      <c r="K429" s="18">
        <v>8</v>
      </c>
      <c r="L429" s="18" t="s">
        <v>24</v>
      </c>
      <c r="M429" s="20">
        <f t="shared" si="13"/>
        <v>68000</v>
      </c>
      <c r="N429" s="20">
        <f>'Working Sheet'!$J429*'Working Sheet'!$K429</f>
        <v>680000</v>
      </c>
      <c r="O429" s="21">
        <f>'Working Sheet'!$M429*'Working Sheet'!$K429</f>
        <v>544000</v>
      </c>
      <c r="P429" s="20">
        <f>'Working Sheet'!$N429-'Working Sheet'!$O429</f>
        <v>136000</v>
      </c>
    </row>
    <row r="430" spans="1:16" ht="14.25" customHeight="1" x14ac:dyDescent="0.25">
      <c r="A430" s="23" t="str">
        <f t="shared" ca="1" si="12"/>
        <v>ID_474</v>
      </c>
      <c r="B430" s="22">
        <v>45747</v>
      </c>
      <c r="C430" s="23" t="str">
        <f>TEXT('Working Sheet'!$B430,"mmm")</f>
        <v>Mar</v>
      </c>
      <c r="D430" s="23" t="s">
        <v>18</v>
      </c>
      <c r="E430" s="23" t="s">
        <v>12</v>
      </c>
      <c r="F430" s="23" t="s">
        <v>13</v>
      </c>
      <c r="G430" s="23" t="s">
        <v>20</v>
      </c>
      <c r="H430" s="23" t="s">
        <v>34</v>
      </c>
      <c r="I430" s="23" t="s">
        <v>16</v>
      </c>
      <c r="J430" s="24">
        <v>320000</v>
      </c>
      <c r="K430" s="23">
        <v>5</v>
      </c>
      <c r="L430" s="23" t="s">
        <v>24</v>
      </c>
      <c r="M430" s="25">
        <f t="shared" si="13"/>
        <v>256000</v>
      </c>
      <c r="N430" s="25">
        <f>'Working Sheet'!$J430*'Working Sheet'!$K430</f>
        <v>1600000</v>
      </c>
      <c r="O430" s="26">
        <f>'Working Sheet'!$M430*'Working Sheet'!$K430</f>
        <v>1280000</v>
      </c>
      <c r="P430" s="25">
        <f>'Working Sheet'!$N430-'Working Sheet'!$O430</f>
        <v>320000</v>
      </c>
    </row>
    <row r="431" spans="1:16" ht="14.25" customHeight="1" x14ac:dyDescent="0.25">
      <c r="A431" s="18" t="str">
        <f t="shared" ca="1" si="12"/>
        <v>ID_863</v>
      </c>
      <c r="B431" s="17">
        <v>45706</v>
      </c>
      <c r="C431" s="18" t="str">
        <f>TEXT('Working Sheet'!$B431,"mmm")</f>
        <v>Feb</v>
      </c>
      <c r="D431" s="18" t="s">
        <v>29</v>
      </c>
      <c r="E431" s="18" t="s">
        <v>26</v>
      </c>
      <c r="F431" s="18" t="s">
        <v>23</v>
      </c>
      <c r="G431" s="18" t="s">
        <v>14</v>
      </c>
      <c r="H431" s="18" t="s">
        <v>36</v>
      </c>
      <c r="I431" s="18" t="s">
        <v>31</v>
      </c>
      <c r="J431" s="19">
        <v>150000</v>
      </c>
      <c r="K431" s="18">
        <v>3</v>
      </c>
      <c r="L431" s="18" t="s">
        <v>37</v>
      </c>
      <c r="M431" s="20">
        <f t="shared" si="13"/>
        <v>120000</v>
      </c>
      <c r="N431" s="20">
        <f>'Working Sheet'!$J431*'Working Sheet'!$K431</f>
        <v>450000</v>
      </c>
      <c r="O431" s="21">
        <f>'Working Sheet'!$M431*'Working Sheet'!$K431</f>
        <v>360000</v>
      </c>
      <c r="P431" s="20">
        <f>'Working Sheet'!$N431-'Working Sheet'!$O431</f>
        <v>90000</v>
      </c>
    </row>
    <row r="432" spans="1:16" ht="14.25" customHeight="1" x14ac:dyDescent="0.25">
      <c r="A432" s="23" t="str">
        <f t="shared" ca="1" si="12"/>
        <v>ID_845</v>
      </c>
      <c r="B432" s="22">
        <v>45666</v>
      </c>
      <c r="C432" s="23" t="str">
        <f>TEXT('Working Sheet'!$B432,"mmm")</f>
        <v>Jan</v>
      </c>
      <c r="D432" s="23" t="s">
        <v>29</v>
      </c>
      <c r="E432" s="23" t="s">
        <v>26</v>
      </c>
      <c r="F432" s="23" t="s">
        <v>13</v>
      </c>
      <c r="G432" s="23" t="s">
        <v>20</v>
      </c>
      <c r="H432" s="23" t="s">
        <v>36</v>
      </c>
      <c r="I432" s="23" t="s">
        <v>31</v>
      </c>
      <c r="J432" s="24">
        <v>150000</v>
      </c>
      <c r="K432" s="23">
        <v>1</v>
      </c>
      <c r="L432" s="23" t="s">
        <v>17</v>
      </c>
      <c r="M432" s="25">
        <f t="shared" si="13"/>
        <v>120000</v>
      </c>
      <c r="N432" s="25">
        <f>'Working Sheet'!$J432*'Working Sheet'!$K432</f>
        <v>150000</v>
      </c>
      <c r="O432" s="26">
        <f>'Working Sheet'!$M432*'Working Sheet'!$K432</f>
        <v>120000</v>
      </c>
      <c r="P432" s="25">
        <f>'Working Sheet'!$N432-'Working Sheet'!$O432</f>
        <v>30000</v>
      </c>
    </row>
    <row r="433" spans="1:16" ht="14.25" customHeight="1" x14ac:dyDescent="0.25">
      <c r="A433" s="18" t="str">
        <f t="shared" ca="1" si="12"/>
        <v>ID_1451</v>
      </c>
      <c r="B433" s="17">
        <v>45768</v>
      </c>
      <c r="C433" s="18" t="str">
        <f>TEXT('Working Sheet'!$B433,"mmm")</f>
        <v>Apr</v>
      </c>
      <c r="D433" s="18" t="s">
        <v>25</v>
      </c>
      <c r="E433" s="18" t="s">
        <v>26</v>
      </c>
      <c r="F433" s="18" t="s">
        <v>23</v>
      </c>
      <c r="G433" s="18" t="s">
        <v>14</v>
      </c>
      <c r="H433" s="18" t="s">
        <v>27</v>
      </c>
      <c r="I433" s="18" t="s">
        <v>22</v>
      </c>
      <c r="J433" s="19">
        <v>60000</v>
      </c>
      <c r="K433" s="18">
        <v>7</v>
      </c>
      <c r="L433" s="18" t="s">
        <v>24</v>
      </c>
      <c r="M433" s="20">
        <f t="shared" si="13"/>
        <v>48000</v>
      </c>
      <c r="N433" s="20">
        <f>'Working Sheet'!$J433*'Working Sheet'!$K433</f>
        <v>420000</v>
      </c>
      <c r="O433" s="21">
        <f>'Working Sheet'!$M433*'Working Sheet'!$K433</f>
        <v>336000</v>
      </c>
      <c r="P433" s="20">
        <f>'Working Sheet'!$N433-'Working Sheet'!$O433</f>
        <v>84000</v>
      </c>
    </row>
    <row r="434" spans="1:16" ht="14.25" customHeight="1" x14ac:dyDescent="0.25">
      <c r="A434" s="23" t="str">
        <f t="shared" ca="1" si="12"/>
        <v>ID_1713</v>
      </c>
      <c r="B434" s="22">
        <v>45725</v>
      </c>
      <c r="C434" s="23" t="str">
        <f>TEXT('Working Sheet'!$B434,"mmm")</f>
        <v>Mar</v>
      </c>
      <c r="D434" s="23" t="s">
        <v>11</v>
      </c>
      <c r="E434" s="23" t="s">
        <v>12</v>
      </c>
      <c r="F434" s="23" t="s">
        <v>13</v>
      </c>
      <c r="G434" s="23" t="s">
        <v>14</v>
      </c>
      <c r="H434" s="23" t="s">
        <v>33</v>
      </c>
      <c r="I434" s="23" t="s">
        <v>22</v>
      </c>
      <c r="J434" s="24">
        <v>180000</v>
      </c>
      <c r="K434" s="23">
        <v>1</v>
      </c>
      <c r="L434" s="23" t="s">
        <v>24</v>
      </c>
      <c r="M434" s="25">
        <f t="shared" si="13"/>
        <v>144000</v>
      </c>
      <c r="N434" s="25">
        <f>'Working Sheet'!$J434*'Working Sheet'!$K434</f>
        <v>180000</v>
      </c>
      <c r="O434" s="26">
        <f>'Working Sheet'!$M434*'Working Sheet'!$K434</f>
        <v>144000</v>
      </c>
      <c r="P434" s="25">
        <f>'Working Sheet'!$N434-'Working Sheet'!$O434</f>
        <v>36000</v>
      </c>
    </row>
    <row r="435" spans="1:16" ht="14.25" customHeight="1" x14ac:dyDescent="0.25">
      <c r="A435" s="18" t="str">
        <f t="shared" ca="1" si="12"/>
        <v>ID_67</v>
      </c>
      <c r="B435" s="17">
        <v>45776</v>
      </c>
      <c r="C435" s="18" t="str">
        <f>TEXT('Working Sheet'!$B435,"mmm")</f>
        <v>Apr</v>
      </c>
      <c r="D435" s="18" t="s">
        <v>25</v>
      </c>
      <c r="E435" s="18" t="s">
        <v>12</v>
      </c>
      <c r="F435" s="18" t="s">
        <v>23</v>
      </c>
      <c r="G435" s="18" t="s">
        <v>14</v>
      </c>
      <c r="H435" s="18" t="s">
        <v>33</v>
      </c>
      <c r="I435" s="18" t="s">
        <v>22</v>
      </c>
      <c r="J435" s="19">
        <v>180000</v>
      </c>
      <c r="K435" s="18">
        <v>1</v>
      </c>
      <c r="L435" s="18" t="s">
        <v>35</v>
      </c>
      <c r="M435" s="20">
        <f t="shared" si="13"/>
        <v>144000</v>
      </c>
      <c r="N435" s="20">
        <f>'Working Sheet'!$J435*'Working Sheet'!$K435</f>
        <v>180000</v>
      </c>
      <c r="O435" s="21">
        <f>'Working Sheet'!$M435*'Working Sheet'!$K435</f>
        <v>144000</v>
      </c>
      <c r="P435" s="20">
        <f>'Working Sheet'!$N435-'Working Sheet'!$O435</f>
        <v>36000</v>
      </c>
    </row>
    <row r="436" spans="1:16" ht="14.25" customHeight="1" x14ac:dyDescent="0.25">
      <c r="A436" s="23" t="str">
        <f t="shared" ca="1" si="12"/>
        <v>ID_35</v>
      </c>
      <c r="B436" s="22">
        <v>45696</v>
      </c>
      <c r="C436" s="23" t="str">
        <f>TEXT('Working Sheet'!$B436,"mmm")</f>
        <v>Feb</v>
      </c>
      <c r="D436" s="23" t="s">
        <v>25</v>
      </c>
      <c r="E436" s="23" t="s">
        <v>12</v>
      </c>
      <c r="F436" s="23" t="s">
        <v>13</v>
      </c>
      <c r="G436" s="23" t="s">
        <v>20</v>
      </c>
      <c r="H436" s="23" t="s">
        <v>40</v>
      </c>
      <c r="I436" s="23" t="s">
        <v>31</v>
      </c>
      <c r="J436" s="24">
        <v>250000</v>
      </c>
      <c r="K436" s="23">
        <v>9</v>
      </c>
      <c r="L436" s="23" t="s">
        <v>17</v>
      </c>
      <c r="M436" s="25">
        <f t="shared" si="13"/>
        <v>200000</v>
      </c>
      <c r="N436" s="25">
        <f>'Working Sheet'!$J436*'Working Sheet'!$K436</f>
        <v>2250000</v>
      </c>
      <c r="O436" s="26">
        <f>'Working Sheet'!$M436*'Working Sheet'!$K436</f>
        <v>1800000</v>
      </c>
      <c r="P436" s="25">
        <f>'Working Sheet'!$N436-'Working Sheet'!$O436</f>
        <v>450000</v>
      </c>
    </row>
    <row r="437" spans="1:16" ht="14.25" customHeight="1" x14ac:dyDescent="0.25">
      <c r="A437" s="18" t="str">
        <f t="shared" ca="1" si="12"/>
        <v>ID_661</v>
      </c>
      <c r="B437" s="17">
        <v>45736</v>
      </c>
      <c r="C437" s="18" t="str">
        <f>TEXT('Working Sheet'!$B437,"mmm")</f>
        <v>Mar</v>
      </c>
      <c r="D437" s="18" t="s">
        <v>11</v>
      </c>
      <c r="E437" s="18" t="s">
        <v>26</v>
      </c>
      <c r="F437" s="18" t="s">
        <v>23</v>
      </c>
      <c r="G437" s="18" t="s">
        <v>14</v>
      </c>
      <c r="H437" s="18" t="s">
        <v>34</v>
      </c>
      <c r="I437" s="18" t="s">
        <v>16</v>
      </c>
      <c r="J437" s="19">
        <v>320000</v>
      </c>
      <c r="K437" s="18">
        <v>1</v>
      </c>
      <c r="L437" s="18" t="s">
        <v>24</v>
      </c>
      <c r="M437" s="20">
        <f t="shared" si="13"/>
        <v>256000</v>
      </c>
      <c r="N437" s="20">
        <f>'Working Sheet'!$J437*'Working Sheet'!$K437</f>
        <v>320000</v>
      </c>
      <c r="O437" s="21">
        <f>'Working Sheet'!$M437*'Working Sheet'!$K437</f>
        <v>256000</v>
      </c>
      <c r="P437" s="20">
        <f>'Working Sheet'!$N437-'Working Sheet'!$O437</f>
        <v>64000</v>
      </c>
    </row>
    <row r="438" spans="1:16" ht="14.25" customHeight="1" x14ac:dyDescent="0.25">
      <c r="A438" s="23" t="str">
        <f t="shared" ca="1" si="12"/>
        <v>ID_1312</v>
      </c>
      <c r="B438" s="22">
        <v>45695</v>
      </c>
      <c r="C438" s="23" t="str">
        <f>TEXT('Working Sheet'!$B438,"mmm")</f>
        <v>Feb</v>
      </c>
      <c r="D438" s="23" t="s">
        <v>25</v>
      </c>
      <c r="E438" s="23" t="s">
        <v>19</v>
      </c>
      <c r="F438" s="23" t="s">
        <v>13</v>
      </c>
      <c r="G438" s="23" t="s">
        <v>20</v>
      </c>
      <c r="H438" s="23" t="s">
        <v>33</v>
      </c>
      <c r="I438" s="23" t="s">
        <v>22</v>
      </c>
      <c r="J438" s="24">
        <v>180000</v>
      </c>
      <c r="K438" s="23">
        <v>10</v>
      </c>
      <c r="L438" s="23" t="s">
        <v>17</v>
      </c>
      <c r="M438" s="25">
        <f t="shared" si="13"/>
        <v>144000</v>
      </c>
      <c r="N438" s="25">
        <f>'Working Sheet'!$J438*'Working Sheet'!$K438</f>
        <v>1800000</v>
      </c>
      <c r="O438" s="26">
        <f>'Working Sheet'!$M438*'Working Sheet'!$K438</f>
        <v>1440000</v>
      </c>
      <c r="P438" s="25">
        <f>'Working Sheet'!$N438-'Working Sheet'!$O438</f>
        <v>360000</v>
      </c>
    </row>
    <row r="439" spans="1:16" ht="14.25" customHeight="1" x14ac:dyDescent="0.25">
      <c r="A439" s="18" t="str">
        <f t="shared" ca="1" si="12"/>
        <v>ID_554</v>
      </c>
      <c r="B439" s="17">
        <v>45754</v>
      </c>
      <c r="C439" s="18" t="str">
        <f>TEXT('Working Sheet'!$B439,"mmm")</f>
        <v>Apr</v>
      </c>
      <c r="D439" s="18" t="s">
        <v>18</v>
      </c>
      <c r="E439" s="18" t="s">
        <v>26</v>
      </c>
      <c r="F439" s="18" t="s">
        <v>13</v>
      </c>
      <c r="G439" s="18" t="s">
        <v>20</v>
      </c>
      <c r="H439" s="18" t="s">
        <v>30</v>
      </c>
      <c r="I439" s="18" t="s">
        <v>31</v>
      </c>
      <c r="J439" s="19">
        <v>300000</v>
      </c>
      <c r="K439" s="18">
        <v>10</v>
      </c>
      <c r="L439" s="18" t="s">
        <v>35</v>
      </c>
      <c r="M439" s="20">
        <f t="shared" si="13"/>
        <v>240000</v>
      </c>
      <c r="N439" s="20">
        <f>'Working Sheet'!$J439*'Working Sheet'!$K439</f>
        <v>3000000</v>
      </c>
      <c r="O439" s="21">
        <f>'Working Sheet'!$M439*'Working Sheet'!$K439</f>
        <v>2400000</v>
      </c>
      <c r="P439" s="20">
        <f>'Working Sheet'!$N439-'Working Sheet'!$O439</f>
        <v>600000</v>
      </c>
    </row>
    <row r="440" spans="1:16" ht="14.25" customHeight="1" x14ac:dyDescent="0.25">
      <c r="A440" s="23" t="str">
        <f t="shared" ca="1" si="12"/>
        <v>ID_281</v>
      </c>
      <c r="B440" s="22">
        <v>45762</v>
      </c>
      <c r="C440" s="23" t="str">
        <f>TEXT('Working Sheet'!$B440,"mmm")</f>
        <v>Apr</v>
      </c>
      <c r="D440" s="23" t="s">
        <v>25</v>
      </c>
      <c r="E440" s="23" t="s">
        <v>12</v>
      </c>
      <c r="F440" s="23" t="s">
        <v>13</v>
      </c>
      <c r="G440" s="23" t="s">
        <v>14</v>
      </c>
      <c r="H440" s="23" t="s">
        <v>38</v>
      </c>
      <c r="I440" s="23" t="s">
        <v>31</v>
      </c>
      <c r="J440" s="24">
        <v>420000</v>
      </c>
      <c r="K440" s="23">
        <v>4</v>
      </c>
      <c r="L440" s="23" t="s">
        <v>37</v>
      </c>
      <c r="M440" s="25">
        <f t="shared" si="13"/>
        <v>336000</v>
      </c>
      <c r="N440" s="25">
        <f>'Working Sheet'!$J440*'Working Sheet'!$K440</f>
        <v>1680000</v>
      </c>
      <c r="O440" s="26">
        <f>'Working Sheet'!$M440*'Working Sheet'!$K440</f>
        <v>1344000</v>
      </c>
      <c r="P440" s="25">
        <f>'Working Sheet'!$N440-'Working Sheet'!$O440</f>
        <v>336000</v>
      </c>
    </row>
    <row r="441" spans="1:16" ht="14.25" customHeight="1" x14ac:dyDescent="0.25">
      <c r="A441" s="18" t="str">
        <f t="shared" ca="1" si="12"/>
        <v>ID_1151</v>
      </c>
      <c r="B441" s="17">
        <v>45767</v>
      </c>
      <c r="C441" s="18" t="str">
        <f>TEXT('Working Sheet'!$B441,"mmm")</f>
        <v>Apr</v>
      </c>
      <c r="D441" s="18" t="s">
        <v>11</v>
      </c>
      <c r="E441" s="18" t="s">
        <v>12</v>
      </c>
      <c r="F441" s="18" t="s">
        <v>23</v>
      </c>
      <c r="G441" s="18" t="s">
        <v>20</v>
      </c>
      <c r="H441" s="18" t="s">
        <v>21</v>
      </c>
      <c r="I441" s="18" t="s">
        <v>22</v>
      </c>
      <c r="J441" s="19">
        <v>30000</v>
      </c>
      <c r="K441" s="18">
        <v>4</v>
      </c>
      <c r="L441" s="18" t="s">
        <v>28</v>
      </c>
      <c r="M441" s="20">
        <f t="shared" si="13"/>
        <v>24000</v>
      </c>
      <c r="N441" s="20">
        <f>'Working Sheet'!$J441*'Working Sheet'!$K441</f>
        <v>120000</v>
      </c>
      <c r="O441" s="21">
        <f>'Working Sheet'!$M441*'Working Sheet'!$K441</f>
        <v>96000</v>
      </c>
      <c r="P441" s="20">
        <f>'Working Sheet'!$N441-'Working Sheet'!$O441</f>
        <v>24000</v>
      </c>
    </row>
    <row r="442" spans="1:16" ht="14.25" customHeight="1" x14ac:dyDescent="0.25">
      <c r="A442" s="23" t="str">
        <f t="shared" ca="1" si="12"/>
        <v>ID_2019</v>
      </c>
      <c r="B442" s="22">
        <v>45741</v>
      </c>
      <c r="C442" s="23" t="str">
        <f>TEXT('Working Sheet'!$B442,"mmm")</f>
        <v>Mar</v>
      </c>
      <c r="D442" s="23" t="s">
        <v>29</v>
      </c>
      <c r="E442" s="23" t="s">
        <v>26</v>
      </c>
      <c r="F442" s="23" t="s">
        <v>13</v>
      </c>
      <c r="G442" s="23" t="s">
        <v>14</v>
      </c>
      <c r="H442" s="23" t="s">
        <v>21</v>
      </c>
      <c r="I442" s="23" t="s">
        <v>22</v>
      </c>
      <c r="J442" s="24">
        <v>30000</v>
      </c>
      <c r="K442" s="23">
        <v>10</v>
      </c>
      <c r="L442" s="23" t="s">
        <v>35</v>
      </c>
      <c r="M442" s="25">
        <f t="shared" si="13"/>
        <v>24000</v>
      </c>
      <c r="N442" s="25">
        <f>'Working Sheet'!$J442*'Working Sheet'!$K442</f>
        <v>300000</v>
      </c>
      <c r="O442" s="26">
        <f>'Working Sheet'!$M442*'Working Sheet'!$K442</f>
        <v>240000</v>
      </c>
      <c r="P442" s="25">
        <f>'Working Sheet'!$N442-'Working Sheet'!$O442</f>
        <v>60000</v>
      </c>
    </row>
    <row r="443" spans="1:16" ht="14.25" customHeight="1" x14ac:dyDescent="0.25">
      <c r="A443" s="18" t="str">
        <f t="shared" ca="1" si="12"/>
        <v>ID_905</v>
      </c>
      <c r="B443" s="17">
        <v>45755</v>
      </c>
      <c r="C443" s="18" t="str">
        <f>TEXT('Working Sheet'!$B443,"mmm")</f>
        <v>Apr</v>
      </c>
      <c r="D443" s="18" t="s">
        <v>25</v>
      </c>
      <c r="E443" s="18" t="s">
        <v>12</v>
      </c>
      <c r="F443" s="18" t="s">
        <v>23</v>
      </c>
      <c r="G443" s="18" t="s">
        <v>20</v>
      </c>
      <c r="H443" s="18" t="s">
        <v>27</v>
      </c>
      <c r="I443" s="18" t="s">
        <v>22</v>
      </c>
      <c r="J443" s="19">
        <v>60000</v>
      </c>
      <c r="K443" s="18">
        <v>7</v>
      </c>
      <c r="L443" s="18" t="s">
        <v>17</v>
      </c>
      <c r="M443" s="20">
        <f t="shared" si="13"/>
        <v>48000</v>
      </c>
      <c r="N443" s="20">
        <f>'Working Sheet'!$J443*'Working Sheet'!$K443</f>
        <v>420000</v>
      </c>
      <c r="O443" s="21">
        <f>'Working Sheet'!$M443*'Working Sheet'!$K443</f>
        <v>336000</v>
      </c>
      <c r="P443" s="20">
        <f>'Working Sheet'!$N443-'Working Sheet'!$O443</f>
        <v>84000</v>
      </c>
    </row>
    <row r="444" spans="1:16" ht="14.25" customHeight="1" x14ac:dyDescent="0.25">
      <c r="A444" s="23" t="str">
        <f t="shared" ca="1" si="12"/>
        <v>ID_535</v>
      </c>
      <c r="B444" s="22">
        <v>45735</v>
      </c>
      <c r="C444" s="23" t="str">
        <f>TEXT('Working Sheet'!$B444,"mmm")</f>
        <v>Mar</v>
      </c>
      <c r="D444" s="23" t="s">
        <v>29</v>
      </c>
      <c r="E444" s="23" t="s">
        <v>12</v>
      </c>
      <c r="F444" s="23" t="s">
        <v>23</v>
      </c>
      <c r="G444" s="23" t="s">
        <v>20</v>
      </c>
      <c r="H444" s="23" t="s">
        <v>33</v>
      </c>
      <c r="I444" s="23" t="s">
        <v>22</v>
      </c>
      <c r="J444" s="24">
        <v>180000</v>
      </c>
      <c r="K444" s="23">
        <v>4</v>
      </c>
      <c r="L444" s="23" t="s">
        <v>39</v>
      </c>
      <c r="M444" s="25">
        <f t="shared" si="13"/>
        <v>144000</v>
      </c>
      <c r="N444" s="25">
        <f>'Working Sheet'!$J444*'Working Sheet'!$K444</f>
        <v>720000</v>
      </c>
      <c r="O444" s="26">
        <f>'Working Sheet'!$M444*'Working Sheet'!$K444</f>
        <v>576000</v>
      </c>
      <c r="P444" s="25">
        <f>'Working Sheet'!$N444-'Working Sheet'!$O444</f>
        <v>144000</v>
      </c>
    </row>
    <row r="445" spans="1:16" ht="14.25" customHeight="1" x14ac:dyDescent="0.25">
      <c r="A445" s="18" t="str">
        <f t="shared" ca="1" si="12"/>
        <v>ID_1956</v>
      </c>
      <c r="B445" s="17">
        <v>45690</v>
      </c>
      <c r="C445" s="18" t="str">
        <f>TEXT('Working Sheet'!$B445,"mmm")</f>
        <v>Feb</v>
      </c>
      <c r="D445" s="18" t="s">
        <v>11</v>
      </c>
      <c r="E445" s="18" t="s">
        <v>32</v>
      </c>
      <c r="F445" s="18" t="s">
        <v>13</v>
      </c>
      <c r="G445" s="18" t="s">
        <v>20</v>
      </c>
      <c r="H445" s="18" t="s">
        <v>21</v>
      </c>
      <c r="I445" s="18" t="s">
        <v>22</v>
      </c>
      <c r="J445" s="19">
        <v>30000</v>
      </c>
      <c r="K445" s="18">
        <v>7</v>
      </c>
      <c r="L445" s="18" t="s">
        <v>35</v>
      </c>
      <c r="M445" s="20">
        <f t="shared" si="13"/>
        <v>24000</v>
      </c>
      <c r="N445" s="20">
        <f>'Working Sheet'!$J445*'Working Sheet'!$K445</f>
        <v>210000</v>
      </c>
      <c r="O445" s="21">
        <f>'Working Sheet'!$M445*'Working Sheet'!$K445</f>
        <v>168000</v>
      </c>
      <c r="P445" s="20">
        <f>'Working Sheet'!$N445-'Working Sheet'!$O445</f>
        <v>42000</v>
      </c>
    </row>
    <row r="446" spans="1:16" ht="14.25" customHeight="1" x14ac:dyDescent="0.25">
      <c r="A446" s="23" t="str">
        <f t="shared" ca="1" si="12"/>
        <v>ID_519</v>
      </c>
      <c r="B446" s="22">
        <v>45721</v>
      </c>
      <c r="C446" s="23" t="str">
        <f>TEXT('Working Sheet'!$B446,"mmm")</f>
        <v>Mar</v>
      </c>
      <c r="D446" s="23" t="s">
        <v>25</v>
      </c>
      <c r="E446" s="23" t="s">
        <v>19</v>
      </c>
      <c r="F446" s="23" t="s">
        <v>23</v>
      </c>
      <c r="G446" s="23" t="s">
        <v>20</v>
      </c>
      <c r="H446" s="23" t="s">
        <v>38</v>
      </c>
      <c r="I446" s="23" t="s">
        <v>31</v>
      </c>
      <c r="J446" s="24">
        <v>420000</v>
      </c>
      <c r="K446" s="23">
        <v>10</v>
      </c>
      <c r="L446" s="23" t="s">
        <v>17</v>
      </c>
      <c r="M446" s="25">
        <f t="shared" si="13"/>
        <v>336000</v>
      </c>
      <c r="N446" s="25">
        <f>'Working Sheet'!$J446*'Working Sheet'!$K446</f>
        <v>4200000</v>
      </c>
      <c r="O446" s="26">
        <f>'Working Sheet'!$M446*'Working Sheet'!$K446</f>
        <v>3360000</v>
      </c>
      <c r="P446" s="25">
        <f>'Working Sheet'!$N446-'Working Sheet'!$O446</f>
        <v>840000</v>
      </c>
    </row>
    <row r="447" spans="1:16" ht="14.25" customHeight="1" x14ac:dyDescent="0.25">
      <c r="A447" s="18" t="str">
        <f t="shared" ca="1" si="12"/>
        <v>ID_1200</v>
      </c>
      <c r="B447" s="17">
        <v>45711</v>
      </c>
      <c r="C447" s="18" t="str">
        <f>TEXT('Working Sheet'!$B447,"mmm")</f>
        <v>Feb</v>
      </c>
      <c r="D447" s="18" t="s">
        <v>18</v>
      </c>
      <c r="E447" s="18" t="s">
        <v>12</v>
      </c>
      <c r="F447" s="18" t="s">
        <v>23</v>
      </c>
      <c r="G447" s="18" t="s">
        <v>14</v>
      </c>
      <c r="H447" s="18" t="s">
        <v>38</v>
      </c>
      <c r="I447" s="18" t="s">
        <v>31</v>
      </c>
      <c r="J447" s="19">
        <v>420000</v>
      </c>
      <c r="K447" s="18">
        <v>7</v>
      </c>
      <c r="L447" s="18" t="s">
        <v>35</v>
      </c>
      <c r="M447" s="20">
        <f t="shared" si="13"/>
        <v>336000</v>
      </c>
      <c r="N447" s="20">
        <f>'Working Sheet'!$J447*'Working Sheet'!$K447</f>
        <v>2940000</v>
      </c>
      <c r="O447" s="21">
        <f>'Working Sheet'!$M447*'Working Sheet'!$K447</f>
        <v>2352000</v>
      </c>
      <c r="P447" s="20">
        <f>'Working Sheet'!$N447-'Working Sheet'!$O447</f>
        <v>588000</v>
      </c>
    </row>
    <row r="448" spans="1:16" ht="14.25" customHeight="1" x14ac:dyDescent="0.25">
      <c r="A448" s="23" t="str">
        <f t="shared" ca="1" si="12"/>
        <v>ID_1267</v>
      </c>
      <c r="B448" s="22">
        <v>45774</v>
      </c>
      <c r="C448" s="23" t="str">
        <f>TEXT('Working Sheet'!$B448,"mmm")</f>
        <v>Apr</v>
      </c>
      <c r="D448" s="23" t="s">
        <v>25</v>
      </c>
      <c r="E448" s="23" t="s">
        <v>26</v>
      </c>
      <c r="F448" s="23" t="s">
        <v>13</v>
      </c>
      <c r="G448" s="23" t="s">
        <v>20</v>
      </c>
      <c r="H448" s="23" t="s">
        <v>40</v>
      </c>
      <c r="I448" s="23" t="s">
        <v>31</v>
      </c>
      <c r="J448" s="24">
        <v>250000</v>
      </c>
      <c r="K448" s="23">
        <v>5</v>
      </c>
      <c r="L448" s="23" t="s">
        <v>24</v>
      </c>
      <c r="M448" s="25">
        <f t="shared" si="13"/>
        <v>200000</v>
      </c>
      <c r="N448" s="25">
        <f>'Working Sheet'!$J448*'Working Sheet'!$K448</f>
        <v>1250000</v>
      </c>
      <c r="O448" s="26">
        <f>'Working Sheet'!$M448*'Working Sheet'!$K448</f>
        <v>1000000</v>
      </c>
      <c r="P448" s="25">
        <f>'Working Sheet'!$N448-'Working Sheet'!$O448</f>
        <v>250000</v>
      </c>
    </row>
    <row r="449" spans="1:16" ht="14.25" customHeight="1" x14ac:dyDescent="0.25">
      <c r="A449" s="18" t="str">
        <f t="shared" ca="1" si="12"/>
        <v>ID_308</v>
      </c>
      <c r="B449" s="17">
        <v>45669</v>
      </c>
      <c r="C449" s="18" t="str">
        <f>TEXT('Working Sheet'!$B449,"mmm")</f>
        <v>Jan</v>
      </c>
      <c r="D449" s="18" t="s">
        <v>11</v>
      </c>
      <c r="E449" s="18" t="s">
        <v>32</v>
      </c>
      <c r="F449" s="18" t="s">
        <v>23</v>
      </c>
      <c r="G449" s="18" t="s">
        <v>14</v>
      </c>
      <c r="H449" s="18" t="s">
        <v>38</v>
      </c>
      <c r="I449" s="18" t="s">
        <v>31</v>
      </c>
      <c r="J449" s="19">
        <v>420000</v>
      </c>
      <c r="K449" s="18">
        <v>5</v>
      </c>
      <c r="L449" s="18" t="s">
        <v>28</v>
      </c>
      <c r="M449" s="20">
        <f t="shared" si="13"/>
        <v>336000</v>
      </c>
      <c r="N449" s="20">
        <f>'Working Sheet'!$J449*'Working Sheet'!$K449</f>
        <v>2100000</v>
      </c>
      <c r="O449" s="21">
        <f>'Working Sheet'!$M449*'Working Sheet'!$K449</f>
        <v>1680000</v>
      </c>
      <c r="P449" s="20">
        <f>'Working Sheet'!$N449-'Working Sheet'!$O449</f>
        <v>420000</v>
      </c>
    </row>
    <row r="450" spans="1:16" ht="14.25" customHeight="1" x14ac:dyDescent="0.25">
      <c r="A450" s="23" t="str">
        <f t="shared" ref="A450:A513" ca="1" si="14">"ID_"&amp; RANDBETWEEN(1,2098)</f>
        <v>ID_751</v>
      </c>
      <c r="B450" s="22">
        <v>45760</v>
      </c>
      <c r="C450" s="23" t="str">
        <f>TEXT('Working Sheet'!$B450,"mmm")</f>
        <v>Apr</v>
      </c>
      <c r="D450" s="23" t="s">
        <v>18</v>
      </c>
      <c r="E450" s="23" t="s">
        <v>26</v>
      </c>
      <c r="F450" s="23" t="s">
        <v>23</v>
      </c>
      <c r="G450" s="23" t="s">
        <v>20</v>
      </c>
      <c r="H450" s="23" t="s">
        <v>34</v>
      </c>
      <c r="I450" s="23" t="s">
        <v>16</v>
      </c>
      <c r="J450" s="24">
        <v>320000</v>
      </c>
      <c r="K450" s="23">
        <v>2</v>
      </c>
      <c r="L450" s="23" t="s">
        <v>28</v>
      </c>
      <c r="M450" s="25">
        <f t="shared" ref="M450:M513" si="15">J450-J450*0.2</f>
        <v>256000</v>
      </c>
      <c r="N450" s="25">
        <f>'Working Sheet'!$J450*'Working Sheet'!$K450</f>
        <v>640000</v>
      </c>
      <c r="O450" s="26">
        <f>'Working Sheet'!$M450*'Working Sheet'!$K450</f>
        <v>512000</v>
      </c>
      <c r="P450" s="25">
        <f>'Working Sheet'!$N450-'Working Sheet'!$O450</f>
        <v>128000</v>
      </c>
    </row>
    <row r="451" spans="1:16" ht="14.25" customHeight="1" x14ac:dyDescent="0.25">
      <c r="A451" s="18" t="str">
        <f t="shared" ca="1" si="14"/>
        <v>ID_848</v>
      </c>
      <c r="B451" s="17">
        <v>45762</v>
      </c>
      <c r="C451" s="18" t="str">
        <f>TEXT('Working Sheet'!$B451,"mmm")</f>
        <v>Apr</v>
      </c>
      <c r="D451" s="18" t="s">
        <v>29</v>
      </c>
      <c r="E451" s="18" t="s">
        <v>12</v>
      </c>
      <c r="F451" s="18" t="s">
        <v>13</v>
      </c>
      <c r="G451" s="18" t="s">
        <v>20</v>
      </c>
      <c r="H451" s="18" t="s">
        <v>30</v>
      </c>
      <c r="I451" s="18" t="s">
        <v>31</v>
      </c>
      <c r="J451" s="19">
        <v>300000</v>
      </c>
      <c r="K451" s="18">
        <v>10</v>
      </c>
      <c r="L451" s="18" t="s">
        <v>37</v>
      </c>
      <c r="M451" s="20">
        <f t="shared" si="15"/>
        <v>240000</v>
      </c>
      <c r="N451" s="20">
        <f>'Working Sheet'!$J451*'Working Sheet'!$K451</f>
        <v>3000000</v>
      </c>
      <c r="O451" s="21">
        <f>'Working Sheet'!$M451*'Working Sheet'!$K451</f>
        <v>2400000</v>
      </c>
      <c r="P451" s="20">
        <f>'Working Sheet'!$N451-'Working Sheet'!$O451</f>
        <v>600000</v>
      </c>
    </row>
    <row r="452" spans="1:16" ht="14.25" customHeight="1" x14ac:dyDescent="0.25">
      <c r="A452" s="23" t="str">
        <f t="shared" ca="1" si="14"/>
        <v>ID_357</v>
      </c>
      <c r="B452" s="22">
        <v>45680</v>
      </c>
      <c r="C452" s="23" t="str">
        <f>TEXT('Working Sheet'!$B452,"mmm")</f>
        <v>Jan</v>
      </c>
      <c r="D452" s="23" t="s">
        <v>18</v>
      </c>
      <c r="E452" s="23" t="s">
        <v>12</v>
      </c>
      <c r="F452" s="23" t="s">
        <v>13</v>
      </c>
      <c r="G452" s="23" t="s">
        <v>14</v>
      </c>
      <c r="H452" s="23" t="s">
        <v>40</v>
      </c>
      <c r="I452" s="23" t="s">
        <v>31</v>
      </c>
      <c r="J452" s="24">
        <v>250000</v>
      </c>
      <c r="K452" s="23">
        <v>5</v>
      </c>
      <c r="L452" s="23" t="s">
        <v>37</v>
      </c>
      <c r="M452" s="25">
        <f t="shared" si="15"/>
        <v>200000</v>
      </c>
      <c r="N452" s="25">
        <f>'Working Sheet'!$J452*'Working Sheet'!$K452</f>
        <v>1250000</v>
      </c>
      <c r="O452" s="26">
        <f>'Working Sheet'!$M452*'Working Sheet'!$K452</f>
        <v>1000000</v>
      </c>
      <c r="P452" s="25">
        <f>'Working Sheet'!$N452-'Working Sheet'!$O452</f>
        <v>250000</v>
      </c>
    </row>
    <row r="453" spans="1:16" ht="14.25" customHeight="1" x14ac:dyDescent="0.25">
      <c r="A453" s="18" t="str">
        <f t="shared" ca="1" si="14"/>
        <v>ID_661</v>
      </c>
      <c r="B453" s="17">
        <v>45755</v>
      </c>
      <c r="C453" s="18" t="str">
        <f>TEXT('Working Sheet'!$B453,"mmm")</f>
        <v>Apr</v>
      </c>
      <c r="D453" s="18" t="s">
        <v>25</v>
      </c>
      <c r="E453" s="18" t="s">
        <v>26</v>
      </c>
      <c r="F453" s="18" t="s">
        <v>23</v>
      </c>
      <c r="G453" s="18" t="s">
        <v>20</v>
      </c>
      <c r="H453" s="18" t="s">
        <v>40</v>
      </c>
      <c r="I453" s="18" t="s">
        <v>31</v>
      </c>
      <c r="J453" s="19">
        <v>250000</v>
      </c>
      <c r="K453" s="18">
        <v>2</v>
      </c>
      <c r="L453" s="18" t="s">
        <v>24</v>
      </c>
      <c r="M453" s="20">
        <f t="shared" si="15"/>
        <v>200000</v>
      </c>
      <c r="N453" s="20">
        <f>'Working Sheet'!$J453*'Working Sheet'!$K453</f>
        <v>500000</v>
      </c>
      <c r="O453" s="21">
        <f>'Working Sheet'!$M453*'Working Sheet'!$K453</f>
        <v>400000</v>
      </c>
      <c r="P453" s="20">
        <f>'Working Sheet'!$N453-'Working Sheet'!$O453</f>
        <v>100000</v>
      </c>
    </row>
    <row r="454" spans="1:16" ht="14.25" customHeight="1" x14ac:dyDescent="0.25">
      <c r="A454" s="23" t="str">
        <f t="shared" ca="1" si="14"/>
        <v>ID_1964</v>
      </c>
      <c r="B454" s="22">
        <v>45678</v>
      </c>
      <c r="C454" s="23" t="str">
        <f>TEXT('Working Sheet'!$B454,"mmm")</f>
        <v>Jan</v>
      </c>
      <c r="D454" s="23" t="s">
        <v>29</v>
      </c>
      <c r="E454" s="23" t="s">
        <v>19</v>
      </c>
      <c r="F454" s="23" t="s">
        <v>13</v>
      </c>
      <c r="G454" s="23" t="s">
        <v>20</v>
      </c>
      <c r="H454" s="23" t="s">
        <v>33</v>
      </c>
      <c r="I454" s="23" t="s">
        <v>22</v>
      </c>
      <c r="J454" s="24">
        <v>180000</v>
      </c>
      <c r="K454" s="23">
        <v>1</v>
      </c>
      <c r="L454" s="23" t="s">
        <v>17</v>
      </c>
      <c r="M454" s="25">
        <f t="shared" si="15"/>
        <v>144000</v>
      </c>
      <c r="N454" s="25">
        <f>'Working Sheet'!$J454*'Working Sheet'!$K454</f>
        <v>180000</v>
      </c>
      <c r="O454" s="26">
        <f>'Working Sheet'!$M454*'Working Sheet'!$K454</f>
        <v>144000</v>
      </c>
      <c r="P454" s="25">
        <f>'Working Sheet'!$N454-'Working Sheet'!$O454</f>
        <v>36000</v>
      </c>
    </row>
    <row r="455" spans="1:16" ht="14.25" customHeight="1" x14ac:dyDescent="0.25">
      <c r="A455" s="18" t="str">
        <f t="shared" ca="1" si="14"/>
        <v>ID_514</v>
      </c>
      <c r="B455" s="17">
        <v>45746</v>
      </c>
      <c r="C455" s="18" t="str">
        <f>TEXT('Working Sheet'!$B455,"mmm")</f>
        <v>Mar</v>
      </c>
      <c r="D455" s="18" t="s">
        <v>18</v>
      </c>
      <c r="E455" s="18" t="s">
        <v>19</v>
      </c>
      <c r="F455" s="18" t="s">
        <v>13</v>
      </c>
      <c r="G455" s="18" t="s">
        <v>20</v>
      </c>
      <c r="H455" s="18" t="s">
        <v>34</v>
      </c>
      <c r="I455" s="18" t="s">
        <v>16</v>
      </c>
      <c r="J455" s="19">
        <v>320000</v>
      </c>
      <c r="K455" s="18">
        <v>10</v>
      </c>
      <c r="L455" s="18" t="s">
        <v>35</v>
      </c>
      <c r="M455" s="20">
        <f t="shared" si="15"/>
        <v>256000</v>
      </c>
      <c r="N455" s="20">
        <f>'Working Sheet'!$J455*'Working Sheet'!$K455</f>
        <v>3200000</v>
      </c>
      <c r="O455" s="21">
        <f>'Working Sheet'!$M455*'Working Sheet'!$K455</f>
        <v>2560000</v>
      </c>
      <c r="P455" s="20">
        <f>'Working Sheet'!$N455-'Working Sheet'!$O455</f>
        <v>640000</v>
      </c>
    </row>
    <row r="456" spans="1:16" ht="14.25" customHeight="1" x14ac:dyDescent="0.25">
      <c r="A456" s="23" t="str">
        <f t="shared" ca="1" si="14"/>
        <v>ID_1016</v>
      </c>
      <c r="B456" s="22">
        <v>45699</v>
      </c>
      <c r="C456" s="23" t="str">
        <f>TEXT('Working Sheet'!$B456,"mmm")</f>
        <v>Feb</v>
      </c>
      <c r="D456" s="23" t="s">
        <v>25</v>
      </c>
      <c r="E456" s="23" t="s">
        <v>26</v>
      </c>
      <c r="F456" s="23" t="s">
        <v>23</v>
      </c>
      <c r="G456" s="23" t="s">
        <v>20</v>
      </c>
      <c r="H456" s="23" t="s">
        <v>36</v>
      </c>
      <c r="I456" s="23" t="s">
        <v>31</v>
      </c>
      <c r="J456" s="24">
        <v>150000</v>
      </c>
      <c r="K456" s="23">
        <v>2</v>
      </c>
      <c r="L456" s="23" t="s">
        <v>17</v>
      </c>
      <c r="M456" s="25">
        <f t="shared" si="15"/>
        <v>120000</v>
      </c>
      <c r="N456" s="25">
        <f>'Working Sheet'!$J456*'Working Sheet'!$K456</f>
        <v>300000</v>
      </c>
      <c r="O456" s="26">
        <f>'Working Sheet'!$M456*'Working Sheet'!$K456</f>
        <v>240000</v>
      </c>
      <c r="P456" s="25">
        <f>'Working Sheet'!$N456-'Working Sheet'!$O456</f>
        <v>60000</v>
      </c>
    </row>
    <row r="457" spans="1:16" ht="14.25" customHeight="1" x14ac:dyDescent="0.25">
      <c r="A457" s="18" t="str">
        <f t="shared" ca="1" si="14"/>
        <v>ID_1334</v>
      </c>
      <c r="B457" s="17">
        <v>45729</v>
      </c>
      <c r="C457" s="18" t="str">
        <f>TEXT('Working Sheet'!$B457,"mmm")</f>
        <v>Mar</v>
      </c>
      <c r="D457" s="18" t="s">
        <v>18</v>
      </c>
      <c r="E457" s="18" t="s">
        <v>19</v>
      </c>
      <c r="F457" s="18" t="s">
        <v>13</v>
      </c>
      <c r="G457" s="18" t="s">
        <v>20</v>
      </c>
      <c r="H457" s="18" t="s">
        <v>33</v>
      </c>
      <c r="I457" s="18" t="s">
        <v>22</v>
      </c>
      <c r="J457" s="19">
        <v>180000</v>
      </c>
      <c r="K457" s="18">
        <v>10</v>
      </c>
      <c r="L457" s="18" t="s">
        <v>28</v>
      </c>
      <c r="M457" s="20">
        <f t="shared" si="15"/>
        <v>144000</v>
      </c>
      <c r="N457" s="20">
        <f>'Working Sheet'!$J457*'Working Sheet'!$K457</f>
        <v>1800000</v>
      </c>
      <c r="O457" s="21">
        <f>'Working Sheet'!$M457*'Working Sheet'!$K457</f>
        <v>1440000</v>
      </c>
      <c r="P457" s="20">
        <f>'Working Sheet'!$N457-'Working Sheet'!$O457</f>
        <v>360000</v>
      </c>
    </row>
    <row r="458" spans="1:16" ht="14.25" customHeight="1" x14ac:dyDescent="0.25">
      <c r="A458" s="23" t="str">
        <f t="shared" ca="1" si="14"/>
        <v>ID_1352</v>
      </c>
      <c r="B458" s="22">
        <v>45766</v>
      </c>
      <c r="C458" s="23" t="str">
        <f>TEXT('Working Sheet'!$B458,"mmm")</f>
        <v>Apr</v>
      </c>
      <c r="D458" s="23" t="s">
        <v>11</v>
      </c>
      <c r="E458" s="23" t="s">
        <v>19</v>
      </c>
      <c r="F458" s="23" t="s">
        <v>13</v>
      </c>
      <c r="G458" s="23" t="s">
        <v>14</v>
      </c>
      <c r="H458" s="23" t="s">
        <v>36</v>
      </c>
      <c r="I458" s="23" t="s">
        <v>31</v>
      </c>
      <c r="J458" s="24">
        <v>150000</v>
      </c>
      <c r="K458" s="23">
        <v>2</v>
      </c>
      <c r="L458" s="23" t="s">
        <v>28</v>
      </c>
      <c r="M458" s="25">
        <f t="shared" si="15"/>
        <v>120000</v>
      </c>
      <c r="N458" s="25">
        <f>'Working Sheet'!$J458*'Working Sheet'!$K458</f>
        <v>300000</v>
      </c>
      <c r="O458" s="26">
        <f>'Working Sheet'!$M458*'Working Sheet'!$K458</f>
        <v>240000</v>
      </c>
      <c r="P458" s="25">
        <f>'Working Sheet'!$N458-'Working Sheet'!$O458</f>
        <v>60000</v>
      </c>
    </row>
    <row r="459" spans="1:16" ht="14.25" customHeight="1" x14ac:dyDescent="0.25">
      <c r="A459" s="18" t="str">
        <f t="shared" ca="1" si="14"/>
        <v>ID_124</v>
      </c>
      <c r="B459" s="17">
        <v>45766</v>
      </c>
      <c r="C459" s="18" t="str">
        <f>TEXT('Working Sheet'!$B459,"mmm")</f>
        <v>Apr</v>
      </c>
      <c r="D459" s="18" t="s">
        <v>25</v>
      </c>
      <c r="E459" s="18" t="s">
        <v>26</v>
      </c>
      <c r="F459" s="18" t="s">
        <v>23</v>
      </c>
      <c r="G459" s="18" t="s">
        <v>20</v>
      </c>
      <c r="H459" s="18" t="s">
        <v>27</v>
      </c>
      <c r="I459" s="18" t="s">
        <v>22</v>
      </c>
      <c r="J459" s="19">
        <v>60000</v>
      </c>
      <c r="K459" s="18">
        <v>10</v>
      </c>
      <c r="L459" s="18" t="s">
        <v>28</v>
      </c>
      <c r="M459" s="20">
        <f t="shared" si="15"/>
        <v>48000</v>
      </c>
      <c r="N459" s="20">
        <f>'Working Sheet'!$J459*'Working Sheet'!$K459</f>
        <v>600000</v>
      </c>
      <c r="O459" s="21">
        <f>'Working Sheet'!$M459*'Working Sheet'!$K459</f>
        <v>480000</v>
      </c>
      <c r="P459" s="20">
        <f>'Working Sheet'!$N459-'Working Sheet'!$O459</f>
        <v>120000</v>
      </c>
    </row>
    <row r="460" spans="1:16" ht="14.25" customHeight="1" x14ac:dyDescent="0.25">
      <c r="A460" s="23" t="str">
        <f t="shared" ca="1" si="14"/>
        <v>ID_713</v>
      </c>
      <c r="B460" s="22">
        <v>45734</v>
      </c>
      <c r="C460" s="23" t="str">
        <f>TEXT('Working Sheet'!$B460,"mmm")</f>
        <v>Mar</v>
      </c>
      <c r="D460" s="23" t="s">
        <v>11</v>
      </c>
      <c r="E460" s="23" t="s">
        <v>32</v>
      </c>
      <c r="F460" s="23" t="s">
        <v>23</v>
      </c>
      <c r="G460" s="23" t="s">
        <v>14</v>
      </c>
      <c r="H460" s="23" t="s">
        <v>41</v>
      </c>
      <c r="I460" s="23" t="s">
        <v>22</v>
      </c>
      <c r="J460" s="24">
        <v>220000</v>
      </c>
      <c r="K460" s="23">
        <v>4</v>
      </c>
      <c r="L460" s="23" t="s">
        <v>35</v>
      </c>
      <c r="M460" s="25">
        <f t="shared" si="15"/>
        <v>176000</v>
      </c>
      <c r="N460" s="25">
        <f>'Working Sheet'!$J460*'Working Sheet'!$K460</f>
        <v>880000</v>
      </c>
      <c r="O460" s="26">
        <f>'Working Sheet'!$M460*'Working Sheet'!$K460</f>
        <v>704000</v>
      </c>
      <c r="P460" s="25">
        <f>'Working Sheet'!$N460-'Working Sheet'!$O460</f>
        <v>176000</v>
      </c>
    </row>
    <row r="461" spans="1:16" ht="14.25" customHeight="1" x14ac:dyDescent="0.25">
      <c r="A461" s="18" t="str">
        <f t="shared" ca="1" si="14"/>
        <v>ID_1813</v>
      </c>
      <c r="B461" s="17">
        <v>45774</v>
      </c>
      <c r="C461" s="18" t="str">
        <f>TEXT('Working Sheet'!$B461,"mmm")</f>
        <v>Apr</v>
      </c>
      <c r="D461" s="18" t="s">
        <v>25</v>
      </c>
      <c r="E461" s="18" t="s">
        <v>19</v>
      </c>
      <c r="F461" s="18" t="s">
        <v>13</v>
      </c>
      <c r="G461" s="18" t="s">
        <v>14</v>
      </c>
      <c r="H461" s="18" t="s">
        <v>27</v>
      </c>
      <c r="I461" s="18" t="s">
        <v>22</v>
      </c>
      <c r="J461" s="19">
        <v>60000</v>
      </c>
      <c r="K461" s="18">
        <v>5</v>
      </c>
      <c r="L461" s="18" t="s">
        <v>35</v>
      </c>
      <c r="M461" s="20">
        <f t="shared" si="15"/>
        <v>48000</v>
      </c>
      <c r="N461" s="20">
        <f>'Working Sheet'!$J461*'Working Sheet'!$K461</f>
        <v>300000</v>
      </c>
      <c r="O461" s="21">
        <f>'Working Sheet'!$M461*'Working Sheet'!$K461</f>
        <v>240000</v>
      </c>
      <c r="P461" s="20">
        <f>'Working Sheet'!$N461-'Working Sheet'!$O461</f>
        <v>60000</v>
      </c>
    </row>
    <row r="462" spans="1:16" ht="14.25" customHeight="1" x14ac:dyDescent="0.25">
      <c r="A462" s="23" t="str">
        <f t="shared" ca="1" si="14"/>
        <v>ID_1701</v>
      </c>
      <c r="B462" s="22">
        <v>45699</v>
      </c>
      <c r="C462" s="23" t="str">
        <f>TEXT('Working Sheet'!$B462,"mmm")</f>
        <v>Feb</v>
      </c>
      <c r="D462" s="23" t="s">
        <v>25</v>
      </c>
      <c r="E462" s="23" t="s">
        <v>32</v>
      </c>
      <c r="F462" s="23" t="s">
        <v>23</v>
      </c>
      <c r="G462" s="23" t="s">
        <v>14</v>
      </c>
      <c r="H462" s="23" t="s">
        <v>40</v>
      </c>
      <c r="I462" s="23" t="s">
        <v>31</v>
      </c>
      <c r="J462" s="24">
        <v>250000</v>
      </c>
      <c r="K462" s="23">
        <v>3</v>
      </c>
      <c r="L462" s="23" t="s">
        <v>24</v>
      </c>
      <c r="M462" s="25">
        <f t="shared" si="15"/>
        <v>200000</v>
      </c>
      <c r="N462" s="25">
        <f>'Working Sheet'!$J462*'Working Sheet'!$K462</f>
        <v>750000</v>
      </c>
      <c r="O462" s="26">
        <f>'Working Sheet'!$M462*'Working Sheet'!$K462</f>
        <v>600000</v>
      </c>
      <c r="P462" s="25">
        <f>'Working Sheet'!$N462-'Working Sheet'!$O462</f>
        <v>150000</v>
      </c>
    </row>
    <row r="463" spans="1:16" ht="14.25" customHeight="1" x14ac:dyDescent="0.25">
      <c r="A463" s="18" t="str">
        <f t="shared" ca="1" si="14"/>
        <v>ID_681</v>
      </c>
      <c r="B463" s="17">
        <v>45673</v>
      </c>
      <c r="C463" s="18" t="str">
        <f>TEXT('Working Sheet'!$B463,"mmm")</f>
        <v>Jan</v>
      </c>
      <c r="D463" s="18" t="s">
        <v>25</v>
      </c>
      <c r="E463" s="18" t="s">
        <v>19</v>
      </c>
      <c r="F463" s="18" t="s">
        <v>23</v>
      </c>
      <c r="G463" s="18" t="s">
        <v>20</v>
      </c>
      <c r="H463" s="18" t="s">
        <v>36</v>
      </c>
      <c r="I463" s="18" t="s">
        <v>31</v>
      </c>
      <c r="J463" s="19">
        <v>150000</v>
      </c>
      <c r="K463" s="18">
        <v>1</v>
      </c>
      <c r="L463" s="18" t="s">
        <v>37</v>
      </c>
      <c r="M463" s="20">
        <f t="shared" si="15"/>
        <v>120000</v>
      </c>
      <c r="N463" s="20">
        <f>'Working Sheet'!$J463*'Working Sheet'!$K463</f>
        <v>150000</v>
      </c>
      <c r="O463" s="21">
        <f>'Working Sheet'!$M463*'Working Sheet'!$K463</f>
        <v>120000</v>
      </c>
      <c r="P463" s="20">
        <f>'Working Sheet'!$N463-'Working Sheet'!$O463</f>
        <v>30000</v>
      </c>
    </row>
    <row r="464" spans="1:16" ht="14.25" customHeight="1" x14ac:dyDescent="0.25">
      <c r="A464" s="23" t="str">
        <f t="shared" ca="1" si="14"/>
        <v>ID_570</v>
      </c>
      <c r="B464" s="22">
        <v>45712</v>
      </c>
      <c r="C464" s="23" t="str">
        <f>TEXT('Working Sheet'!$B464,"mmm")</f>
        <v>Feb</v>
      </c>
      <c r="D464" s="23" t="s">
        <v>29</v>
      </c>
      <c r="E464" s="23" t="s">
        <v>32</v>
      </c>
      <c r="F464" s="23" t="s">
        <v>23</v>
      </c>
      <c r="G464" s="23" t="s">
        <v>20</v>
      </c>
      <c r="H464" s="23" t="s">
        <v>41</v>
      </c>
      <c r="I464" s="23" t="s">
        <v>22</v>
      </c>
      <c r="J464" s="24">
        <v>220000</v>
      </c>
      <c r="K464" s="23">
        <v>1</v>
      </c>
      <c r="L464" s="23" t="s">
        <v>24</v>
      </c>
      <c r="M464" s="25">
        <f t="shared" si="15"/>
        <v>176000</v>
      </c>
      <c r="N464" s="25">
        <f>'Working Sheet'!$J464*'Working Sheet'!$K464</f>
        <v>220000</v>
      </c>
      <c r="O464" s="26">
        <f>'Working Sheet'!$M464*'Working Sheet'!$K464</f>
        <v>176000</v>
      </c>
      <c r="P464" s="25">
        <f>'Working Sheet'!$N464-'Working Sheet'!$O464</f>
        <v>44000</v>
      </c>
    </row>
    <row r="465" spans="1:16" ht="14.25" customHeight="1" x14ac:dyDescent="0.25">
      <c r="A465" s="18" t="str">
        <f t="shared" ca="1" si="14"/>
        <v>ID_1178</v>
      </c>
      <c r="B465" s="17">
        <v>45661</v>
      </c>
      <c r="C465" s="18" t="str">
        <f>TEXT('Working Sheet'!$B465,"mmm")</f>
        <v>Jan</v>
      </c>
      <c r="D465" s="18" t="s">
        <v>18</v>
      </c>
      <c r="E465" s="18" t="s">
        <v>26</v>
      </c>
      <c r="F465" s="18" t="s">
        <v>13</v>
      </c>
      <c r="G465" s="18" t="s">
        <v>20</v>
      </c>
      <c r="H465" s="18" t="s">
        <v>40</v>
      </c>
      <c r="I465" s="18" t="s">
        <v>31</v>
      </c>
      <c r="J465" s="19">
        <v>250000</v>
      </c>
      <c r="K465" s="18">
        <v>6</v>
      </c>
      <c r="L465" s="18" t="s">
        <v>37</v>
      </c>
      <c r="M465" s="20">
        <f t="shared" si="15"/>
        <v>200000</v>
      </c>
      <c r="N465" s="20">
        <f>'Working Sheet'!$J465*'Working Sheet'!$K465</f>
        <v>1500000</v>
      </c>
      <c r="O465" s="21">
        <f>'Working Sheet'!$M465*'Working Sheet'!$K465</f>
        <v>1200000</v>
      </c>
      <c r="P465" s="20">
        <f>'Working Sheet'!$N465-'Working Sheet'!$O465</f>
        <v>300000</v>
      </c>
    </row>
    <row r="466" spans="1:16" ht="14.25" customHeight="1" x14ac:dyDescent="0.25">
      <c r="A466" s="23" t="str">
        <f t="shared" ca="1" si="14"/>
        <v>ID_1530</v>
      </c>
      <c r="B466" s="22">
        <v>45735</v>
      </c>
      <c r="C466" s="23" t="str">
        <f>TEXT('Working Sheet'!$B466,"mmm")</f>
        <v>Mar</v>
      </c>
      <c r="D466" s="23" t="s">
        <v>11</v>
      </c>
      <c r="E466" s="23" t="s">
        <v>32</v>
      </c>
      <c r="F466" s="23" t="s">
        <v>13</v>
      </c>
      <c r="G466" s="23" t="s">
        <v>20</v>
      </c>
      <c r="H466" s="23" t="s">
        <v>41</v>
      </c>
      <c r="I466" s="23" t="s">
        <v>22</v>
      </c>
      <c r="J466" s="24">
        <v>220000</v>
      </c>
      <c r="K466" s="23">
        <v>10</v>
      </c>
      <c r="L466" s="23" t="s">
        <v>35</v>
      </c>
      <c r="M466" s="25">
        <f t="shared" si="15"/>
        <v>176000</v>
      </c>
      <c r="N466" s="25">
        <f>'Working Sheet'!$J466*'Working Sheet'!$K466</f>
        <v>2200000</v>
      </c>
      <c r="O466" s="26">
        <f>'Working Sheet'!$M466*'Working Sheet'!$K466</f>
        <v>1760000</v>
      </c>
      <c r="P466" s="25">
        <f>'Working Sheet'!$N466-'Working Sheet'!$O466</f>
        <v>440000</v>
      </c>
    </row>
    <row r="467" spans="1:16" ht="14.25" customHeight="1" x14ac:dyDescent="0.25">
      <c r="A467" s="18" t="str">
        <f t="shared" ca="1" si="14"/>
        <v>ID_701</v>
      </c>
      <c r="B467" s="17">
        <v>45773</v>
      </c>
      <c r="C467" s="18" t="str">
        <f>TEXT('Working Sheet'!$B467,"mmm")</f>
        <v>Apr</v>
      </c>
      <c r="D467" s="18" t="s">
        <v>18</v>
      </c>
      <c r="E467" s="18" t="s">
        <v>12</v>
      </c>
      <c r="F467" s="18" t="s">
        <v>13</v>
      </c>
      <c r="G467" s="18" t="s">
        <v>20</v>
      </c>
      <c r="H467" s="18" t="s">
        <v>33</v>
      </c>
      <c r="I467" s="18" t="s">
        <v>22</v>
      </c>
      <c r="J467" s="19">
        <v>180000</v>
      </c>
      <c r="K467" s="18">
        <v>10</v>
      </c>
      <c r="L467" s="18" t="s">
        <v>24</v>
      </c>
      <c r="M467" s="20">
        <f t="shared" si="15"/>
        <v>144000</v>
      </c>
      <c r="N467" s="20">
        <f>'Working Sheet'!$J467*'Working Sheet'!$K467</f>
        <v>1800000</v>
      </c>
      <c r="O467" s="21">
        <f>'Working Sheet'!$M467*'Working Sheet'!$K467</f>
        <v>1440000</v>
      </c>
      <c r="P467" s="20">
        <f>'Working Sheet'!$N467-'Working Sheet'!$O467</f>
        <v>360000</v>
      </c>
    </row>
    <row r="468" spans="1:16" ht="14.25" customHeight="1" x14ac:dyDescent="0.25">
      <c r="A468" s="23" t="str">
        <f t="shared" ca="1" si="14"/>
        <v>ID_1398</v>
      </c>
      <c r="B468" s="22">
        <v>45726</v>
      </c>
      <c r="C468" s="23" t="str">
        <f>TEXT('Working Sheet'!$B468,"mmm")</f>
        <v>Mar</v>
      </c>
      <c r="D468" s="23" t="s">
        <v>11</v>
      </c>
      <c r="E468" s="23" t="s">
        <v>12</v>
      </c>
      <c r="F468" s="23" t="s">
        <v>23</v>
      </c>
      <c r="G468" s="23" t="s">
        <v>14</v>
      </c>
      <c r="H468" s="23" t="s">
        <v>27</v>
      </c>
      <c r="I468" s="23" t="s">
        <v>22</v>
      </c>
      <c r="J468" s="24">
        <v>60000</v>
      </c>
      <c r="K468" s="23">
        <v>6</v>
      </c>
      <c r="L468" s="23" t="s">
        <v>39</v>
      </c>
      <c r="M468" s="25">
        <f t="shared" si="15"/>
        <v>48000</v>
      </c>
      <c r="N468" s="25">
        <f>'Working Sheet'!$J468*'Working Sheet'!$K468</f>
        <v>360000</v>
      </c>
      <c r="O468" s="26">
        <f>'Working Sheet'!$M468*'Working Sheet'!$K468</f>
        <v>288000</v>
      </c>
      <c r="P468" s="25">
        <f>'Working Sheet'!$N468-'Working Sheet'!$O468</f>
        <v>72000</v>
      </c>
    </row>
    <row r="469" spans="1:16" ht="14.25" customHeight="1" x14ac:dyDescent="0.25">
      <c r="A469" s="18" t="str">
        <f t="shared" ca="1" si="14"/>
        <v>ID_1643</v>
      </c>
      <c r="B469" s="17">
        <v>45767</v>
      </c>
      <c r="C469" s="18" t="str">
        <f>TEXT('Working Sheet'!$B469,"mmm")</f>
        <v>Apr</v>
      </c>
      <c r="D469" s="18" t="s">
        <v>29</v>
      </c>
      <c r="E469" s="18" t="s">
        <v>26</v>
      </c>
      <c r="F469" s="18" t="s">
        <v>13</v>
      </c>
      <c r="G469" s="18" t="s">
        <v>20</v>
      </c>
      <c r="H469" s="18" t="s">
        <v>41</v>
      </c>
      <c r="I469" s="18" t="s">
        <v>22</v>
      </c>
      <c r="J469" s="19">
        <v>220000</v>
      </c>
      <c r="K469" s="18">
        <v>4</v>
      </c>
      <c r="L469" s="18" t="s">
        <v>24</v>
      </c>
      <c r="M469" s="20">
        <f t="shared" si="15"/>
        <v>176000</v>
      </c>
      <c r="N469" s="20">
        <f>'Working Sheet'!$J469*'Working Sheet'!$K469</f>
        <v>880000</v>
      </c>
      <c r="O469" s="21">
        <f>'Working Sheet'!$M469*'Working Sheet'!$K469</f>
        <v>704000</v>
      </c>
      <c r="P469" s="20">
        <f>'Working Sheet'!$N469-'Working Sheet'!$O469</f>
        <v>176000</v>
      </c>
    </row>
    <row r="470" spans="1:16" ht="14.25" customHeight="1" x14ac:dyDescent="0.25">
      <c r="A470" s="23" t="str">
        <f t="shared" ca="1" si="14"/>
        <v>ID_2024</v>
      </c>
      <c r="B470" s="22">
        <v>45701</v>
      </c>
      <c r="C470" s="23" t="str">
        <f>TEXT('Working Sheet'!$B470,"mmm")</f>
        <v>Feb</v>
      </c>
      <c r="D470" s="23" t="s">
        <v>25</v>
      </c>
      <c r="E470" s="23" t="s">
        <v>32</v>
      </c>
      <c r="F470" s="23" t="s">
        <v>23</v>
      </c>
      <c r="G470" s="23" t="s">
        <v>14</v>
      </c>
      <c r="H470" s="23" t="s">
        <v>36</v>
      </c>
      <c r="I470" s="23" t="s">
        <v>31</v>
      </c>
      <c r="J470" s="24">
        <v>150000</v>
      </c>
      <c r="K470" s="23">
        <v>1</v>
      </c>
      <c r="L470" s="23" t="s">
        <v>24</v>
      </c>
      <c r="M470" s="25">
        <f t="shared" si="15"/>
        <v>120000</v>
      </c>
      <c r="N470" s="25">
        <f>'Working Sheet'!$J470*'Working Sheet'!$K470</f>
        <v>150000</v>
      </c>
      <c r="O470" s="26">
        <f>'Working Sheet'!$M470*'Working Sheet'!$K470</f>
        <v>120000</v>
      </c>
      <c r="P470" s="25">
        <f>'Working Sheet'!$N470-'Working Sheet'!$O470</f>
        <v>30000</v>
      </c>
    </row>
    <row r="471" spans="1:16" ht="14.25" customHeight="1" x14ac:dyDescent="0.25">
      <c r="A471" s="18" t="str">
        <f t="shared" ca="1" si="14"/>
        <v>ID_1395</v>
      </c>
      <c r="B471" s="17">
        <v>45691</v>
      </c>
      <c r="C471" s="18" t="str">
        <f>TEXT('Working Sheet'!$B471,"mmm")</f>
        <v>Feb</v>
      </c>
      <c r="D471" s="18" t="s">
        <v>25</v>
      </c>
      <c r="E471" s="18" t="s">
        <v>26</v>
      </c>
      <c r="F471" s="18" t="s">
        <v>13</v>
      </c>
      <c r="G471" s="18" t="s">
        <v>20</v>
      </c>
      <c r="H471" s="18" t="s">
        <v>33</v>
      </c>
      <c r="I471" s="18" t="s">
        <v>22</v>
      </c>
      <c r="J471" s="19">
        <v>180000</v>
      </c>
      <c r="K471" s="18">
        <v>1</v>
      </c>
      <c r="L471" s="18" t="s">
        <v>28</v>
      </c>
      <c r="M471" s="20">
        <f t="shared" si="15"/>
        <v>144000</v>
      </c>
      <c r="N471" s="20">
        <f>'Working Sheet'!$J471*'Working Sheet'!$K471</f>
        <v>180000</v>
      </c>
      <c r="O471" s="21">
        <f>'Working Sheet'!$M471*'Working Sheet'!$K471</f>
        <v>144000</v>
      </c>
      <c r="P471" s="20">
        <f>'Working Sheet'!$N471-'Working Sheet'!$O471</f>
        <v>36000</v>
      </c>
    </row>
    <row r="472" spans="1:16" ht="14.25" customHeight="1" x14ac:dyDescent="0.25">
      <c r="A472" s="23" t="str">
        <f t="shared" ca="1" si="14"/>
        <v>ID_369</v>
      </c>
      <c r="B472" s="22">
        <v>45758</v>
      </c>
      <c r="C472" s="23" t="str">
        <f>TEXT('Working Sheet'!$B472,"mmm")</f>
        <v>Apr</v>
      </c>
      <c r="D472" s="23" t="s">
        <v>18</v>
      </c>
      <c r="E472" s="23" t="s">
        <v>32</v>
      </c>
      <c r="F472" s="23" t="s">
        <v>23</v>
      </c>
      <c r="G472" s="23" t="s">
        <v>20</v>
      </c>
      <c r="H472" s="23" t="s">
        <v>41</v>
      </c>
      <c r="I472" s="23" t="s">
        <v>22</v>
      </c>
      <c r="J472" s="24">
        <v>220000</v>
      </c>
      <c r="K472" s="23">
        <v>8</v>
      </c>
      <c r="L472" s="23" t="s">
        <v>28</v>
      </c>
      <c r="M472" s="25">
        <f t="shared" si="15"/>
        <v>176000</v>
      </c>
      <c r="N472" s="25">
        <f>'Working Sheet'!$J472*'Working Sheet'!$K472</f>
        <v>1760000</v>
      </c>
      <c r="O472" s="26">
        <f>'Working Sheet'!$M472*'Working Sheet'!$K472</f>
        <v>1408000</v>
      </c>
      <c r="P472" s="25">
        <f>'Working Sheet'!$N472-'Working Sheet'!$O472</f>
        <v>352000</v>
      </c>
    </row>
    <row r="473" spans="1:16" ht="14.25" customHeight="1" x14ac:dyDescent="0.25">
      <c r="A473" s="18" t="str">
        <f t="shared" ca="1" si="14"/>
        <v>ID_1827</v>
      </c>
      <c r="B473" s="17">
        <v>45683</v>
      </c>
      <c r="C473" s="18" t="str">
        <f>TEXT('Working Sheet'!$B473,"mmm")</f>
        <v>Jan</v>
      </c>
      <c r="D473" s="18" t="s">
        <v>11</v>
      </c>
      <c r="E473" s="18" t="s">
        <v>19</v>
      </c>
      <c r="F473" s="18" t="s">
        <v>13</v>
      </c>
      <c r="G473" s="18" t="s">
        <v>20</v>
      </c>
      <c r="H473" s="18" t="s">
        <v>40</v>
      </c>
      <c r="I473" s="18" t="s">
        <v>31</v>
      </c>
      <c r="J473" s="19">
        <v>250000</v>
      </c>
      <c r="K473" s="18">
        <v>3</v>
      </c>
      <c r="L473" s="18" t="s">
        <v>24</v>
      </c>
      <c r="M473" s="20">
        <f t="shared" si="15"/>
        <v>200000</v>
      </c>
      <c r="N473" s="20">
        <f>'Working Sheet'!$J473*'Working Sheet'!$K473</f>
        <v>750000</v>
      </c>
      <c r="O473" s="21">
        <f>'Working Sheet'!$M473*'Working Sheet'!$K473</f>
        <v>600000</v>
      </c>
      <c r="P473" s="20">
        <f>'Working Sheet'!$N473-'Working Sheet'!$O473</f>
        <v>150000</v>
      </c>
    </row>
    <row r="474" spans="1:16" ht="14.25" customHeight="1" x14ac:dyDescent="0.25">
      <c r="A474" s="23" t="str">
        <f t="shared" ca="1" si="14"/>
        <v>ID_1132</v>
      </c>
      <c r="B474" s="22">
        <v>45721</v>
      </c>
      <c r="C474" s="23" t="str">
        <f>TEXT('Working Sheet'!$B474,"mmm")</f>
        <v>Mar</v>
      </c>
      <c r="D474" s="23" t="s">
        <v>29</v>
      </c>
      <c r="E474" s="23" t="s">
        <v>19</v>
      </c>
      <c r="F474" s="23" t="s">
        <v>23</v>
      </c>
      <c r="G474" s="23" t="s">
        <v>20</v>
      </c>
      <c r="H474" s="23" t="s">
        <v>27</v>
      </c>
      <c r="I474" s="23" t="s">
        <v>22</v>
      </c>
      <c r="J474" s="24">
        <v>60000</v>
      </c>
      <c r="K474" s="23">
        <v>1</v>
      </c>
      <c r="L474" s="23" t="s">
        <v>35</v>
      </c>
      <c r="M474" s="25">
        <f t="shared" si="15"/>
        <v>48000</v>
      </c>
      <c r="N474" s="25">
        <f>'Working Sheet'!$J474*'Working Sheet'!$K474</f>
        <v>60000</v>
      </c>
      <c r="O474" s="26">
        <f>'Working Sheet'!$M474*'Working Sheet'!$K474</f>
        <v>48000</v>
      </c>
      <c r="P474" s="25">
        <f>'Working Sheet'!$N474-'Working Sheet'!$O474</f>
        <v>12000</v>
      </c>
    </row>
    <row r="475" spans="1:16" ht="14.25" customHeight="1" x14ac:dyDescent="0.25">
      <c r="A475" s="18" t="str">
        <f t="shared" ca="1" si="14"/>
        <v>ID_610</v>
      </c>
      <c r="B475" s="17">
        <v>45760</v>
      </c>
      <c r="C475" s="18" t="str">
        <f>TEXT('Working Sheet'!$B475,"mmm")</f>
        <v>Apr</v>
      </c>
      <c r="D475" s="18" t="s">
        <v>18</v>
      </c>
      <c r="E475" s="18" t="s">
        <v>32</v>
      </c>
      <c r="F475" s="18" t="s">
        <v>13</v>
      </c>
      <c r="G475" s="18" t="s">
        <v>20</v>
      </c>
      <c r="H475" s="18" t="s">
        <v>34</v>
      </c>
      <c r="I475" s="18" t="s">
        <v>16</v>
      </c>
      <c r="J475" s="19">
        <v>320000</v>
      </c>
      <c r="K475" s="18">
        <v>4</v>
      </c>
      <c r="L475" s="18" t="s">
        <v>17</v>
      </c>
      <c r="M475" s="20">
        <f t="shared" si="15"/>
        <v>256000</v>
      </c>
      <c r="N475" s="20">
        <f>'Working Sheet'!$J475*'Working Sheet'!$K475</f>
        <v>1280000</v>
      </c>
      <c r="O475" s="21">
        <f>'Working Sheet'!$M475*'Working Sheet'!$K475</f>
        <v>1024000</v>
      </c>
      <c r="P475" s="20">
        <f>'Working Sheet'!$N475-'Working Sheet'!$O475</f>
        <v>256000</v>
      </c>
    </row>
    <row r="476" spans="1:16" ht="14.25" customHeight="1" x14ac:dyDescent="0.25">
      <c r="A476" s="23" t="str">
        <f t="shared" ca="1" si="14"/>
        <v>ID_19</v>
      </c>
      <c r="B476" s="22">
        <v>45731</v>
      </c>
      <c r="C476" s="23" t="str">
        <f>TEXT('Working Sheet'!$B476,"mmm")</f>
        <v>Mar</v>
      </c>
      <c r="D476" s="23" t="s">
        <v>25</v>
      </c>
      <c r="E476" s="23" t="s">
        <v>26</v>
      </c>
      <c r="F476" s="23" t="s">
        <v>23</v>
      </c>
      <c r="G476" s="23" t="s">
        <v>20</v>
      </c>
      <c r="H476" s="23" t="s">
        <v>38</v>
      </c>
      <c r="I476" s="23" t="s">
        <v>31</v>
      </c>
      <c r="J476" s="24">
        <v>420000</v>
      </c>
      <c r="K476" s="23">
        <v>8</v>
      </c>
      <c r="L476" s="23" t="s">
        <v>24</v>
      </c>
      <c r="M476" s="25">
        <f t="shared" si="15"/>
        <v>336000</v>
      </c>
      <c r="N476" s="25">
        <f>'Working Sheet'!$J476*'Working Sheet'!$K476</f>
        <v>3360000</v>
      </c>
      <c r="O476" s="26">
        <f>'Working Sheet'!$M476*'Working Sheet'!$K476</f>
        <v>2688000</v>
      </c>
      <c r="P476" s="25">
        <f>'Working Sheet'!$N476-'Working Sheet'!$O476</f>
        <v>672000</v>
      </c>
    </row>
    <row r="477" spans="1:16" ht="14.25" customHeight="1" x14ac:dyDescent="0.25">
      <c r="A477" s="18" t="str">
        <f t="shared" ca="1" si="14"/>
        <v>ID_114</v>
      </c>
      <c r="B477" s="17">
        <v>45709</v>
      </c>
      <c r="C477" s="18" t="str">
        <f>TEXT('Working Sheet'!$B477,"mmm")</f>
        <v>Feb</v>
      </c>
      <c r="D477" s="18" t="s">
        <v>25</v>
      </c>
      <c r="E477" s="18" t="s">
        <v>19</v>
      </c>
      <c r="F477" s="18" t="s">
        <v>23</v>
      </c>
      <c r="G477" s="18" t="s">
        <v>20</v>
      </c>
      <c r="H477" s="18" t="s">
        <v>38</v>
      </c>
      <c r="I477" s="18" t="s">
        <v>31</v>
      </c>
      <c r="J477" s="19">
        <v>420000</v>
      </c>
      <c r="K477" s="18">
        <v>8</v>
      </c>
      <c r="L477" s="18" t="s">
        <v>35</v>
      </c>
      <c r="M477" s="20">
        <f t="shared" si="15"/>
        <v>336000</v>
      </c>
      <c r="N477" s="20">
        <f>'Working Sheet'!$J477*'Working Sheet'!$K477</f>
        <v>3360000</v>
      </c>
      <c r="O477" s="21">
        <f>'Working Sheet'!$M477*'Working Sheet'!$K477</f>
        <v>2688000</v>
      </c>
      <c r="P477" s="20">
        <f>'Working Sheet'!$N477-'Working Sheet'!$O477</f>
        <v>672000</v>
      </c>
    </row>
    <row r="478" spans="1:16" ht="14.25" customHeight="1" x14ac:dyDescent="0.25">
      <c r="A478" s="23" t="str">
        <f t="shared" ca="1" si="14"/>
        <v>ID_592</v>
      </c>
      <c r="B478" s="22">
        <v>45687</v>
      </c>
      <c r="C478" s="23" t="str">
        <f>TEXT('Working Sheet'!$B478,"mmm")</f>
        <v>Jan</v>
      </c>
      <c r="D478" s="23" t="s">
        <v>29</v>
      </c>
      <c r="E478" s="23" t="s">
        <v>19</v>
      </c>
      <c r="F478" s="23" t="s">
        <v>13</v>
      </c>
      <c r="G478" s="23" t="s">
        <v>20</v>
      </c>
      <c r="H478" s="23" t="s">
        <v>27</v>
      </c>
      <c r="I478" s="23" t="s">
        <v>22</v>
      </c>
      <c r="J478" s="24">
        <v>60000</v>
      </c>
      <c r="K478" s="23">
        <v>1</v>
      </c>
      <c r="L478" s="23" t="s">
        <v>39</v>
      </c>
      <c r="M478" s="25">
        <f t="shared" si="15"/>
        <v>48000</v>
      </c>
      <c r="N478" s="25">
        <f>'Working Sheet'!$J478*'Working Sheet'!$K478</f>
        <v>60000</v>
      </c>
      <c r="O478" s="26">
        <f>'Working Sheet'!$M478*'Working Sheet'!$K478</f>
        <v>48000</v>
      </c>
      <c r="P478" s="25">
        <f>'Working Sheet'!$N478-'Working Sheet'!$O478</f>
        <v>12000</v>
      </c>
    </row>
    <row r="479" spans="1:16" ht="14.25" customHeight="1" x14ac:dyDescent="0.25">
      <c r="A479" s="18" t="str">
        <f t="shared" ca="1" si="14"/>
        <v>ID_1581</v>
      </c>
      <c r="B479" s="17">
        <v>45720</v>
      </c>
      <c r="C479" s="18" t="str">
        <f>TEXT('Working Sheet'!$B479,"mmm")</f>
        <v>Mar</v>
      </c>
      <c r="D479" s="18" t="s">
        <v>18</v>
      </c>
      <c r="E479" s="18" t="s">
        <v>12</v>
      </c>
      <c r="F479" s="18" t="s">
        <v>23</v>
      </c>
      <c r="G479" s="18" t="s">
        <v>20</v>
      </c>
      <c r="H479" s="18" t="s">
        <v>33</v>
      </c>
      <c r="I479" s="18" t="s">
        <v>22</v>
      </c>
      <c r="J479" s="19">
        <v>180000</v>
      </c>
      <c r="K479" s="18">
        <v>8</v>
      </c>
      <c r="L479" s="18" t="s">
        <v>24</v>
      </c>
      <c r="M479" s="20">
        <f t="shared" si="15"/>
        <v>144000</v>
      </c>
      <c r="N479" s="20">
        <f>'Working Sheet'!$J479*'Working Sheet'!$K479</f>
        <v>1440000</v>
      </c>
      <c r="O479" s="21">
        <f>'Working Sheet'!$M479*'Working Sheet'!$K479</f>
        <v>1152000</v>
      </c>
      <c r="P479" s="20">
        <f>'Working Sheet'!$N479-'Working Sheet'!$O479</f>
        <v>288000</v>
      </c>
    </row>
    <row r="480" spans="1:16" ht="14.25" customHeight="1" x14ac:dyDescent="0.25">
      <c r="A480" s="23" t="str">
        <f t="shared" ca="1" si="14"/>
        <v>ID_1762</v>
      </c>
      <c r="B480" s="22">
        <v>45659</v>
      </c>
      <c r="C480" s="23" t="str">
        <f>TEXT('Working Sheet'!$B480,"mmm")</f>
        <v>Jan</v>
      </c>
      <c r="D480" s="23" t="s">
        <v>11</v>
      </c>
      <c r="E480" s="23" t="s">
        <v>19</v>
      </c>
      <c r="F480" s="23" t="s">
        <v>23</v>
      </c>
      <c r="G480" s="23" t="s">
        <v>20</v>
      </c>
      <c r="H480" s="23" t="s">
        <v>33</v>
      </c>
      <c r="I480" s="23" t="s">
        <v>22</v>
      </c>
      <c r="J480" s="24">
        <v>180000</v>
      </c>
      <c r="K480" s="23">
        <v>2</v>
      </c>
      <c r="L480" s="23" t="s">
        <v>24</v>
      </c>
      <c r="M480" s="25">
        <f t="shared" si="15"/>
        <v>144000</v>
      </c>
      <c r="N480" s="25">
        <f>'Working Sheet'!$J480*'Working Sheet'!$K480</f>
        <v>360000</v>
      </c>
      <c r="O480" s="26">
        <f>'Working Sheet'!$M480*'Working Sheet'!$K480</f>
        <v>288000</v>
      </c>
      <c r="P480" s="25">
        <f>'Working Sheet'!$N480-'Working Sheet'!$O480</f>
        <v>72000</v>
      </c>
    </row>
    <row r="481" spans="1:16" ht="14.25" customHeight="1" x14ac:dyDescent="0.25">
      <c r="A481" s="18" t="str">
        <f t="shared" ca="1" si="14"/>
        <v>ID_1933</v>
      </c>
      <c r="B481" s="17">
        <v>45767</v>
      </c>
      <c r="C481" s="18" t="str">
        <f>TEXT('Working Sheet'!$B481,"mmm")</f>
        <v>Apr</v>
      </c>
      <c r="D481" s="18" t="s">
        <v>25</v>
      </c>
      <c r="E481" s="18" t="s">
        <v>19</v>
      </c>
      <c r="F481" s="18" t="s">
        <v>23</v>
      </c>
      <c r="G481" s="18" t="s">
        <v>14</v>
      </c>
      <c r="H481" s="18" t="s">
        <v>30</v>
      </c>
      <c r="I481" s="18" t="s">
        <v>31</v>
      </c>
      <c r="J481" s="19">
        <v>300000</v>
      </c>
      <c r="K481" s="18">
        <v>7</v>
      </c>
      <c r="L481" s="18" t="s">
        <v>35</v>
      </c>
      <c r="M481" s="20">
        <f t="shared" si="15"/>
        <v>240000</v>
      </c>
      <c r="N481" s="20">
        <f>'Working Sheet'!$J481*'Working Sheet'!$K481</f>
        <v>2100000</v>
      </c>
      <c r="O481" s="21">
        <f>'Working Sheet'!$M481*'Working Sheet'!$K481</f>
        <v>1680000</v>
      </c>
      <c r="P481" s="20">
        <f>'Working Sheet'!$N481-'Working Sheet'!$O481</f>
        <v>420000</v>
      </c>
    </row>
    <row r="482" spans="1:16" ht="14.25" customHeight="1" x14ac:dyDescent="0.25">
      <c r="A482" s="23" t="str">
        <f t="shared" ca="1" si="14"/>
        <v>ID_746</v>
      </c>
      <c r="B482" s="22">
        <v>45667</v>
      </c>
      <c r="C482" s="23" t="str">
        <f>TEXT('Working Sheet'!$B482,"mmm")</f>
        <v>Jan</v>
      </c>
      <c r="D482" s="23" t="s">
        <v>11</v>
      </c>
      <c r="E482" s="23" t="s">
        <v>26</v>
      </c>
      <c r="F482" s="23" t="s">
        <v>13</v>
      </c>
      <c r="G482" s="23" t="s">
        <v>14</v>
      </c>
      <c r="H482" s="23" t="s">
        <v>40</v>
      </c>
      <c r="I482" s="23" t="s">
        <v>31</v>
      </c>
      <c r="J482" s="24">
        <v>250000</v>
      </c>
      <c r="K482" s="23">
        <v>6</v>
      </c>
      <c r="L482" s="23" t="s">
        <v>35</v>
      </c>
      <c r="M482" s="25">
        <f t="shared" si="15"/>
        <v>200000</v>
      </c>
      <c r="N482" s="25">
        <f>'Working Sheet'!$J482*'Working Sheet'!$K482</f>
        <v>1500000</v>
      </c>
      <c r="O482" s="26">
        <f>'Working Sheet'!$M482*'Working Sheet'!$K482</f>
        <v>1200000</v>
      </c>
      <c r="P482" s="25">
        <f>'Working Sheet'!$N482-'Working Sheet'!$O482</f>
        <v>300000</v>
      </c>
    </row>
    <row r="483" spans="1:16" ht="14.25" customHeight="1" x14ac:dyDescent="0.25">
      <c r="A483" s="18" t="str">
        <f t="shared" ca="1" si="14"/>
        <v>ID_1132</v>
      </c>
      <c r="B483" s="17">
        <v>45757</v>
      </c>
      <c r="C483" s="18" t="str">
        <f>TEXT('Working Sheet'!$B483,"mmm")</f>
        <v>Apr</v>
      </c>
      <c r="D483" s="18" t="s">
        <v>29</v>
      </c>
      <c r="E483" s="18" t="s">
        <v>26</v>
      </c>
      <c r="F483" s="18" t="s">
        <v>13</v>
      </c>
      <c r="G483" s="18" t="s">
        <v>20</v>
      </c>
      <c r="H483" s="18" t="s">
        <v>36</v>
      </c>
      <c r="I483" s="18" t="s">
        <v>31</v>
      </c>
      <c r="J483" s="19">
        <v>150000</v>
      </c>
      <c r="K483" s="18">
        <v>5</v>
      </c>
      <c r="L483" s="18" t="s">
        <v>24</v>
      </c>
      <c r="M483" s="20">
        <f t="shared" si="15"/>
        <v>120000</v>
      </c>
      <c r="N483" s="20">
        <f>'Working Sheet'!$J483*'Working Sheet'!$K483</f>
        <v>750000</v>
      </c>
      <c r="O483" s="21">
        <f>'Working Sheet'!$M483*'Working Sheet'!$K483</f>
        <v>600000</v>
      </c>
      <c r="P483" s="20">
        <f>'Working Sheet'!$N483-'Working Sheet'!$O483</f>
        <v>150000</v>
      </c>
    </row>
    <row r="484" spans="1:16" ht="14.25" customHeight="1" x14ac:dyDescent="0.25">
      <c r="A484" s="23" t="str">
        <f t="shared" ca="1" si="14"/>
        <v>ID_828</v>
      </c>
      <c r="B484" s="22">
        <v>45725</v>
      </c>
      <c r="C484" s="23" t="str">
        <f>TEXT('Working Sheet'!$B484,"mmm")</f>
        <v>Mar</v>
      </c>
      <c r="D484" s="23" t="s">
        <v>11</v>
      </c>
      <c r="E484" s="23" t="s">
        <v>32</v>
      </c>
      <c r="F484" s="23" t="s">
        <v>13</v>
      </c>
      <c r="G484" s="23" t="s">
        <v>14</v>
      </c>
      <c r="H484" s="23" t="s">
        <v>15</v>
      </c>
      <c r="I484" s="23" t="s">
        <v>16</v>
      </c>
      <c r="J484" s="24">
        <v>85000</v>
      </c>
      <c r="K484" s="23">
        <v>10</v>
      </c>
      <c r="L484" s="23" t="s">
        <v>24</v>
      </c>
      <c r="M484" s="25">
        <f t="shared" si="15"/>
        <v>68000</v>
      </c>
      <c r="N484" s="25">
        <f>'Working Sheet'!$J484*'Working Sheet'!$K484</f>
        <v>850000</v>
      </c>
      <c r="O484" s="26">
        <f>'Working Sheet'!$M484*'Working Sheet'!$K484</f>
        <v>680000</v>
      </c>
      <c r="P484" s="25">
        <f>'Working Sheet'!$N484-'Working Sheet'!$O484</f>
        <v>170000</v>
      </c>
    </row>
    <row r="485" spans="1:16" ht="14.25" customHeight="1" x14ac:dyDescent="0.25">
      <c r="A485" s="18" t="str">
        <f t="shared" ca="1" si="14"/>
        <v>ID_1844</v>
      </c>
      <c r="B485" s="17">
        <v>45672</v>
      </c>
      <c r="C485" s="18" t="str">
        <f>TEXT('Working Sheet'!$B485,"mmm")</f>
        <v>Jan</v>
      </c>
      <c r="D485" s="18" t="s">
        <v>29</v>
      </c>
      <c r="E485" s="18" t="s">
        <v>32</v>
      </c>
      <c r="F485" s="18" t="s">
        <v>13</v>
      </c>
      <c r="G485" s="18" t="s">
        <v>14</v>
      </c>
      <c r="H485" s="18" t="s">
        <v>15</v>
      </c>
      <c r="I485" s="18" t="s">
        <v>16</v>
      </c>
      <c r="J485" s="19">
        <v>85000</v>
      </c>
      <c r="K485" s="18">
        <v>8</v>
      </c>
      <c r="L485" s="18" t="s">
        <v>35</v>
      </c>
      <c r="M485" s="20">
        <f t="shared" si="15"/>
        <v>68000</v>
      </c>
      <c r="N485" s="20">
        <f>'Working Sheet'!$J485*'Working Sheet'!$K485</f>
        <v>680000</v>
      </c>
      <c r="O485" s="21">
        <f>'Working Sheet'!$M485*'Working Sheet'!$K485</f>
        <v>544000</v>
      </c>
      <c r="P485" s="20">
        <f>'Working Sheet'!$N485-'Working Sheet'!$O485</f>
        <v>136000</v>
      </c>
    </row>
    <row r="486" spans="1:16" ht="14.25" customHeight="1" x14ac:dyDescent="0.25">
      <c r="A486" s="23" t="str">
        <f t="shared" ca="1" si="14"/>
        <v>ID_1875</v>
      </c>
      <c r="B486" s="22">
        <v>45778</v>
      </c>
      <c r="C486" s="23" t="str">
        <f>TEXT('Working Sheet'!$B486,"mmm")</f>
        <v>May</v>
      </c>
      <c r="D486" s="23" t="s">
        <v>25</v>
      </c>
      <c r="E486" s="23" t="s">
        <v>12</v>
      </c>
      <c r="F486" s="23" t="s">
        <v>13</v>
      </c>
      <c r="G486" s="23" t="s">
        <v>14</v>
      </c>
      <c r="H486" s="23" t="s">
        <v>15</v>
      </c>
      <c r="I486" s="23" t="s">
        <v>16</v>
      </c>
      <c r="J486" s="24">
        <v>85000</v>
      </c>
      <c r="K486" s="23">
        <v>2</v>
      </c>
      <c r="L486" s="23" t="s">
        <v>28</v>
      </c>
      <c r="M486" s="25">
        <f t="shared" si="15"/>
        <v>68000</v>
      </c>
      <c r="N486" s="25">
        <f>'Working Sheet'!$J486*'Working Sheet'!$K486</f>
        <v>170000</v>
      </c>
      <c r="O486" s="26">
        <f>'Working Sheet'!$M486*'Working Sheet'!$K486</f>
        <v>136000</v>
      </c>
      <c r="P486" s="25">
        <f>'Working Sheet'!$N486-'Working Sheet'!$O486</f>
        <v>34000</v>
      </c>
    </row>
    <row r="487" spans="1:16" ht="14.25" customHeight="1" x14ac:dyDescent="0.25">
      <c r="A487" s="18" t="str">
        <f t="shared" ca="1" si="14"/>
        <v>ID_1415</v>
      </c>
      <c r="B487" s="17">
        <v>45721</v>
      </c>
      <c r="C487" s="18" t="str">
        <f>TEXT('Working Sheet'!$B487,"mmm")</f>
        <v>Mar</v>
      </c>
      <c r="D487" s="18" t="s">
        <v>11</v>
      </c>
      <c r="E487" s="18" t="s">
        <v>32</v>
      </c>
      <c r="F487" s="18" t="s">
        <v>13</v>
      </c>
      <c r="G487" s="18" t="s">
        <v>14</v>
      </c>
      <c r="H487" s="18" t="s">
        <v>40</v>
      </c>
      <c r="I487" s="18" t="s">
        <v>31</v>
      </c>
      <c r="J487" s="19">
        <v>250000</v>
      </c>
      <c r="K487" s="18">
        <v>4</v>
      </c>
      <c r="L487" s="18" t="s">
        <v>17</v>
      </c>
      <c r="M487" s="20">
        <f t="shared" si="15"/>
        <v>200000</v>
      </c>
      <c r="N487" s="20">
        <f>'Working Sheet'!$J487*'Working Sheet'!$K487</f>
        <v>1000000</v>
      </c>
      <c r="O487" s="21">
        <f>'Working Sheet'!$M487*'Working Sheet'!$K487</f>
        <v>800000</v>
      </c>
      <c r="P487" s="20">
        <f>'Working Sheet'!$N487-'Working Sheet'!$O487</f>
        <v>200000</v>
      </c>
    </row>
    <row r="488" spans="1:16" ht="14.25" customHeight="1" x14ac:dyDescent="0.25">
      <c r="A488" s="23" t="str">
        <f t="shared" ca="1" si="14"/>
        <v>ID_538</v>
      </c>
      <c r="B488" s="22">
        <v>45773</v>
      </c>
      <c r="C488" s="23" t="str">
        <f>TEXT('Working Sheet'!$B488,"mmm")</f>
        <v>Apr</v>
      </c>
      <c r="D488" s="23" t="s">
        <v>25</v>
      </c>
      <c r="E488" s="23" t="s">
        <v>12</v>
      </c>
      <c r="F488" s="23" t="s">
        <v>13</v>
      </c>
      <c r="G488" s="23" t="s">
        <v>14</v>
      </c>
      <c r="H488" s="23" t="s">
        <v>36</v>
      </c>
      <c r="I488" s="23" t="s">
        <v>31</v>
      </c>
      <c r="J488" s="24">
        <v>150000</v>
      </c>
      <c r="K488" s="23">
        <v>6</v>
      </c>
      <c r="L488" s="23" t="s">
        <v>39</v>
      </c>
      <c r="M488" s="25">
        <f t="shared" si="15"/>
        <v>120000</v>
      </c>
      <c r="N488" s="25">
        <f>'Working Sheet'!$J488*'Working Sheet'!$K488</f>
        <v>900000</v>
      </c>
      <c r="O488" s="26">
        <f>'Working Sheet'!$M488*'Working Sheet'!$K488</f>
        <v>720000</v>
      </c>
      <c r="P488" s="25">
        <f>'Working Sheet'!$N488-'Working Sheet'!$O488</f>
        <v>180000</v>
      </c>
    </row>
    <row r="489" spans="1:16" ht="14.25" customHeight="1" x14ac:dyDescent="0.25">
      <c r="A489" s="18" t="str">
        <f t="shared" ca="1" si="14"/>
        <v>ID_763</v>
      </c>
      <c r="B489" s="17">
        <v>45715</v>
      </c>
      <c r="C489" s="18" t="str">
        <f>TEXT('Working Sheet'!$B489,"mmm")</f>
        <v>Feb</v>
      </c>
      <c r="D489" s="18" t="s">
        <v>25</v>
      </c>
      <c r="E489" s="18" t="s">
        <v>32</v>
      </c>
      <c r="F489" s="18" t="s">
        <v>23</v>
      </c>
      <c r="G489" s="18" t="s">
        <v>20</v>
      </c>
      <c r="H489" s="18" t="s">
        <v>33</v>
      </c>
      <c r="I489" s="18" t="s">
        <v>22</v>
      </c>
      <c r="J489" s="19">
        <v>180000</v>
      </c>
      <c r="K489" s="18">
        <v>10</v>
      </c>
      <c r="L489" s="18" t="s">
        <v>37</v>
      </c>
      <c r="M489" s="20">
        <f t="shared" si="15"/>
        <v>144000</v>
      </c>
      <c r="N489" s="20">
        <f>'Working Sheet'!$J489*'Working Sheet'!$K489</f>
        <v>1800000</v>
      </c>
      <c r="O489" s="21">
        <f>'Working Sheet'!$M489*'Working Sheet'!$K489</f>
        <v>1440000</v>
      </c>
      <c r="P489" s="20">
        <f>'Working Sheet'!$N489-'Working Sheet'!$O489</f>
        <v>360000</v>
      </c>
    </row>
    <row r="490" spans="1:16" ht="14.25" customHeight="1" x14ac:dyDescent="0.25">
      <c r="A490" s="23" t="str">
        <f t="shared" ca="1" si="14"/>
        <v>ID_1642</v>
      </c>
      <c r="B490" s="22">
        <v>45741</v>
      </c>
      <c r="C490" s="23" t="str">
        <f>TEXT('Working Sheet'!$B490,"mmm")</f>
        <v>Mar</v>
      </c>
      <c r="D490" s="23" t="s">
        <v>25</v>
      </c>
      <c r="E490" s="23" t="s">
        <v>32</v>
      </c>
      <c r="F490" s="23" t="s">
        <v>13</v>
      </c>
      <c r="G490" s="23" t="s">
        <v>14</v>
      </c>
      <c r="H490" s="23" t="s">
        <v>36</v>
      </c>
      <c r="I490" s="23" t="s">
        <v>31</v>
      </c>
      <c r="J490" s="24">
        <v>150000</v>
      </c>
      <c r="K490" s="23">
        <v>8</v>
      </c>
      <c r="L490" s="23" t="s">
        <v>17</v>
      </c>
      <c r="M490" s="25">
        <f t="shared" si="15"/>
        <v>120000</v>
      </c>
      <c r="N490" s="25">
        <f>'Working Sheet'!$J490*'Working Sheet'!$K490</f>
        <v>1200000</v>
      </c>
      <c r="O490" s="26">
        <f>'Working Sheet'!$M490*'Working Sheet'!$K490</f>
        <v>960000</v>
      </c>
      <c r="P490" s="25">
        <f>'Working Sheet'!$N490-'Working Sheet'!$O490</f>
        <v>240000</v>
      </c>
    </row>
    <row r="491" spans="1:16" ht="14.25" customHeight="1" x14ac:dyDescent="0.25">
      <c r="A491" s="18" t="str">
        <f t="shared" ca="1" si="14"/>
        <v>ID_861</v>
      </c>
      <c r="B491" s="17">
        <v>45679</v>
      </c>
      <c r="C491" s="18" t="str">
        <f>TEXT('Working Sheet'!$B491,"mmm")</f>
        <v>Jan</v>
      </c>
      <c r="D491" s="18" t="s">
        <v>25</v>
      </c>
      <c r="E491" s="18" t="s">
        <v>19</v>
      </c>
      <c r="F491" s="18" t="s">
        <v>13</v>
      </c>
      <c r="G491" s="18" t="s">
        <v>14</v>
      </c>
      <c r="H491" s="18" t="s">
        <v>33</v>
      </c>
      <c r="I491" s="18" t="s">
        <v>22</v>
      </c>
      <c r="J491" s="19">
        <v>180000</v>
      </c>
      <c r="K491" s="18">
        <v>8</v>
      </c>
      <c r="L491" s="18" t="s">
        <v>24</v>
      </c>
      <c r="M491" s="20">
        <f t="shared" si="15"/>
        <v>144000</v>
      </c>
      <c r="N491" s="20">
        <f>'Working Sheet'!$J491*'Working Sheet'!$K491</f>
        <v>1440000</v>
      </c>
      <c r="O491" s="21">
        <f>'Working Sheet'!$M491*'Working Sheet'!$K491</f>
        <v>1152000</v>
      </c>
      <c r="P491" s="20">
        <f>'Working Sheet'!$N491-'Working Sheet'!$O491</f>
        <v>288000</v>
      </c>
    </row>
    <row r="492" spans="1:16" ht="14.25" customHeight="1" x14ac:dyDescent="0.25">
      <c r="A492" s="23" t="str">
        <f t="shared" ca="1" si="14"/>
        <v>ID_1737</v>
      </c>
      <c r="B492" s="22">
        <v>45708</v>
      </c>
      <c r="C492" s="23" t="str">
        <f>TEXT('Working Sheet'!$B492,"mmm")</f>
        <v>Feb</v>
      </c>
      <c r="D492" s="23" t="s">
        <v>18</v>
      </c>
      <c r="E492" s="23" t="s">
        <v>26</v>
      </c>
      <c r="F492" s="23" t="s">
        <v>23</v>
      </c>
      <c r="G492" s="23" t="s">
        <v>14</v>
      </c>
      <c r="H492" s="23" t="s">
        <v>36</v>
      </c>
      <c r="I492" s="23" t="s">
        <v>31</v>
      </c>
      <c r="J492" s="24">
        <v>150000</v>
      </c>
      <c r="K492" s="23">
        <v>6</v>
      </c>
      <c r="L492" s="23" t="s">
        <v>35</v>
      </c>
      <c r="M492" s="25">
        <f t="shared" si="15"/>
        <v>120000</v>
      </c>
      <c r="N492" s="25">
        <f>'Working Sheet'!$J492*'Working Sheet'!$K492</f>
        <v>900000</v>
      </c>
      <c r="O492" s="26">
        <f>'Working Sheet'!$M492*'Working Sheet'!$K492</f>
        <v>720000</v>
      </c>
      <c r="P492" s="25">
        <f>'Working Sheet'!$N492-'Working Sheet'!$O492</f>
        <v>180000</v>
      </c>
    </row>
    <row r="493" spans="1:16" ht="14.25" customHeight="1" x14ac:dyDescent="0.25">
      <c r="A493" s="18" t="str">
        <f t="shared" ca="1" si="14"/>
        <v>ID_26</v>
      </c>
      <c r="B493" s="17">
        <v>45760</v>
      </c>
      <c r="C493" s="18" t="str">
        <f>TEXT('Working Sheet'!$B493,"mmm")</f>
        <v>Apr</v>
      </c>
      <c r="D493" s="18" t="s">
        <v>25</v>
      </c>
      <c r="E493" s="18" t="s">
        <v>32</v>
      </c>
      <c r="F493" s="18" t="s">
        <v>23</v>
      </c>
      <c r="G493" s="18" t="s">
        <v>20</v>
      </c>
      <c r="H493" s="18" t="s">
        <v>36</v>
      </c>
      <c r="I493" s="18" t="s">
        <v>31</v>
      </c>
      <c r="J493" s="19">
        <v>150000</v>
      </c>
      <c r="K493" s="18">
        <v>4</v>
      </c>
      <c r="L493" s="18" t="s">
        <v>39</v>
      </c>
      <c r="M493" s="20">
        <f t="shared" si="15"/>
        <v>120000</v>
      </c>
      <c r="N493" s="20">
        <f>'Working Sheet'!$J493*'Working Sheet'!$K493</f>
        <v>600000</v>
      </c>
      <c r="O493" s="21">
        <f>'Working Sheet'!$M493*'Working Sheet'!$K493</f>
        <v>480000</v>
      </c>
      <c r="P493" s="20">
        <f>'Working Sheet'!$N493-'Working Sheet'!$O493</f>
        <v>120000</v>
      </c>
    </row>
    <row r="494" spans="1:16" ht="14.25" customHeight="1" x14ac:dyDescent="0.25">
      <c r="A494" s="23" t="str">
        <f t="shared" ca="1" si="14"/>
        <v>ID_1448</v>
      </c>
      <c r="B494" s="22">
        <v>45660</v>
      </c>
      <c r="C494" s="23" t="str">
        <f>TEXT('Working Sheet'!$B494,"mmm")</f>
        <v>Jan</v>
      </c>
      <c r="D494" s="23" t="s">
        <v>11</v>
      </c>
      <c r="E494" s="23" t="s">
        <v>19</v>
      </c>
      <c r="F494" s="23" t="s">
        <v>13</v>
      </c>
      <c r="G494" s="23" t="s">
        <v>14</v>
      </c>
      <c r="H494" s="23" t="s">
        <v>33</v>
      </c>
      <c r="I494" s="23" t="s">
        <v>22</v>
      </c>
      <c r="J494" s="24">
        <v>180000</v>
      </c>
      <c r="K494" s="23">
        <v>1</v>
      </c>
      <c r="L494" s="23" t="s">
        <v>35</v>
      </c>
      <c r="M494" s="25">
        <f t="shared" si="15"/>
        <v>144000</v>
      </c>
      <c r="N494" s="25">
        <f>'Working Sheet'!$J494*'Working Sheet'!$K494</f>
        <v>180000</v>
      </c>
      <c r="O494" s="26">
        <f>'Working Sheet'!$M494*'Working Sheet'!$K494</f>
        <v>144000</v>
      </c>
      <c r="P494" s="25">
        <f>'Working Sheet'!$N494-'Working Sheet'!$O494</f>
        <v>36000</v>
      </c>
    </row>
    <row r="495" spans="1:16" ht="14.25" customHeight="1" x14ac:dyDescent="0.25">
      <c r="A495" s="18" t="str">
        <f t="shared" ca="1" si="14"/>
        <v>ID_2014</v>
      </c>
      <c r="B495" s="17">
        <v>45760</v>
      </c>
      <c r="C495" s="18" t="str">
        <f>TEXT('Working Sheet'!$B495,"mmm")</f>
        <v>Apr</v>
      </c>
      <c r="D495" s="18" t="s">
        <v>29</v>
      </c>
      <c r="E495" s="18" t="s">
        <v>19</v>
      </c>
      <c r="F495" s="18" t="s">
        <v>13</v>
      </c>
      <c r="G495" s="18" t="s">
        <v>14</v>
      </c>
      <c r="H495" s="18" t="s">
        <v>40</v>
      </c>
      <c r="I495" s="18" t="s">
        <v>31</v>
      </c>
      <c r="J495" s="19">
        <v>250000</v>
      </c>
      <c r="K495" s="18">
        <v>6</v>
      </c>
      <c r="L495" s="18" t="s">
        <v>39</v>
      </c>
      <c r="M495" s="20">
        <f t="shared" si="15"/>
        <v>200000</v>
      </c>
      <c r="N495" s="20">
        <f>'Working Sheet'!$J495*'Working Sheet'!$K495</f>
        <v>1500000</v>
      </c>
      <c r="O495" s="21">
        <f>'Working Sheet'!$M495*'Working Sheet'!$K495</f>
        <v>1200000</v>
      </c>
      <c r="P495" s="20">
        <f>'Working Sheet'!$N495-'Working Sheet'!$O495</f>
        <v>300000</v>
      </c>
    </row>
    <row r="496" spans="1:16" ht="14.25" customHeight="1" x14ac:dyDescent="0.25">
      <c r="A496" s="23" t="str">
        <f t="shared" ca="1" si="14"/>
        <v>ID_1500</v>
      </c>
      <c r="B496" s="22">
        <v>45721</v>
      </c>
      <c r="C496" s="23" t="str">
        <f>TEXT('Working Sheet'!$B496,"mmm")</f>
        <v>Mar</v>
      </c>
      <c r="D496" s="23" t="s">
        <v>25</v>
      </c>
      <c r="E496" s="23" t="s">
        <v>12</v>
      </c>
      <c r="F496" s="23" t="s">
        <v>13</v>
      </c>
      <c r="G496" s="23" t="s">
        <v>14</v>
      </c>
      <c r="H496" s="23" t="s">
        <v>27</v>
      </c>
      <c r="I496" s="23" t="s">
        <v>22</v>
      </c>
      <c r="J496" s="24">
        <v>60000</v>
      </c>
      <c r="K496" s="23">
        <v>6</v>
      </c>
      <c r="L496" s="23" t="s">
        <v>24</v>
      </c>
      <c r="M496" s="25">
        <f t="shared" si="15"/>
        <v>48000</v>
      </c>
      <c r="N496" s="25">
        <f>'Working Sheet'!$J496*'Working Sheet'!$K496</f>
        <v>360000</v>
      </c>
      <c r="O496" s="26">
        <f>'Working Sheet'!$M496*'Working Sheet'!$K496</f>
        <v>288000</v>
      </c>
      <c r="P496" s="25">
        <f>'Working Sheet'!$N496-'Working Sheet'!$O496</f>
        <v>72000</v>
      </c>
    </row>
    <row r="497" spans="1:16" ht="14.25" customHeight="1" x14ac:dyDescent="0.25">
      <c r="A497" s="18" t="str">
        <f t="shared" ca="1" si="14"/>
        <v>ID_1089</v>
      </c>
      <c r="B497" s="17">
        <v>45683</v>
      </c>
      <c r="C497" s="18" t="str">
        <f>TEXT('Working Sheet'!$B497,"mmm")</f>
        <v>Jan</v>
      </c>
      <c r="D497" s="18" t="s">
        <v>29</v>
      </c>
      <c r="E497" s="18" t="s">
        <v>32</v>
      </c>
      <c r="F497" s="18" t="s">
        <v>23</v>
      </c>
      <c r="G497" s="18" t="s">
        <v>20</v>
      </c>
      <c r="H497" s="18" t="s">
        <v>36</v>
      </c>
      <c r="I497" s="18" t="s">
        <v>31</v>
      </c>
      <c r="J497" s="19">
        <v>150000</v>
      </c>
      <c r="K497" s="18">
        <v>2</v>
      </c>
      <c r="L497" s="18" t="s">
        <v>24</v>
      </c>
      <c r="M497" s="20">
        <f t="shared" si="15"/>
        <v>120000</v>
      </c>
      <c r="N497" s="20">
        <f>'Working Sheet'!$J497*'Working Sheet'!$K497</f>
        <v>300000</v>
      </c>
      <c r="O497" s="21">
        <f>'Working Sheet'!$M497*'Working Sheet'!$K497</f>
        <v>240000</v>
      </c>
      <c r="P497" s="20">
        <f>'Working Sheet'!$N497-'Working Sheet'!$O497</f>
        <v>60000</v>
      </c>
    </row>
    <row r="498" spans="1:16" ht="14.25" customHeight="1" x14ac:dyDescent="0.25">
      <c r="A498" s="23" t="str">
        <f t="shared" ca="1" si="14"/>
        <v>ID_993</v>
      </c>
      <c r="B498" s="22">
        <v>45692</v>
      </c>
      <c r="C498" s="23" t="str">
        <f>TEXT('Working Sheet'!$B498,"mmm")</f>
        <v>Feb</v>
      </c>
      <c r="D498" s="23" t="s">
        <v>18</v>
      </c>
      <c r="E498" s="23" t="s">
        <v>26</v>
      </c>
      <c r="F498" s="23" t="s">
        <v>23</v>
      </c>
      <c r="G498" s="23" t="s">
        <v>14</v>
      </c>
      <c r="H498" s="23" t="s">
        <v>15</v>
      </c>
      <c r="I498" s="23" t="s">
        <v>16</v>
      </c>
      <c r="J498" s="24">
        <v>85000</v>
      </c>
      <c r="K498" s="23">
        <v>2</v>
      </c>
      <c r="L498" s="23" t="s">
        <v>17</v>
      </c>
      <c r="M498" s="25">
        <f t="shared" si="15"/>
        <v>68000</v>
      </c>
      <c r="N498" s="25">
        <f>'Working Sheet'!$J498*'Working Sheet'!$K498</f>
        <v>170000</v>
      </c>
      <c r="O498" s="26">
        <f>'Working Sheet'!$M498*'Working Sheet'!$K498</f>
        <v>136000</v>
      </c>
      <c r="P498" s="25">
        <f>'Working Sheet'!$N498-'Working Sheet'!$O498</f>
        <v>34000</v>
      </c>
    </row>
    <row r="499" spans="1:16" ht="14.25" customHeight="1" x14ac:dyDescent="0.25">
      <c r="A499" s="18" t="str">
        <f t="shared" ca="1" si="14"/>
        <v>ID_519</v>
      </c>
      <c r="B499" s="17">
        <v>45712</v>
      </c>
      <c r="C499" s="18" t="str">
        <f>TEXT('Working Sheet'!$B499,"mmm")</f>
        <v>Feb</v>
      </c>
      <c r="D499" s="18" t="s">
        <v>25</v>
      </c>
      <c r="E499" s="18" t="s">
        <v>19</v>
      </c>
      <c r="F499" s="18" t="s">
        <v>13</v>
      </c>
      <c r="G499" s="18" t="s">
        <v>20</v>
      </c>
      <c r="H499" s="18" t="s">
        <v>30</v>
      </c>
      <c r="I499" s="18" t="s">
        <v>31</v>
      </c>
      <c r="J499" s="19">
        <v>300000</v>
      </c>
      <c r="K499" s="18">
        <v>5</v>
      </c>
      <c r="L499" s="18" t="s">
        <v>35</v>
      </c>
      <c r="M499" s="20">
        <f t="shared" si="15"/>
        <v>240000</v>
      </c>
      <c r="N499" s="20">
        <f>'Working Sheet'!$J499*'Working Sheet'!$K499</f>
        <v>1500000</v>
      </c>
      <c r="O499" s="21">
        <f>'Working Sheet'!$M499*'Working Sheet'!$K499</f>
        <v>1200000</v>
      </c>
      <c r="P499" s="20">
        <f>'Working Sheet'!$N499-'Working Sheet'!$O499</f>
        <v>300000</v>
      </c>
    </row>
    <row r="500" spans="1:16" ht="14.25" customHeight="1" x14ac:dyDescent="0.25">
      <c r="A500" s="23" t="str">
        <f t="shared" ca="1" si="14"/>
        <v>ID_781</v>
      </c>
      <c r="B500" s="22">
        <v>45763</v>
      </c>
      <c r="C500" s="23" t="str">
        <f>TEXT('Working Sheet'!$B500,"mmm")</f>
        <v>Apr</v>
      </c>
      <c r="D500" s="23" t="s">
        <v>18</v>
      </c>
      <c r="E500" s="23" t="s">
        <v>26</v>
      </c>
      <c r="F500" s="23" t="s">
        <v>23</v>
      </c>
      <c r="G500" s="23" t="s">
        <v>14</v>
      </c>
      <c r="H500" s="23" t="s">
        <v>38</v>
      </c>
      <c r="I500" s="23" t="s">
        <v>31</v>
      </c>
      <c r="J500" s="24">
        <v>420000</v>
      </c>
      <c r="K500" s="23">
        <v>10</v>
      </c>
      <c r="L500" s="23" t="s">
        <v>35</v>
      </c>
      <c r="M500" s="25">
        <f t="shared" si="15"/>
        <v>336000</v>
      </c>
      <c r="N500" s="25">
        <f>'Working Sheet'!$J500*'Working Sheet'!$K500</f>
        <v>4200000</v>
      </c>
      <c r="O500" s="26">
        <f>'Working Sheet'!$M500*'Working Sheet'!$K500</f>
        <v>3360000</v>
      </c>
      <c r="P500" s="25">
        <f>'Working Sheet'!$N500-'Working Sheet'!$O500</f>
        <v>840000</v>
      </c>
    </row>
    <row r="501" spans="1:16" ht="14.25" customHeight="1" x14ac:dyDescent="0.25">
      <c r="A501" s="18" t="str">
        <f t="shared" ca="1" si="14"/>
        <v>ID_1838</v>
      </c>
      <c r="B501" s="17">
        <v>45671</v>
      </c>
      <c r="C501" s="18" t="str">
        <f>TEXT('Working Sheet'!$B501,"mmm")</f>
        <v>Jan</v>
      </c>
      <c r="D501" s="18" t="s">
        <v>11</v>
      </c>
      <c r="E501" s="18" t="s">
        <v>32</v>
      </c>
      <c r="F501" s="18" t="s">
        <v>23</v>
      </c>
      <c r="G501" s="18" t="s">
        <v>14</v>
      </c>
      <c r="H501" s="18" t="s">
        <v>33</v>
      </c>
      <c r="I501" s="18" t="s">
        <v>22</v>
      </c>
      <c r="J501" s="19">
        <v>180000</v>
      </c>
      <c r="K501" s="18">
        <v>6</v>
      </c>
      <c r="L501" s="18" t="s">
        <v>24</v>
      </c>
      <c r="M501" s="20">
        <f t="shared" si="15"/>
        <v>144000</v>
      </c>
      <c r="N501" s="20">
        <f>'Working Sheet'!$J501*'Working Sheet'!$K501</f>
        <v>1080000</v>
      </c>
      <c r="O501" s="21">
        <f>'Working Sheet'!$M501*'Working Sheet'!$K501</f>
        <v>864000</v>
      </c>
      <c r="P501" s="20">
        <f>'Working Sheet'!$N501-'Working Sheet'!$O501</f>
        <v>216000</v>
      </c>
    </row>
    <row r="502" spans="1:16" ht="14.25" customHeight="1" x14ac:dyDescent="0.25">
      <c r="A502" s="23" t="str">
        <f t="shared" ca="1" si="14"/>
        <v>ID_950</v>
      </c>
      <c r="B502" s="22">
        <v>45724</v>
      </c>
      <c r="C502" s="23" t="str">
        <f>TEXT('Working Sheet'!$B502,"mmm")</f>
        <v>Mar</v>
      </c>
      <c r="D502" s="23" t="s">
        <v>18</v>
      </c>
      <c r="E502" s="23" t="s">
        <v>32</v>
      </c>
      <c r="F502" s="23" t="s">
        <v>13</v>
      </c>
      <c r="G502" s="23" t="s">
        <v>20</v>
      </c>
      <c r="H502" s="23" t="s">
        <v>15</v>
      </c>
      <c r="I502" s="23" t="s">
        <v>16</v>
      </c>
      <c r="J502" s="24">
        <v>85000</v>
      </c>
      <c r="K502" s="23">
        <v>4</v>
      </c>
      <c r="L502" s="23" t="s">
        <v>35</v>
      </c>
      <c r="M502" s="25">
        <f t="shared" si="15"/>
        <v>68000</v>
      </c>
      <c r="N502" s="25">
        <f>'Working Sheet'!$J502*'Working Sheet'!$K502</f>
        <v>340000</v>
      </c>
      <c r="O502" s="26">
        <f>'Working Sheet'!$M502*'Working Sheet'!$K502</f>
        <v>272000</v>
      </c>
      <c r="P502" s="25">
        <f>'Working Sheet'!$N502-'Working Sheet'!$O502</f>
        <v>68000</v>
      </c>
    </row>
    <row r="503" spans="1:16" ht="14.25" customHeight="1" x14ac:dyDescent="0.25">
      <c r="A503" s="18" t="str">
        <f t="shared" ca="1" si="14"/>
        <v>ID_1178</v>
      </c>
      <c r="B503" s="17">
        <v>45708</v>
      </c>
      <c r="C503" s="18" t="str">
        <f>TEXT('Working Sheet'!$B503,"mmm")</f>
        <v>Feb</v>
      </c>
      <c r="D503" s="18" t="s">
        <v>29</v>
      </c>
      <c r="E503" s="18" t="s">
        <v>26</v>
      </c>
      <c r="F503" s="18" t="s">
        <v>23</v>
      </c>
      <c r="G503" s="18" t="s">
        <v>14</v>
      </c>
      <c r="H503" s="18" t="s">
        <v>30</v>
      </c>
      <c r="I503" s="18" t="s">
        <v>31</v>
      </c>
      <c r="J503" s="19">
        <v>300000</v>
      </c>
      <c r="K503" s="18">
        <v>4</v>
      </c>
      <c r="L503" s="18" t="s">
        <v>37</v>
      </c>
      <c r="M503" s="20">
        <f t="shared" si="15"/>
        <v>240000</v>
      </c>
      <c r="N503" s="20">
        <f>'Working Sheet'!$J503*'Working Sheet'!$K503</f>
        <v>1200000</v>
      </c>
      <c r="O503" s="21">
        <f>'Working Sheet'!$M503*'Working Sheet'!$K503</f>
        <v>960000</v>
      </c>
      <c r="P503" s="20">
        <f>'Working Sheet'!$N503-'Working Sheet'!$O503</f>
        <v>240000</v>
      </c>
    </row>
    <row r="504" spans="1:16" ht="14.25" customHeight="1" x14ac:dyDescent="0.25">
      <c r="A504" s="23" t="str">
        <f t="shared" ca="1" si="14"/>
        <v>ID_1049</v>
      </c>
      <c r="B504" s="22">
        <v>45685</v>
      </c>
      <c r="C504" s="23" t="str">
        <f>TEXT('Working Sheet'!$B504,"mmm")</f>
        <v>Jan</v>
      </c>
      <c r="D504" s="23" t="s">
        <v>25</v>
      </c>
      <c r="E504" s="23" t="s">
        <v>32</v>
      </c>
      <c r="F504" s="23" t="s">
        <v>13</v>
      </c>
      <c r="G504" s="23" t="s">
        <v>14</v>
      </c>
      <c r="H504" s="23" t="s">
        <v>15</v>
      </c>
      <c r="I504" s="23" t="s">
        <v>16</v>
      </c>
      <c r="J504" s="24">
        <v>85000</v>
      </c>
      <c r="K504" s="23">
        <v>3</v>
      </c>
      <c r="L504" s="23" t="s">
        <v>35</v>
      </c>
      <c r="M504" s="25">
        <f t="shared" si="15"/>
        <v>68000</v>
      </c>
      <c r="N504" s="25">
        <f>'Working Sheet'!$J504*'Working Sheet'!$K504</f>
        <v>255000</v>
      </c>
      <c r="O504" s="26">
        <f>'Working Sheet'!$M504*'Working Sheet'!$K504</f>
        <v>204000</v>
      </c>
      <c r="P504" s="25">
        <f>'Working Sheet'!$N504-'Working Sheet'!$O504</f>
        <v>51000</v>
      </c>
    </row>
    <row r="505" spans="1:16" ht="14.25" customHeight="1" x14ac:dyDescent="0.25">
      <c r="A505" s="18" t="str">
        <f t="shared" ca="1" si="14"/>
        <v>ID_1464</v>
      </c>
      <c r="B505" s="17">
        <v>45696</v>
      </c>
      <c r="C505" s="18" t="str">
        <f>TEXT('Working Sheet'!$B505,"mmm")</f>
        <v>Feb</v>
      </c>
      <c r="D505" s="18" t="s">
        <v>29</v>
      </c>
      <c r="E505" s="18" t="s">
        <v>12</v>
      </c>
      <c r="F505" s="18" t="s">
        <v>13</v>
      </c>
      <c r="G505" s="18" t="s">
        <v>20</v>
      </c>
      <c r="H505" s="18" t="s">
        <v>41</v>
      </c>
      <c r="I505" s="18" t="s">
        <v>22</v>
      </c>
      <c r="J505" s="19">
        <v>220000</v>
      </c>
      <c r="K505" s="18">
        <v>9</v>
      </c>
      <c r="L505" s="18" t="s">
        <v>37</v>
      </c>
      <c r="M505" s="20">
        <f t="shared" si="15"/>
        <v>176000</v>
      </c>
      <c r="N505" s="20">
        <f>'Working Sheet'!$J505*'Working Sheet'!$K505</f>
        <v>1980000</v>
      </c>
      <c r="O505" s="21">
        <f>'Working Sheet'!$M505*'Working Sheet'!$K505</f>
        <v>1584000</v>
      </c>
      <c r="P505" s="20">
        <f>'Working Sheet'!$N505-'Working Sheet'!$O505</f>
        <v>396000</v>
      </c>
    </row>
    <row r="506" spans="1:16" ht="14.25" customHeight="1" x14ac:dyDescent="0.25">
      <c r="A506" s="23" t="str">
        <f t="shared" ca="1" si="14"/>
        <v>ID_24</v>
      </c>
      <c r="B506" s="22">
        <v>45748</v>
      </c>
      <c r="C506" s="23" t="str">
        <f>TEXT('Working Sheet'!$B506,"mmm")</f>
        <v>Apr</v>
      </c>
      <c r="D506" s="23" t="s">
        <v>11</v>
      </c>
      <c r="E506" s="23" t="s">
        <v>26</v>
      </c>
      <c r="F506" s="23" t="s">
        <v>23</v>
      </c>
      <c r="G506" s="23" t="s">
        <v>14</v>
      </c>
      <c r="H506" s="23" t="s">
        <v>33</v>
      </c>
      <c r="I506" s="23" t="s">
        <v>22</v>
      </c>
      <c r="J506" s="24">
        <v>180000</v>
      </c>
      <c r="K506" s="23">
        <v>3</v>
      </c>
      <c r="L506" s="23" t="s">
        <v>35</v>
      </c>
      <c r="M506" s="25">
        <f t="shared" si="15"/>
        <v>144000</v>
      </c>
      <c r="N506" s="25">
        <f>'Working Sheet'!$J506*'Working Sheet'!$K506</f>
        <v>540000</v>
      </c>
      <c r="O506" s="26">
        <f>'Working Sheet'!$M506*'Working Sheet'!$K506</f>
        <v>432000</v>
      </c>
      <c r="P506" s="25">
        <f>'Working Sheet'!$N506-'Working Sheet'!$O506</f>
        <v>108000</v>
      </c>
    </row>
    <row r="507" spans="1:16" ht="14.25" customHeight="1" x14ac:dyDescent="0.25">
      <c r="A507" s="18" t="str">
        <f t="shared" ca="1" si="14"/>
        <v>ID_1121</v>
      </c>
      <c r="B507" s="17">
        <v>45738</v>
      </c>
      <c r="C507" s="18" t="str">
        <f>TEXT('Working Sheet'!$B507,"mmm")</f>
        <v>Mar</v>
      </c>
      <c r="D507" s="18" t="s">
        <v>18</v>
      </c>
      <c r="E507" s="18" t="s">
        <v>19</v>
      </c>
      <c r="F507" s="18" t="s">
        <v>23</v>
      </c>
      <c r="G507" s="18" t="s">
        <v>20</v>
      </c>
      <c r="H507" s="18" t="s">
        <v>30</v>
      </c>
      <c r="I507" s="18" t="s">
        <v>31</v>
      </c>
      <c r="J507" s="19">
        <v>300000</v>
      </c>
      <c r="K507" s="18">
        <v>9</v>
      </c>
      <c r="L507" s="18" t="s">
        <v>24</v>
      </c>
      <c r="M507" s="20">
        <f t="shared" si="15"/>
        <v>240000</v>
      </c>
      <c r="N507" s="20">
        <f>'Working Sheet'!$J507*'Working Sheet'!$K507</f>
        <v>2700000</v>
      </c>
      <c r="O507" s="21">
        <f>'Working Sheet'!$M507*'Working Sheet'!$K507</f>
        <v>2160000</v>
      </c>
      <c r="P507" s="20">
        <f>'Working Sheet'!$N507-'Working Sheet'!$O507</f>
        <v>540000</v>
      </c>
    </row>
    <row r="508" spans="1:16" ht="14.25" customHeight="1" x14ac:dyDescent="0.25">
      <c r="A508" s="23" t="str">
        <f t="shared" ca="1" si="14"/>
        <v>ID_790</v>
      </c>
      <c r="B508" s="22">
        <v>45743</v>
      </c>
      <c r="C508" s="23" t="str">
        <f>TEXT('Working Sheet'!$B508,"mmm")</f>
        <v>Mar</v>
      </c>
      <c r="D508" s="23" t="s">
        <v>29</v>
      </c>
      <c r="E508" s="23" t="s">
        <v>12</v>
      </c>
      <c r="F508" s="23" t="s">
        <v>23</v>
      </c>
      <c r="G508" s="23" t="s">
        <v>20</v>
      </c>
      <c r="H508" s="23" t="s">
        <v>36</v>
      </c>
      <c r="I508" s="23" t="s">
        <v>31</v>
      </c>
      <c r="J508" s="24">
        <v>150000</v>
      </c>
      <c r="K508" s="23">
        <v>4</v>
      </c>
      <c r="L508" s="23" t="s">
        <v>28</v>
      </c>
      <c r="M508" s="25">
        <f t="shared" si="15"/>
        <v>120000</v>
      </c>
      <c r="N508" s="25">
        <f>'Working Sheet'!$J508*'Working Sheet'!$K508</f>
        <v>600000</v>
      </c>
      <c r="O508" s="26">
        <f>'Working Sheet'!$M508*'Working Sheet'!$K508</f>
        <v>480000</v>
      </c>
      <c r="P508" s="25">
        <f>'Working Sheet'!$N508-'Working Sheet'!$O508</f>
        <v>120000</v>
      </c>
    </row>
    <row r="509" spans="1:16" ht="14.25" customHeight="1" x14ac:dyDescent="0.25">
      <c r="A509" s="18" t="str">
        <f t="shared" ca="1" si="14"/>
        <v>ID_1184</v>
      </c>
      <c r="B509" s="17">
        <v>45685</v>
      </c>
      <c r="C509" s="18" t="str">
        <f>TEXT('Working Sheet'!$B509,"mmm")</f>
        <v>Jan</v>
      </c>
      <c r="D509" s="18" t="s">
        <v>18</v>
      </c>
      <c r="E509" s="18" t="s">
        <v>32</v>
      </c>
      <c r="F509" s="18" t="s">
        <v>23</v>
      </c>
      <c r="G509" s="18" t="s">
        <v>20</v>
      </c>
      <c r="H509" s="18" t="s">
        <v>34</v>
      </c>
      <c r="I509" s="18" t="s">
        <v>16</v>
      </c>
      <c r="J509" s="19">
        <v>320000</v>
      </c>
      <c r="K509" s="18">
        <v>8</v>
      </c>
      <c r="L509" s="18" t="s">
        <v>37</v>
      </c>
      <c r="M509" s="20">
        <f t="shared" si="15"/>
        <v>256000</v>
      </c>
      <c r="N509" s="20">
        <f>'Working Sheet'!$J509*'Working Sheet'!$K509</f>
        <v>2560000</v>
      </c>
      <c r="O509" s="21">
        <f>'Working Sheet'!$M509*'Working Sheet'!$K509</f>
        <v>2048000</v>
      </c>
      <c r="P509" s="20">
        <f>'Working Sheet'!$N509-'Working Sheet'!$O509</f>
        <v>512000</v>
      </c>
    </row>
    <row r="510" spans="1:16" ht="14.25" customHeight="1" x14ac:dyDescent="0.25">
      <c r="A510" s="23" t="str">
        <f t="shared" ca="1" si="14"/>
        <v>ID_1140</v>
      </c>
      <c r="B510" s="22">
        <v>45667</v>
      </c>
      <c r="C510" s="23" t="str">
        <f>TEXT('Working Sheet'!$B510,"mmm")</f>
        <v>Jan</v>
      </c>
      <c r="D510" s="23" t="s">
        <v>29</v>
      </c>
      <c r="E510" s="23" t="s">
        <v>32</v>
      </c>
      <c r="F510" s="23" t="s">
        <v>13</v>
      </c>
      <c r="G510" s="23" t="s">
        <v>14</v>
      </c>
      <c r="H510" s="23" t="s">
        <v>34</v>
      </c>
      <c r="I510" s="23" t="s">
        <v>16</v>
      </c>
      <c r="J510" s="24">
        <v>320000</v>
      </c>
      <c r="K510" s="23">
        <v>7</v>
      </c>
      <c r="L510" s="23" t="s">
        <v>39</v>
      </c>
      <c r="M510" s="25">
        <f t="shared" si="15"/>
        <v>256000</v>
      </c>
      <c r="N510" s="25">
        <f>'Working Sheet'!$J510*'Working Sheet'!$K510</f>
        <v>2240000</v>
      </c>
      <c r="O510" s="26">
        <f>'Working Sheet'!$M510*'Working Sheet'!$K510</f>
        <v>1792000</v>
      </c>
      <c r="P510" s="25">
        <f>'Working Sheet'!$N510-'Working Sheet'!$O510</f>
        <v>448000</v>
      </c>
    </row>
    <row r="511" spans="1:16" ht="14.25" customHeight="1" x14ac:dyDescent="0.25">
      <c r="A511" s="18" t="str">
        <f t="shared" ca="1" si="14"/>
        <v>ID_842</v>
      </c>
      <c r="B511" s="17">
        <v>45733</v>
      </c>
      <c r="C511" s="18" t="str">
        <f>TEXT('Working Sheet'!$B511,"mmm")</f>
        <v>Mar</v>
      </c>
      <c r="D511" s="18" t="s">
        <v>18</v>
      </c>
      <c r="E511" s="18" t="s">
        <v>32</v>
      </c>
      <c r="F511" s="18" t="s">
        <v>13</v>
      </c>
      <c r="G511" s="18" t="s">
        <v>20</v>
      </c>
      <c r="H511" s="18" t="s">
        <v>41</v>
      </c>
      <c r="I511" s="18" t="s">
        <v>22</v>
      </c>
      <c r="J511" s="19">
        <v>220000</v>
      </c>
      <c r="K511" s="18">
        <v>10</v>
      </c>
      <c r="L511" s="18" t="s">
        <v>28</v>
      </c>
      <c r="M511" s="20">
        <f t="shared" si="15"/>
        <v>176000</v>
      </c>
      <c r="N511" s="20">
        <f>'Working Sheet'!$J511*'Working Sheet'!$K511</f>
        <v>2200000</v>
      </c>
      <c r="O511" s="21">
        <f>'Working Sheet'!$M511*'Working Sheet'!$K511</f>
        <v>1760000</v>
      </c>
      <c r="P511" s="20">
        <f>'Working Sheet'!$N511-'Working Sheet'!$O511</f>
        <v>440000</v>
      </c>
    </row>
    <row r="512" spans="1:16" ht="14.25" customHeight="1" x14ac:dyDescent="0.25">
      <c r="A512" s="23" t="str">
        <f t="shared" ca="1" si="14"/>
        <v>ID_831</v>
      </c>
      <c r="B512" s="22">
        <v>45719</v>
      </c>
      <c r="C512" s="23" t="str">
        <f>TEXT('Working Sheet'!$B512,"mmm")</f>
        <v>Mar</v>
      </c>
      <c r="D512" s="23" t="s">
        <v>25</v>
      </c>
      <c r="E512" s="23" t="s">
        <v>19</v>
      </c>
      <c r="F512" s="23" t="s">
        <v>13</v>
      </c>
      <c r="G512" s="23" t="s">
        <v>20</v>
      </c>
      <c r="H512" s="23" t="s">
        <v>21</v>
      </c>
      <c r="I512" s="23" t="s">
        <v>22</v>
      </c>
      <c r="J512" s="24">
        <v>30000</v>
      </c>
      <c r="K512" s="23">
        <v>7</v>
      </c>
      <c r="L512" s="23" t="s">
        <v>28</v>
      </c>
      <c r="M512" s="25">
        <f t="shared" si="15"/>
        <v>24000</v>
      </c>
      <c r="N512" s="25">
        <f>'Working Sheet'!$J512*'Working Sheet'!$K512</f>
        <v>210000</v>
      </c>
      <c r="O512" s="26">
        <f>'Working Sheet'!$M512*'Working Sheet'!$K512</f>
        <v>168000</v>
      </c>
      <c r="P512" s="25">
        <f>'Working Sheet'!$N512-'Working Sheet'!$O512</f>
        <v>42000</v>
      </c>
    </row>
    <row r="513" spans="1:16" ht="14.25" customHeight="1" x14ac:dyDescent="0.25">
      <c r="A513" s="18" t="str">
        <f t="shared" ca="1" si="14"/>
        <v>ID_251</v>
      </c>
      <c r="B513" s="17">
        <v>45761</v>
      </c>
      <c r="C513" s="18" t="str">
        <f>TEXT('Working Sheet'!$B513,"mmm")</f>
        <v>Apr</v>
      </c>
      <c r="D513" s="18" t="s">
        <v>18</v>
      </c>
      <c r="E513" s="18" t="s">
        <v>26</v>
      </c>
      <c r="F513" s="18" t="s">
        <v>13</v>
      </c>
      <c r="G513" s="18" t="s">
        <v>14</v>
      </c>
      <c r="H513" s="18" t="s">
        <v>34</v>
      </c>
      <c r="I513" s="18" t="s">
        <v>16</v>
      </c>
      <c r="J513" s="19">
        <v>320000</v>
      </c>
      <c r="K513" s="18">
        <v>2</v>
      </c>
      <c r="L513" s="18" t="s">
        <v>28</v>
      </c>
      <c r="M513" s="20">
        <f t="shared" si="15"/>
        <v>256000</v>
      </c>
      <c r="N513" s="20">
        <f>'Working Sheet'!$J513*'Working Sheet'!$K513</f>
        <v>640000</v>
      </c>
      <c r="O513" s="21">
        <f>'Working Sheet'!$M513*'Working Sheet'!$K513</f>
        <v>512000</v>
      </c>
      <c r="P513" s="20">
        <f>'Working Sheet'!$N513-'Working Sheet'!$O513</f>
        <v>128000</v>
      </c>
    </row>
    <row r="514" spans="1:16" ht="14.25" customHeight="1" x14ac:dyDescent="0.25">
      <c r="A514" s="23" t="str">
        <f t="shared" ref="A514:A577" ca="1" si="16">"ID_"&amp; RANDBETWEEN(1,2098)</f>
        <v>ID_643</v>
      </c>
      <c r="B514" s="22">
        <v>45670</v>
      </c>
      <c r="C514" s="23" t="str">
        <f>TEXT('Working Sheet'!$B514,"mmm")</f>
        <v>Jan</v>
      </c>
      <c r="D514" s="23" t="s">
        <v>29</v>
      </c>
      <c r="E514" s="23" t="s">
        <v>26</v>
      </c>
      <c r="F514" s="23" t="s">
        <v>23</v>
      </c>
      <c r="G514" s="23" t="s">
        <v>20</v>
      </c>
      <c r="H514" s="23" t="s">
        <v>30</v>
      </c>
      <c r="I514" s="23" t="s">
        <v>31</v>
      </c>
      <c r="J514" s="24">
        <v>300000</v>
      </c>
      <c r="K514" s="23">
        <v>3</v>
      </c>
      <c r="L514" s="23" t="s">
        <v>37</v>
      </c>
      <c r="M514" s="25">
        <f t="shared" ref="M514:M577" si="17">J514-J514*0.2</f>
        <v>240000</v>
      </c>
      <c r="N514" s="25">
        <f>'Working Sheet'!$J514*'Working Sheet'!$K514</f>
        <v>900000</v>
      </c>
      <c r="O514" s="26">
        <f>'Working Sheet'!$M514*'Working Sheet'!$K514</f>
        <v>720000</v>
      </c>
      <c r="P514" s="25">
        <f>'Working Sheet'!$N514-'Working Sheet'!$O514</f>
        <v>180000</v>
      </c>
    </row>
    <row r="515" spans="1:16" ht="14.25" customHeight="1" x14ac:dyDescent="0.25">
      <c r="A515" s="18" t="str">
        <f t="shared" ca="1" si="16"/>
        <v>ID_2083</v>
      </c>
      <c r="B515" s="17">
        <v>45776</v>
      </c>
      <c r="C515" s="18" t="str">
        <f>TEXT('Working Sheet'!$B515,"mmm")</f>
        <v>Apr</v>
      </c>
      <c r="D515" s="18" t="s">
        <v>25</v>
      </c>
      <c r="E515" s="18" t="s">
        <v>12</v>
      </c>
      <c r="F515" s="18" t="s">
        <v>13</v>
      </c>
      <c r="G515" s="18" t="s">
        <v>14</v>
      </c>
      <c r="H515" s="18" t="s">
        <v>30</v>
      </c>
      <c r="I515" s="18" t="s">
        <v>31</v>
      </c>
      <c r="J515" s="19">
        <v>300000</v>
      </c>
      <c r="K515" s="18">
        <v>3</v>
      </c>
      <c r="L515" s="18" t="s">
        <v>28</v>
      </c>
      <c r="M515" s="20">
        <f t="shared" si="17"/>
        <v>240000</v>
      </c>
      <c r="N515" s="20">
        <f>'Working Sheet'!$J515*'Working Sheet'!$K515</f>
        <v>900000</v>
      </c>
      <c r="O515" s="21">
        <f>'Working Sheet'!$M515*'Working Sheet'!$K515</f>
        <v>720000</v>
      </c>
      <c r="P515" s="20">
        <f>'Working Sheet'!$N515-'Working Sheet'!$O515</f>
        <v>180000</v>
      </c>
    </row>
    <row r="516" spans="1:16" ht="14.25" customHeight="1" x14ac:dyDescent="0.25">
      <c r="A516" s="23" t="str">
        <f t="shared" ca="1" si="16"/>
        <v>ID_419</v>
      </c>
      <c r="B516" s="22">
        <v>45700</v>
      </c>
      <c r="C516" s="23" t="str">
        <f>TEXT('Working Sheet'!$B516,"mmm")</f>
        <v>Feb</v>
      </c>
      <c r="D516" s="23" t="s">
        <v>25</v>
      </c>
      <c r="E516" s="23" t="s">
        <v>32</v>
      </c>
      <c r="F516" s="23" t="s">
        <v>13</v>
      </c>
      <c r="G516" s="23" t="s">
        <v>20</v>
      </c>
      <c r="H516" s="23" t="s">
        <v>36</v>
      </c>
      <c r="I516" s="23" t="s">
        <v>31</v>
      </c>
      <c r="J516" s="24">
        <v>150000</v>
      </c>
      <c r="K516" s="23">
        <v>10</v>
      </c>
      <c r="L516" s="23" t="s">
        <v>28</v>
      </c>
      <c r="M516" s="25">
        <f t="shared" si="17"/>
        <v>120000</v>
      </c>
      <c r="N516" s="25">
        <f>'Working Sheet'!$J516*'Working Sheet'!$K516</f>
        <v>1500000</v>
      </c>
      <c r="O516" s="26">
        <f>'Working Sheet'!$M516*'Working Sheet'!$K516</f>
        <v>1200000</v>
      </c>
      <c r="P516" s="25">
        <f>'Working Sheet'!$N516-'Working Sheet'!$O516</f>
        <v>300000</v>
      </c>
    </row>
    <row r="517" spans="1:16" ht="14.25" customHeight="1" x14ac:dyDescent="0.25">
      <c r="A517" s="18" t="str">
        <f t="shared" ca="1" si="16"/>
        <v>ID_734</v>
      </c>
      <c r="B517" s="17">
        <v>45752</v>
      </c>
      <c r="C517" s="18" t="str">
        <f>TEXT('Working Sheet'!$B517,"mmm")</f>
        <v>Apr</v>
      </c>
      <c r="D517" s="18" t="s">
        <v>25</v>
      </c>
      <c r="E517" s="18" t="s">
        <v>19</v>
      </c>
      <c r="F517" s="18" t="s">
        <v>23</v>
      </c>
      <c r="G517" s="18" t="s">
        <v>20</v>
      </c>
      <c r="H517" s="18" t="s">
        <v>21</v>
      </c>
      <c r="I517" s="18" t="s">
        <v>22</v>
      </c>
      <c r="J517" s="19">
        <v>30000</v>
      </c>
      <c r="K517" s="18">
        <v>7</v>
      </c>
      <c r="L517" s="18" t="s">
        <v>35</v>
      </c>
      <c r="M517" s="20">
        <f t="shared" si="17"/>
        <v>24000</v>
      </c>
      <c r="N517" s="20">
        <f>'Working Sheet'!$J517*'Working Sheet'!$K517</f>
        <v>210000</v>
      </c>
      <c r="O517" s="21">
        <f>'Working Sheet'!$M517*'Working Sheet'!$K517</f>
        <v>168000</v>
      </c>
      <c r="P517" s="20">
        <f>'Working Sheet'!$N517-'Working Sheet'!$O517</f>
        <v>42000</v>
      </c>
    </row>
    <row r="518" spans="1:16" ht="14.25" customHeight="1" x14ac:dyDescent="0.25">
      <c r="A518" s="23" t="str">
        <f t="shared" ca="1" si="16"/>
        <v>ID_1900</v>
      </c>
      <c r="B518" s="22">
        <v>45765</v>
      </c>
      <c r="C518" s="23" t="str">
        <f>TEXT('Working Sheet'!$B518,"mmm")</f>
        <v>Apr</v>
      </c>
      <c r="D518" s="23" t="s">
        <v>11</v>
      </c>
      <c r="E518" s="23" t="s">
        <v>12</v>
      </c>
      <c r="F518" s="23" t="s">
        <v>13</v>
      </c>
      <c r="G518" s="23" t="s">
        <v>14</v>
      </c>
      <c r="H518" s="23" t="s">
        <v>27</v>
      </c>
      <c r="I518" s="23" t="s">
        <v>22</v>
      </c>
      <c r="J518" s="24">
        <v>60000</v>
      </c>
      <c r="K518" s="23">
        <v>2</v>
      </c>
      <c r="L518" s="23" t="s">
        <v>37</v>
      </c>
      <c r="M518" s="25">
        <f t="shared" si="17"/>
        <v>48000</v>
      </c>
      <c r="N518" s="25">
        <f>'Working Sheet'!$J518*'Working Sheet'!$K518</f>
        <v>120000</v>
      </c>
      <c r="O518" s="26">
        <f>'Working Sheet'!$M518*'Working Sheet'!$K518</f>
        <v>96000</v>
      </c>
      <c r="P518" s="25">
        <f>'Working Sheet'!$N518-'Working Sheet'!$O518</f>
        <v>24000</v>
      </c>
    </row>
    <row r="519" spans="1:16" ht="14.25" customHeight="1" x14ac:dyDescent="0.25">
      <c r="A519" s="18" t="str">
        <f t="shared" ca="1" si="16"/>
        <v>ID_1055</v>
      </c>
      <c r="B519" s="17">
        <v>45668</v>
      </c>
      <c r="C519" s="18" t="str">
        <f>TEXT('Working Sheet'!$B519,"mmm")</f>
        <v>Jan</v>
      </c>
      <c r="D519" s="18" t="s">
        <v>18</v>
      </c>
      <c r="E519" s="18" t="s">
        <v>19</v>
      </c>
      <c r="F519" s="18" t="s">
        <v>13</v>
      </c>
      <c r="G519" s="18" t="s">
        <v>14</v>
      </c>
      <c r="H519" s="18" t="s">
        <v>30</v>
      </c>
      <c r="I519" s="18" t="s">
        <v>31</v>
      </c>
      <c r="J519" s="19">
        <v>300000</v>
      </c>
      <c r="K519" s="18">
        <v>8</v>
      </c>
      <c r="L519" s="18" t="s">
        <v>17</v>
      </c>
      <c r="M519" s="20">
        <f t="shared" si="17"/>
        <v>240000</v>
      </c>
      <c r="N519" s="20">
        <f>'Working Sheet'!$J519*'Working Sheet'!$K519</f>
        <v>2400000</v>
      </c>
      <c r="O519" s="21">
        <f>'Working Sheet'!$M519*'Working Sheet'!$K519</f>
        <v>1920000</v>
      </c>
      <c r="P519" s="20">
        <f>'Working Sheet'!$N519-'Working Sheet'!$O519</f>
        <v>480000</v>
      </c>
    </row>
    <row r="520" spans="1:16" ht="14.25" customHeight="1" x14ac:dyDescent="0.25">
      <c r="A520" s="23" t="str">
        <f t="shared" ca="1" si="16"/>
        <v>ID_1479</v>
      </c>
      <c r="B520" s="22">
        <v>45747</v>
      </c>
      <c r="C520" s="23" t="str">
        <f>TEXT('Working Sheet'!$B520,"mmm")</f>
        <v>Mar</v>
      </c>
      <c r="D520" s="23" t="s">
        <v>29</v>
      </c>
      <c r="E520" s="23" t="s">
        <v>19</v>
      </c>
      <c r="F520" s="23" t="s">
        <v>23</v>
      </c>
      <c r="G520" s="23" t="s">
        <v>20</v>
      </c>
      <c r="H520" s="23" t="s">
        <v>21</v>
      </c>
      <c r="I520" s="23" t="s">
        <v>22</v>
      </c>
      <c r="J520" s="24">
        <v>30000</v>
      </c>
      <c r="K520" s="23">
        <v>6</v>
      </c>
      <c r="L520" s="23" t="s">
        <v>28</v>
      </c>
      <c r="M520" s="25">
        <f t="shared" si="17"/>
        <v>24000</v>
      </c>
      <c r="N520" s="25">
        <f>'Working Sheet'!$J520*'Working Sheet'!$K520</f>
        <v>180000</v>
      </c>
      <c r="O520" s="26">
        <f>'Working Sheet'!$M520*'Working Sheet'!$K520</f>
        <v>144000</v>
      </c>
      <c r="P520" s="25">
        <f>'Working Sheet'!$N520-'Working Sheet'!$O520</f>
        <v>36000</v>
      </c>
    </row>
    <row r="521" spans="1:16" ht="14.25" customHeight="1" x14ac:dyDescent="0.25">
      <c r="A521" s="18" t="str">
        <f t="shared" ca="1" si="16"/>
        <v>ID_361</v>
      </c>
      <c r="B521" s="17">
        <v>45700</v>
      </c>
      <c r="C521" s="18" t="str">
        <f>TEXT('Working Sheet'!$B521,"mmm")</f>
        <v>Feb</v>
      </c>
      <c r="D521" s="18" t="s">
        <v>11</v>
      </c>
      <c r="E521" s="18" t="s">
        <v>19</v>
      </c>
      <c r="F521" s="18" t="s">
        <v>23</v>
      </c>
      <c r="G521" s="18" t="s">
        <v>14</v>
      </c>
      <c r="H521" s="18" t="s">
        <v>40</v>
      </c>
      <c r="I521" s="18" t="s">
        <v>31</v>
      </c>
      <c r="J521" s="19">
        <v>250000</v>
      </c>
      <c r="K521" s="18">
        <v>6</v>
      </c>
      <c r="L521" s="18" t="s">
        <v>24</v>
      </c>
      <c r="M521" s="20">
        <f t="shared" si="17"/>
        <v>200000</v>
      </c>
      <c r="N521" s="20">
        <f>'Working Sheet'!$J521*'Working Sheet'!$K521</f>
        <v>1500000</v>
      </c>
      <c r="O521" s="21">
        <f>'Working Sheet'!$M521*'Working Sheet'!$K521</f>
        <v>1200000</v>
      </c>
      <c r="P521" s="20">
        <f>'Working Sheet'!$N521-'Working Sheet'!$O521</f>
        <v>300000</v>
      </c>
    </row>
    <row r="522" spans="1:16" ht="14.25" customHeight="1" x14ac:dyDescent="0.25">
      <c r="A522" s="23" t="str">
        <f t="shared" ca="1" si="16"/>
        <v>ID_492</v>
      </c>
      <c r="B522" s="22">
        <v>45718</v>
      </c>
      <c r="C522" s="23" t="str">
        <f>TEXT('Working Sheet'!$B522,"mmm")</f>
        <v>Mar</v>
      </c>
      <c r="D522" s="23" t="s">
        <v>18</v>
      </c>
      <c r="E522" s="23" t="s">
        <v>32</v>
      </c>
      <c r="F522" s="23" t="s">
        <v>13</v>
      </c>
      <c r="G522" s="23" t="s">
        <v>14</v>
      </c>
      <c r="H522" s="23" t="s">
        <v>38</v>
      </c>
      <c r="I522" s="23" t="s">
        <v>31</v>
      </c>
      <c r="J522" s="24">
        <v>420000</v>
      </c>
      <c r="K522" s="23">
        <v>10</v>
      </c>
      <c r="L522" s="23" t="s">
        <v>35</v>
      </c>
      <c r="M522" s="25">
        <f t="shared" si="17"/>
        <v>336000</v>
      </c>
      <c r="N522" s="25">
        <f>'Working Sheet'!$J522*'Working Sheet'!$K522</f>
        <v>4200000</v>
      </c>
      <c r="O522" s="26">
        <f>'Working Sheet'!$M522*'Working Sheet'!$K522</f>
        <v>3360000</v>
      </c>
      <c r="P522" s="25">
        <f>'Working Sheet'!$N522-'Working Sheet'!$O522</f>
        <v>840000</v>
      </c>
    </row>
    <row r="523" spans="1:16" ht="14.25" customHeight="1" x14ac:dyDescent="0.25">
      <c r="A523" s="18" t="str">
        <f t="shared" ca="1" si="16"/>
        <v>ID_2001</v>
      </c>
      <c r="B523" s="17">
        <v>45726</v>
      </c>
      <c r="C523" s="18" t="str">
        <f>TEXT('Working Sheet'!$B523,"mmm")</f>
        <v>Mar</v>
      </c>
      <c r="D523" s="18" t="s">
        <v>25</v>
      </c>
      <c r="E523" s="18" t="s">
        <v>32</v>
      </c>
      <c r="F523" s="18" t="s">
        <v>13</v>
      </c>
      <c r="G523" s="18" t="s">
        <v>14</v>
      </c>
      <c r="H523" s="18" t="s">
        <v>27</v>
      </c>
      <c r="I523" s="18" t="s">
        <v>22</v>
      </c>
      <c r="J523" s="19">
        <v>60000</v>
      </c>
      <c r="K523" s="18">
        <v>9</v>
      </c>
      <c r="L523" s="18" t="s">
        <v>39</v>
      </c>
      <c r="M523" s="20">
        <f t="shared" si="17"/>
        <v>48000</v>
      </c>
      <c r="N523" s="20">
        <f>'Working Sheet'!$J523*'Working Sheet'!$K523</f>
        <v>540000</v>
      </c>
      <c r="O523" s="21">
        <f>'Working Sheet'!$M523*'Working Sheet'!$K523</f>
        <v>432000</v>
      </c>
      <c r="P523" s="20">
        <f>'Working Sheet'!$N523-'Working Sheet'!$O523</f>
        <v>108000</v>
      </c>
    </row>
    <row r="524" spans="1:16" ht="14.25" customHeight="1" x14ac:dyDescent="0.25">
      <c r="A524" s="23" t="str">
        <f t="shared" ca="1" si="16"/>
        <v>ID_1004</v>
      </c>
      <c r="B524" s="22">
        <v>45671</v>
      </c>
      <c r="C524" s="23" t="str">
        <f>TEXT('Working Sheet'!$B524,"mmm")</f>
        <v>Jan</v>
      </c>
      <c r="D524" s="23" t="s">
        <v>18</v>
      </c>
      <c r="E524" s="23" t="s">
        <v>26</v>
      </c>
      <c r="F524" s="23" t="s">
        <v>23</v>
      </c>
      <c r="G524" s="23" t="s">
        <v>20</v>
      </c>
      <c r="H524" s="23" t="s">
        <v>33</v>
      </c>
      <c r="I524" s="23" t="s">
        <v>22</v>
      </c>
      <c r="J524" s="24">
        <v>180000</v>
      </c>
      <c r="K524" s="23">
        <v>4</v>
      </c>
      <c r="L524" s="23" t="s">
        <v>17</v>
      </c>
      <c r="M524" s="25">
        <f t="shared" si="17"/>
        <v>144000</v>
      </c>
      <c r="N524" s="25">
        <f>'Working Sheet'!$J524*'Working Sheet'!$K524</f>
        <v>720000</v>
      </c>
      <c r="O524" s="26">
        <f>'Working Sheet'!$M524*'Working Sheet'!$K524</f>
        <v>576000</v>
      </c>
      <c r="P524" s="25">
        <f>'Working Sheet'!$N524-'Working Sheet'!$O524</f>
        <v>144000</v>
      </c>
    </row>
    <row r="525" spans="1:16" ht="14.25" customHeight="1" x14ac:dyDescent="0.25">
      <c r="A525" s="18" t="str">
        <f t="shared" ca="1" si="16"/>
        <v>ID_1152</v>
      </c>
      <c r="B525" s="17">
        <v>45705</v>
      </c>
      <c r="C525" s="18" t="str">
        <f>TEXT('Working Sheet'!$B525,"mmm")</f>
        <v>Feb</v>
      </c>
      <c r="D525" s="18" t="s">
        <v>29</v>
      </c>
      <c r="E525" s="18" t="s">
        <v>26</v>
      </c>
      <c r="F525" s="18" t="s">
        <v>13</v>
      </c>
      <c r="G525" s="18" t="s">
        <v>20</v>
      </c>
      <c r="H525" s="18" t="s">
        <v>33</v>
      </c>
      <c r="I525" s="18" t="s">
        <v>22</v>
      </c>
      <c r="J525" s="19">
        <v>180000</v>
      </c>
      <c r="K525" s="18">
        <v>10</v>
      </c>
      <c r="L525" s="18" t="s">
        <v>17</v>
      </c>
      <c r="M525" s="20">
        <f t="shared" si="17"/>
        <v>144000</v>
      </c>
      <c r="N525" s="20">
        <f>'Working Sheet'!$J525*'Working Sheet'!$K525</f>
        <v>1800000</v>
      </c>
      <c r="O525" s="21">
        <f>'Working Sheet'!$M525*'Working Sheet'!$K525</f>
        <v>1440000</v>
      </c>
      <c r="P525" s="20">
        <f>'Working Sheet'!$N525-'Working Sheet'!$O525</f>
        <v>360000</v>
      </c>
    </row>
    <row r="526" spans="1:16" ht="14.25" customHeight="1" x14ac:dyDescent="0.25">
      <c r="A526" s="23" t="str">
        <f t="shared" ca="1" si="16"/>
        <v>ID_1433</v>
      </c>
      <c r="B526" s="22">
        <v>45750</v>
      </c>
      <c r="C526" s="23" t="str">
        <f>TEXT('Working Sheet'!$B526,"mmm")</f>
        <v>Apr</v>
      </c>
      <c r="D526" s="23" t="s">
        <v>29</v>
      </c>
      <c r="E526" s="23" t="s">
        <v>19</v>
      </c>
      <c r="F526" s="23" t="s">
        <v>23</v>
      </c>
      <c r="G526" s="23" t="s">
        <v>14</v>
      </c>
      <c r="H526" s="23" t="s">
        <v>21</v>
      </c>
      <c r="I526" s="23" t="s">
        <v>22</v>
      </c>
      <c r="J526" s="24">
        <v>30000</v>
      </c>
      <c r="K526" s="23">
        <v>1</v>
      </c>
      <c r="L526" s="23" t="s">
        <v>37</v>
      </c>
      <c r="M526" s="25">
        <f t="shared" si="17"/>
        <v>24000</v>
      </c>
      <c r="N526" s="25">
        <f>'Working Sheet'!$J526*'Working Sheet'!$K526</f>
        <v>30000</v>
      </c>
      <c r="O526" s="26">
        <f>'Working Sheet'!$M526*'Working Sheet'!$K526</f>
        <v>24000</v>
      </c>
      <c r="P526" s="25">
        <f>'Working Sheet'!$N526-'Working Sheet'!$O526</f>
        <v>6000</v>
      </c>
    </row>
    <row r="527" spans="1:16" ht="14.25" customHeight="1" x14ac:dyDescent="0.25">
      <c r="A527" s="18" t="str">
        <f t="shared" ca="1" si="16"/>
        <v>ID_1096</v>
      </c>
      <c r="B527" s="17">
        <v>45766</v>
      </c>
      <c r="C527" s="18" t="str">
        <f>TEXT('Working Sheet'!$B527,"mmm")</f>
        <v>Apr</v>
      </c>
      <c r="D527" s="18" t="s">
        <v>18</v>
      </c>
      <c r="E527" s="18" t="s">
        <v>26</v>
      </c>
      <c r="F527" s="18" t="s">
        <v>13</v>
      </c>
      <c r="G527" s="18" t="s">
        <v>20</v>
      </c>
      <c r="H527" s="18" t="s">
        <v>38</v>
      </c>
      <c r="I527" s="18" t="s">
        <v>31</v>
      </c>
      <c r="J527" s="19">
        <v>420000</v>
      </c>
      <c r="K527" s="18">
        <v>3</v>
      </c>
      <c r="L527" s="18" t="s">
        <v>35</v>
      </c>
      <c r="M527" s="20">
        <f t="shared" si="17"/>
        <v>336000</v>
      </c>
      <c r="N527" s="20">
        <f>'Working Sheet'!$J527*'Working Sheet'!$K527</f>
        <v>1260000</v>
      </c>
      <c r="O527" s="21">
        <f>'Working Sheet'!$M527*'Working Sheet'!$K527</f>
        <v>1008000</v>
      </c>
      <c r="P527" s="20">
        <f>'Working Sheet'!$N527-'Working Sheet'!$O527</f>
        <v>252000</v>
      </c>
    </row>
    <row r="528" spans="1:16" ht="14.25" customHeight="1" x14ac:dyDescent="0.25">
      <c r="A528" s="23" t="str">
        <f t="shared" ca="1" si="16"/>
        <v>ID_734</v>
      </c>
      <c r="B528" s="22">
        <v>45754</v>
      </c>
      <c r="C528" s="23" t="str">
        <f>TEXT('Working Sheet'!$B528,"mmm")</f>
        <v>Apr</v>
      </c>
      <c r="D528" s="23" t="s">
        <v>18</v>
      </c>
      <c r="E528" s="23" t="s">
        <v>12</v>
      </c>
      <c r="F528" s="23" t="s">
        <v>13</v>
      </c>
      <c r="G528" s="23" t="s">
        <v>20</v>
      </c>
      <c r="H528" s="23" t="s">
        <v>21</v>
      </c>
      <c r="I528" s="23" t="s">
        <v>22</v>
      </c>
      <c r="J528" s="24">
        <v>30000</v>
      </c>
      <c r="K528" s="23">
        <v>8</v>
      </c>
      <c r="L528" s="23" t="s">
        <v>35</v>
      </c>
      <c r="M528" s="25">
        <f t="shared" si="17"/>
        <v>24000</v>
      </c>
      <c r="N528" s="25">
        <f>'Working Sheet'!$J528*'Working Sheet'!$K528</f>
        <v>240000</v>
      </c>
      <c r="O528" s="26">
        <f>'Working Sheet'!$M528*'Working Sheet'!$K528</f>
        <v>192000</v>
      </c>
      <c r="P528" s="25">
        <f>'Working Sheet'!$N528-'Working Sheet'!$O528</f>
        <v>48000</v>
      </c>
    </row>
    <row r="529" spans="1:16" ht="14.25" customHeight="1" x14ac:dyDescent="0.25">
      <c r="A529" s="18" t="str">
        <f t="shared" ca="1" si="16"/>
        <v>ID_653</v>
      </c>
      <c r="B529" s="17">
        <v>45739</v>
      </c>
      <c r="C529" s="18" t="str">
        <f>TEXT('Working Sheet'!$B529,"mmm")</f>
        <v>Mar</v>
      </c>
      <c r="D529" s="18" t="s">
        <v>25</v>
      </c>
      <c r="E529" s="18" t="s">
        <v>32</v>
      </c>
      <c r="F529" s="18" t="s">
        <v>23</v>
      </c>
      <c r="G529" s="18" t="s">
        <v>14</v>
      </c>
      <c r="H529" s="18" t="s">
        <v>34</v>
      </c>
      <c r="I529" s="18" t="s">
        <v>16</v>
      </c>
      <c r="J529" s="19">
        <v>320000</v>
      </c>
      <c r="K529" s="18">
        <v>2</v>
      </c>
      <c r="L529" s="18" t="s">
        <v>28</v>
      </c>
      <c r="M529" s="20">
        <f t="shared" si="17"/>
        <v>256000</v>
      </c>
      <c r="N529" s="20">
        <f>'Working Sheet'!$J529*'Working Sheet'!$K529</f>
        <v>640000</v>
      </c>
      <c r="O529" s="21">
        <f>'Working Sheet'!$M529*'Working Sheet'!$K529</f>
        <v>512000</v>
      </c>
      <c r="P529" s="20">
        <f>'Working Sheet'!$N529-'Working Sheet'!$O529</f>
        <v>128000</v>
      </c>
    </row>
    <row r="530" spans="1:16" ht="14.25" customHeight="1" x14ac:dyDescent="0.25">
      <c r="A530" s="23" t="str">
        <f t="shared" ca="1" si="16"/>
        <v>ID_719</v>
      </c>
      <c r="B530" s="22">
        <v>45775</v>
      </c>
      <c r="C530" s="23" t="str">
        <f>TEXT('Working Sheet'!$B530,"mmm")</f>
        <v>Apr</v>
      </c>
      <c r="D530" s="23" t="s">
        <v>11</v>
      </c>
      <c r="E530" s="23" t="s">
        <v>19</v>
      </c>
      <c r="F530" s="23" t="s">
        <v>23</v>
      </c>
      <c r="G530" s="23" t="s">
        <v>20</v>
      </c>
      <c r="H530" s="23" t="s">
        <v>36</v>
      </c>
      <c r="I530" s="23" t="s">
        <v>31</v>
      </c>
      <c r="J530" s="24">
        <v>150000</v>
      </c>
      <c r="K530" s="23">
        <v>10</v>
      </c>
      <c r="L530" s="23" t="s">
        <v>28</v>
      </c>
      <c r="M530" s="25">
        <f t="shared" si="17"/>
        <v>120000</v>
      </c>
      <c r="N530" s="25">
        <f>'Working Sheet'!$J530*'Working Sheet'!$K530</f>
        <v>1500000</v>
      </c>
      <c r="O530" s="26">
        <f>'Working Sheet'!$M530*'Working Sheet'!$K530</f>
        <v>1200000</v>
      </c>
      <c r="P530" s="25">
        <f>'Working Sheet'!$N530-'Working Sheet'!$O530</f>
        <v>300000</v>
      </c>
    </row>
    <row r="531" spans="1:16" ht="14.25" customHeight="1" x14ac:dyDescent="0.25">
      <c r="A531" s="18" t="str">
        <f t="shared" ca="1" si="16"/>
        <v>ID_907</v>
      </c>
      <c r="B531" s="17">
        <v>45752</v>
      </c>
      <c r="C531" s="18" t="str">
        <f>TEXT('Working Sheet'!$B531,"mmm")</f>
        <v>Apr</v>
      </c>
      <c r="D531" s="18" t="s">
        <v>29</v>
      </c>
      <c r="E531" s="18" t="s">
        <v>26</v>
      </c>
      <c r="F531" s="18" t="s">
        <v>23</v>
      </c>
      <c r="G531" s="18" t="s">
        <v>14</v>
      </c>
      <c r="H531" s="18" t="s">
        <v>40</v>
      </c>
      <c r="I531" s="18" t="s">
        <v>31</v>
      </c>
      <c r="J531" s="19">
        <v>250000</v>
      </c>
      <c r="K531" s="18">
        <v>9</v>
      </c>
      <c r="L531" s="18" t="s">
        <v>24</v>
      </c>
      <c r="M531" s="20">
        <f t="shared" si="17"/>
        <v>200000</v>
      </c>
      <c r="N531" s="20">
        <f>'Working Sheet'!$J531*'Working Sheet'!$K531</f>
        <v>2250000</v>
      </c>
      <c r="O531" s="21">
        <f>'Working Sheet'!$M531*'Working Sheet'!$K531</f>
        <v>1800000</v>
      </c>
      <c r="P531" s="20">
        <f>'Working Sheet'!$N531-'Working Sheet'!$O531</f>
        <v>450000</v>
      </c>
    </row>
    <row r="532" spans="1:16" ht="14.25" customHeight="1" x14ac:dyDescent="0.25">
      <c r="A532" s="23" t="str">
        <f t="shared" ca="1" si="16"/>
        <v>ID_669</v>
      </c>
      <c r="B532" s="22">
        <v>45759</v>
      </c>
      <c r="C532" s="23" t="str">
        <f>TEXT('Working Sheet'!$B532,"mmm")</f>
        <v>Apr</v>
      </c>
      <c r="D532" s="23" t="s">
        <v>25</v>
      </c>
      <c r="E532" s="23" t="s">
        <v>26</v>
      </c>
      <c r="F532" s="23" t="s">
        <v>23</v>
      </c>
      <c r="G532" s="23" t="s">
        <v>20</v>
      </c>
      <c r="H532" s="23" t="s">
        <v>41</v>
      </c>
      <c r="I532" s="23" t="s">
        <v>22</v>
      </c>
      <c r="J532" s="24">
        <v>220000</v>
      </c>
      <c r="K532" s="23">
        <v>5</v>
      </c>
      <c r="L532" s="23" t="s">
        <v>24</v>
      </c>
      <c r="M532" s="25">
        <f t="shared" si="17"/>
        <v>176000</v>
      </c>
      <c r="N532" s="25">
        <f>'Working Sheet'!$J532*'Working Sheet'!$K532</f>
        <v>1100000</v>
      </c>
      <c r="O532" s="26">
        <f>'Working Sheet'!$M532*'Working Sheet'!$K532</f>
        <v>880000</v>
      </c>
      <c r="P532" s="25">
        <f>'Working Sheet'!$N532-'Working Sheet'!$O532</f>
        <v>220000</v>
      </c>
    </row>
    <row r="533" spans="1:16" ht="14.25" customHeight="1" x14ac:dyDescent="0.25">
      <c r="A533" s="18" t="str">
        <f t="shared" ca="1" si="16"/>
        <v>ID_1098</v>
      </c>
      <c r="B533" s="17">
        <v>45745</v>
      </c>
      <c r="C533" s="18" t="str">
        <f>TEXT('Working Sheet'!$B533,"mmm")</f>
        <v>Mar</v>
      </c>
      <c r="D533" s="18" t="s">
        <v>11</v>
      </c>
      <c r="E533" s="18" t="s">
        <v>26</v>
      </c>
      <c r="F533" s="18" t="s">
        <v>13</v>
      </c>
      <c r="G533" s="18" t="s">
        <v>20</v>
      </c>
      <c r="H533" s="18" t="s">
        <v>36</v>
      </c>
      <c r="I533" s="18" t="s">
        <v>31</v>
      </c>
      <c r="J533" s="19">
        <v>150000</v>
      </c>
      <c r="K533" s="18">
        <v>5</v>
      </c>
      <c r="L533" s="18" t="s">
        <v>17</v>
      </c>
      <c r="M533" s="20">
        <f t="shared" si="17"/>
        <v>120000</v>
      </c>
      <c r="N533" s="20">
        <f>'Working Sheet'!$J533*'Working Sheet'!$K533</f>
        <v>750000</v>
      </c>
      <c r="O533" s="21">
        <f>'Working Sheet'!$M533*'Working Sheet'!$K533</f>
        <v>600000</v>
      </c>
      <c r="P533" s="20">
        <f>'Working Sheet'!$N533-'Working Sheet'!$O533</f>
        <v>150000</v>
      </c>
    </row>
    <row r="534" spans="1:16" ht="14.25" customHeight="1" x14ac:dyDescent="0.25">
      <c r="A534" s="23" t="str">
        <f t="shared" ca="1" si="16"/>
        <v>ID_1544</v>
      </c>
      <c r="B534" s="22">
        <v>45690</v>
      </c>
      <c r="C534" s="23" t="str">
        <f>TEXT('Working Sheet'!$B534,"mmm")</f>
        <v>Feb</v>
      </c>
      <c r="D534" s="23" t="s">
        <v>18</v>
      </c>
      <c r="E534" s="23" t="s">
        <v>32</v>
      </c>
      <c r="F534" s="23" t="s">
        <v>23</v>
      </c>
      <c r="G534" s="23" t="s">
        <v>20</v>
      </c>
      <c r="H534" s="23" t="s">
        <v>41</v>
      </c>
      <c r="I534" s="23" t="s">
        <v>22</v>
      </c>
      <c r="J534" s="24">
        <v>220000</v>
      </c>
      <c r="K534" s="23">
        <v>8</v>
      </c>
      <c r="L534" s="23" t="s">
        <v>37</v>
      </c>
      <c r="M534" s="25">
        <f t="shared" si="17"/>
        <v>176000</v>
      </c>
      <c r="N534" s="25">
        <f>'Working Sheet'!$J534*'Working Sheet'!$K534</f>
        <v>1760000</v>
      </c>
      <c r="O534" s="26">
        <f>'Working Sheet'!$M534*'Working Sheet'!$K534</f>
        <v>1408000</v>
      </c>
      <c r="P534" s="25">
        <f>'Working Sheet'!$N534-'Working Sheet'!$O534</f>
        <v>352000</v>
      </c>
    </row>
    <row r="535" spans="1:16" ht="14.25" customHeight="1" x14ac:dyDescent="0.25">
      <c r="A535" s="18" t="str">
        <f t="shared" ca="1" si="16"/>
        <v>ID_392</v>
      </c>
      <c r="B535" s="17">
        <v>45731</v>
      </c>
      <c r="C535" s="18" t="str">
        <f>TEXT('Working Sheet'!$B535,"mmm")</f>
        <v>Mar</v>
      </c>
      <c r="D535" s="18" t="s">
        <v>18</v>
      </c>
      <c r="E535" s="18" t="s">
        <v>19</v>
      </c>
      <c r="F535" s="18" t="s">
        <v>13</v>
      </c>
      <c r="G535" s="18" t="s">
        <v>14</v>
      </c>
      <c r="H535" s="18" t="s">
        <v>15</v>
      </c>
      <c r="I535" s="18" t="s">
        <v>16</v>
      </c>
      <c r="J535" s="19">
        <v>85000</v>
      </c>
      <c r="K535" s="18">
        <v>4</v>
      </c>
      <c r="L535" s="18" t="s">
        <v>35</v>
      </c>
      <c r="M535" s="20">
        <f t="shared" si="17"/>
        <v>68000</v>
      </c>
      <c r="N535" s="20">
        <f>'Working Sheet'!$J535*'Working Sheet'!$K535</f>
        <v>340000</v>
      </c>
      <c r="O535" s="21">
        <f>'Working Sheet'!$M535*'Working Sheet'!$K535</f>
        <v>272000</v>
      </c>
      <c r="P535" s="20">
        <f>'Working Sheet'!$N535-'Working Sheet'!$O535</f>
        <v>68000</v>
      </c>
    </row>
    <row r="536" spans="1:16" ht="14.25" customHeight="1" x14ac:dyDescent="0.25">
      <c r="A536" s="23" t="str">
        <f t="shared" ca="1" si="16"/>
        <v>ID_852</v>
      </c>
      <c r="B536" s="22">
        <v>45751</v>
      </c>
      <c r="C536" s="23" t="str">
        <f>TEXT('Working Sheet'!$B536,"mmm")</f>
        <v>Apr</v>
      </c>
      <c r="D536" s="23" t="s">
        <v>25</v>
      </c>
      <c r="E536" s="23" t="s">
        <v>26</v>
      </c>
      <c r="F536" s="23" t="s">
        <v>13</v>
      </c>
      <c r="G536" s="23" t="s">
        <v>14</v>
      </c>
      <c r="H536" s="23" t="s">
        <v>34</v>
      </c>
      <c r="I536" s="23" t="s">
        <v>16</v>
      </c>
      <c r="J536" s="24">
        <v>320000</v>
      </c>
      <c r="K536" s="23">
        <v>4</v>
      </c>
      <c r="L536" s="23" t="s">
        <v>35</v>
      </c>
      <c r="M536" s="25">
        <f t="shared" si="17"/>
        <v>256000</v>
      </c>
      <c r="N536" s="25">
        <f>'Working Sheet'!$J536*'Working Sheet'!$K536</f>
        <v>1280000</v>
      </c>
      <c r="O536" s="26">
        <f>'Working Sheet'!$M536*'Working Sheet'!$K536</f>
        <v>1024000</v>
      </c>
      <c r="P536" s="25">
        <f>'Working Sheet'!$N536-'Working Sheet'!$O536</f>
        <v>256000</v>
      </c>
    </row>
    <row r="537" spans="1:16" ht="14.25" customHeight="1" x14ac:dyDescent="0.25">
      <c r="A537" s="18" t="str">
        <f t="shared" ca="1" si="16"/>
        <v>ID_555</v>
      </c>
      <c r="B537" s="17">
        <v>45660</v>
      </c>
      <c r="C537" s="18" t="str">
        <f>TEXT('Working Sheet'!$B537,"mmm")</f>
        <v>Jan</v>
      </c>
      <c r="D537" s="18" t="s">
        <v>18</v>
      </c>
      <c r="E537" s="18" t="s">
        <v>26</v>
      </c>
      <c r="F537" s="18" t="s">
        <v>23</v>
      </c>
      <c r="G537" s="18" t="s">
        <v>14</v>
      </c>
      <c r="H537" s="18" t="s">
        <v>40</v>
      </c>
      <c r="I537" s="18" t="s">
        <v>31</v>
      </c>
      <c r="J537" s="19">
        <v>250000</v>
      </c>
      <c r="K537" s="18">
        <v>2</v>
      </c>
      <c r="L537" s="18" t="s">
        <v>24</v>
      </c>
      <c r="M537" s="20">
        <f t="shared" si="17"/>
        <v>200000</v>
      </c>
      <c r="N537" s="20">
        <f>'Working Sheet'!$J537*'Working Sheet'!$K537</f>
        <v>500000</v>
      </c>
      <c r="O537" s="21">
        <f>'Working Sheet'!$M537*'Working Sheet'!$K537</f>
        <v>400000</v>
      </c>
      <c r="P537" s="20">
        <f>'Working Sheet'!$N537-'Working Sheet'!$O537</f>
        <v>100000</v>
      </c>
    </row>
    <row r="538" spans="1:16" ht="14.25" customHeight="1" x14ac:dyDescent="0.25">
      <c r="A538" s="23" t="str">
        <f t="shared" ca="1" si="16"/>
        <v>ID_657</v>
      </c>
      <c r="B538" s="22">
        <v>45664</v>
      </c>
      <c r="C538" s="23" t="str">
        <f>TEXT('Working Sheet'!$B538,"mmm")</f>
        <v>Jan</v>
      </c>
      <c r="D538" s="23" t="s">
        <v>18</v>
      </c>
      <c r="E538" s="23" t="s">
        <v>12</v>
      </c>
      <c r="F538" s="23" t="s">
        <v>13</v>
      </c>
      <c r="G538" s="23" t="s">
        <v>14</v>
      </c>
      <c r="H538" s="23" t="s">
        <v>30</v>
      </c>
      <c r="I538" s="23" t="s">
        <v>31</v>
      </c>
      <c r="J538" s="24">
        <v>300000</v>
      </c>
      <c r="K538" s="23">
        <v>5</v>
      </c>
      <c r="L538" s="23" t="s">
        <v>24</v>
      </c>
      <c r="M538" s="25">
        <f t="shared" si="17"/>
        <v>240000</v>
      </c>
      <c r="N538" s="25">
        <f>'Working Sheet'!$J538*'Working Sheet'!$K538</f>
        <v>1500000</v>
      </c>
      <c r="O538" s="26">
        <f>'Working Sheet'!$M538*'Working Sheet'!$K538</f>
        <v>1200000</v>
      </c>
      <c r="P538" s="25">
        <f>'Working Sheet'!$N538-'Working Sheet'!$O538</f>
        <v>300000</v>
      </c>
    </row>
    <row r="539" spans="1:16" ht="14.25" customHeight="1" x14ac:dyDescent="0.25">
      <c r="A539" s="18" t="str">
        <f t="shared" ca="1" si="16"/>
        <v>ID_1998</v>
      </c>
      <c r="B539" s="17">
        <v>45703</v>
      </c>
      <c r="C539" s="18" t="str">
        <f>TEXT('Working Sheet'!$B539,"mmm")</f>
        <v>Feb</v>
      </c>
      <c r="D539" s="18" t="s">
        <v>18</v>
      </c>
      <c r="E539" s="18" t="s">
        <v>26</v>
      </c>
      <c r="F539" s="18" t="s">
        <v>13</v>
      </c>
      <c r="G539" s="18" t="s">
        <v>14</v>
      </c>
      <c r="H539" s="18" t="s">
        <v>27</v>
      </c>
      <c r="I539" s="18" t="s">
        <v>22</v>
      </c>
      <c r="J539" s="19">
        <v>60000</v>
      </c>
      <c r="K539" s="18">
        <v>9</v>
      </c>
      <c r="L539" s="18" t="s">
        <v>28</v>
      </c>
      <c r="M539" s="20">
        <f t="shared" si="17"/>
        <v>48000</v>
      </c>
      <c r="N539" s="20">
        <f>'Working Sheet'!$J539*'Working Sheet'!$K539</f>
        <v>540000</v>
      </c>
      <c r="O539" s="21">
        <f>'Working Sheet'!$M539*'Working Sheet'!$K539</f>
        <v>432000</v>
      </c>
      <c r="P539" s="20">
        <f>'Working Sheet'!$N539-'Working Sheet'!$O539</f>
        <v>108000</v>
      </c>
    </row>
    <row r="540" spans="1:16" ht="14.25" customHeight="1" x14ac:dyDescent="0.25">
      <c r="A540" s="23" t="str">
        <f t="shared" ca="1" si="16"/>
        <v>ID_29</v>
      </c>
      <c r="B540" s="22">
        <v>45679</v>
      </c>
      <c r="C540" s="23" t="str">
        <f>TEXT('Working Sheet'!$B540,"mmm")</f>
        <v>Jan</v>
      </c>
      <c r="D540" s="23" t="s">
        <v>18</v>
      </c>
      <c r="E540" s="23" t="s">
        <v>26</v>
      </c>
      <c r="F540" s="23" t="s">
        <v>23</v>
      </c>
      <c r="G540" s="23" t="s">
        <v>14</v>
      </c>
      <c r="H540" s="23" t="s">
        <v>36</v>
      </c>
      <c r="I540" s="23" t="s">
        <v>31</v>
      </c>
      <c r="J540" s="24">
        <v>150000</v>
      </c>
      <c r="K540" s="23">
        <v>6</v>
      </c>
      <c r="L540" s="23" t="s">
        <v>28</v>
      </c>
      <c r="M540" s="25">
        <f t="shared" si="17"/>
        <v>120000</v>
      </c>
      <c r="N540" s="25">
        <f>'Working Sheet'!$J540*'Working Sheet'!$K540</f>
        <v>900000</v>
      </c>
      <c r="O540" s="26">
        <f>'Working Sheet'!$M540*'Working Sheet'!$K540</f>
        <v>720000</v>
      </c>
      <c r="P540" s="25">
        <f>'Working Sheet'!$N540-'Working Sheet'!$O540</f>
        <v>180000</v>
      </c>
    </row>
    <row r="541" spans="1:16" ht="14.25" customHeight="1" x14ac:dyDescent="0.25">
      <c r="A541" s="18" t="str">
        <f t="shared" ca="1" si="16"/>
        <v>ID_924</v>
      </c>
      <c r="B541" s="17">
        <v>45673</v>
      </c>
      <c r="C541" s="18" t="str">
        <f>TEXT('Working Sheet'!$B541,"mmm")</f>
        <v>Jan</v>
      </c>
      <c r="D541" s="18" t="s">
        <v>25</v>
      </c>
      <c r="E541" s="18" t="s">
        <v>26</v>
      </c>
      <c r="F541" s="18" t="s">
        <v>23</v>
      </c>
      <c r="G541" s="18" t="s">
        <v>20</v>
      </c>
      <c r="H541" s="18" t="s">
        <v>15</v>
      </c>
      <c r="I541" s="18" t="s">
        <v>16</v>
      </c>
      <c r="J541" s="19">
        <v>85000</v>
      </c>
      <c r="K541" s="18">
        <v>3</v>
      </c>
      <c r="L541" s="18" t="s">
        <v>35</v>
      </c>
      <c r="M541" s="20">
        <f t="shared" si="17"/>
        <v>68000</v>
      </c>
      <c r="N541" s="20">
        <f>'Working Sheet'!$J541*'Working Sheet'!$K541</f>
        <v>255000</v>
      </c>
      <c r="O541" s="21">
        <f>'Working Sheet'!$M541*'Working Sheet'!$K541</f>
        <v>204000</v>
      </c>
      <c r="P541" s="20">
        <f>'Working Sheet'!$N541-'Working Sheet'!$O541</f>
        <v>51000</v>
      </c>
    </row>
    <row r="542" spans="1:16" ht="14.25" customHeight="1" x14ac:dyDescent="0.25">
      <c r="A542" s="23" t="str">
        <f t="shared" ca="1" si="16"/>
        <v>ID_1305</v>
      </c>
      <c r="B542" s="22">
        <v>45726</v>
      </c>
      <c r="C542" s="23" t="str">
        <f>TEXT('Working Sheet'!$B542,"mmm")</f>
        <v>Mar</v>
      </c>
      <c r="D542" s="23" t="s">
        <v>25</v>
      </c>
      <c r="E542" s="23" t="s">
        <v>19</v>
      </c>
      <c r="F542" s="23" t="s">
        <v>23</v>
      </c>
      <c r="G542" s="23" t="s">
        <v>20</v>
      </c>
      <c r="H542" s="23" t="s">
        <v>34</v>
      </c>
      <c r="I542" s="23" t="s">
        <v>16</v>
      </c>
      <c r="J542" s="24">
        <v>320000</v>
      </c>
      <c r="K542" s="23">
        <v>8</v>
      </c>
      <c r="L542" s="23" t="s">
        <v>28</v>
      </c>
      <c r="M542" s="25">
        <f t="shared" si="17"/>
        <v>256000</v>
      </c>
      <c r="N542" s="25">
        <f>'Working Sheet'!$J542*'Working Sheet'!$K542</f>
        <v>2560000</v>
      </c>
      <c r="O542" s="26">
        <f>'Working Sheet'!$M542*'Working Sheet'!$K542</f>
        <v>2048000</v>
      </c>
      <c r="P542" s="25">
        <f>'Working Sheet'!$N542-'Working Sheet'!$O542</f>
        <v>512000</v>
      </c>
    </row>
    <row r="543" spans="1:16" ht="14.25" customHeight="1" x14ac:dyDescent="0.25">
      <c r="A543" s="18" t="str">
        <f t="shared" ca="1" si="16"/>
        <v>ID_1030</v>
      </c>
      <c r="B543" s="17">
        <v>45746</v>
      </c>
      <c r="C543" s="18" t="str">
        <f>TEXT('Working Sheet'!$B543,"mmm")</f>
        <v>Mar</v>
      </c>
      <c r="D543" s="18" t="s">
        <v>18</v>
      </c>
      <c r="E543" s="18" t="s">
        <v>12</v>
      </c>
      <c r="F543" s="18" t="s">
        <v>23</v>
      </c>
      <c r="G543" s="18" t="s">
        <v>14</v>
      </c>
      <c r="H543" s="18" t="s">
        <v>40</v>
      </c>
      <c r="I543" s="18" t="s">
        <v>31</v>
      </c>
      <c r="J543" s="19">
        <v>250000</v>
      </c>
      <c r="K543" s="18">
        <v>1</v>
      </c>
      <c r="L543" s="18" t="s">
        <v>35</v>
      </c>
      <c r="M543" s="20">
        <f t="shared" si="17"/>
        <v>200000</v>
      </c>
      <c r="N543" s="20">
        <f>'Working Sheet'!$J543*'Working Sheet'!$K543</f>
        <v>250000</v>
      </c>
      <c r="O543" s="21">
        <f>'Working Sheet'!$M543*'Working Sheet'!$K543</f>
        <v>200000</v>
      </c>
      <c r="P543" s="20">
        <f>'Working Sheet'!$N543-'Working Sheet'!$O543</f>
        <v>50000</v>
      </c>
    </row>
    <row r="544" spans="1:16" ht="14.25" customHeight="1" x14ac:dyDescent="0.25">
      <c r="A544" s="23" t="str">
        <f t="shared" ca="1" si="16"/>
        <v>ID_213</v>
      </c>
      <c r="B544" s="22">
        <v>45741</v>
      </c>
      <c r="C544" s="23" t="str">
        <f>TEXT('Working Sheet'!$B544,"mmm")</f>
        <v>Mar</v>
      </c>
      <c r="D544" s="23" t="s">
        <v>11</v>
      </c>
      <c r="E544" s="23" t="s">
        <v>19</v>
      </c>
      <c r="F544" s="23" t="s">
        <v>23</v>
      </c>
      <c r="G544" s="23" t="s">
        <v>20</v>
      </c>
      <c r="H544" s="23" t="s">
        <v>33</v>
      </c>
      <c r="I544" s="23" t="s">
        <v>22</v>
      </c>
      <c r="J544" s="24">
        <v>180000</v>
      </c>
      <c r="K544" s="23">
        <v>4</v>
      </c>
      <c r="L544" s="23" t="s">
        <v>17</v>
      </c>
      <c r="M544" s="25">
        <f t="shared" si="17"/>
        <v>144000</v>
      </c>
      <c r="N544" s="25">
        <f>'Working Sheet'!$J544*'Working Sheet'!$K544</f>
        <v>720000</v>
      </c>
      <c r="O544" s="26">
        <f>'Working Sheet'!$M544*'Working Sheet'!$K544</f>
        <v>576000</v>
      </c>
      <c r="P544" s="25">
        <f>'Working Sheet'!$N544-'Working Sheet'!$O544</f>
        <v>144000</v>
      </c>
    </row>
    <row r="545" spans="1:16" ht="14.25" customHeight="1" x14ac:dyDescent="0.25">
      <c r="A545" s="18" t="str">
        <f t="shared" ca="1" si="16"/>
        <v>ID_1536</v>
      </c>
      <c r="B545" s="17">
        <v>45666</v>
      </c>
      <c r="C545" s="18" t="str">
        <f>TEXT('Working Sheet'!$B545,"mmm")</f>
        <v>Jan</v>
      </c>
      <c r="D545" s="18" t="s">
        <v>18</v>
      </c>
      <c r="E545" s="18" t="s">
        <v>26</v>
      </c>
      <c r="F545" s="18" t="s">
        <v>13</v>
      </c>
      <c r="G545" s="18" t="s">
        <v>14</v>
      </c>
      <c r="H545" s="18" t="s">
        <v>27</v>
      </c>
      <c r="I545" s="18" t="s">
        <v>22</v>
      </c>
      <c r="J545" s="19">
        <v>60000</v>
      </c>
      <c r="K545" s="18">
        <v>6</v>
      </c>
      <c r="L545" s="18" t="s">
        <v>39</v>
      </c>
      <c r="M545" s="20">
        <f t="shared" si="17"/>
        <v>48000</v>
      </c>
      <c r="N545" s="20">
        <f>'Working Sheet'!$J545*'Working Sheet'!$K545</f>
        <v>360000</v>
      </c>
      <c r="O545" s="21">
        <f>'Working Sheet'!$M545*'Working Sheet'!$K545</f>
        <v>288000</v>
      </c>
      <c r="P545" s="20">
        <f>'Working Sheet'!$N545-'Working Sheet'!$O545</f>
        <v>72000</v>
      </c>
    </row>
    <row r="546" spans="1:16" ht="14.25" customHeight="1" x14ac:dyDescent="0.25">
      <c r="A546" s="23" t="str">
        <f t="shared" ca="1" si="16"/>
        <v>ID_389</v>
      </c>
      <c r="B546" s="22">
        <v>45684</v>
      </c>
      <c r="C546" s="23" t="str">
        <f>TEXT('Working Sheet'!$B546,"mmm")</f>
        <v>Jan</v>
      </c>
      <c r="D546" s="23" t="s">
        <v>29</v>
      </c>
      <c r="E546" s="23" t="s">
        <v>32</v>
      </c>
      <c r="F546" s="23" t="s">
        <v>13</v>
      </c>
      <c r="G546" s="23" t="s">
        <v>20</v>
      </c>
      <c r="H546" s="23" t="s">
        <v>33</v>
      </c>
      <c r="I546" s="23" t="s">
        <v>22</v>
      </c>
      <c r="J546" s="24">
        <v>180000</v>
      </c>
      <c r="K546" s="23">
        <v>7</v>
      </c>
      <c r="L546" s="23" t="s">
        <v>17</v>
      </c>
      <c r="M546" s="25">
        <f t="shared" si="17"/>
        <v>144000</v>
      </c>
      <c r="N546" s="25">
        <f>'Working Sheet'!$J546*'Working Sheet'!$K546</f>
        <v>1260000</v>
      </c>
      <c r="O546" s="26">
        <f>'Working Sheet'!$M546*'Working Sheet'!$K546</f>
        <v>1008000</v>
      </c>
      <c r="P546" s="25">
        <f>'Working Sheet'!$N546-'Working Sheet'!$O546</f>
        <v>252000</v>
      </c>
    </row>
    <row r="547" spans="1:16" ht="14.25" customHeight="1" x14ac:dyDescent="0.25">
      <c r="A547" s="18" t="str">
        <f t="shared" ca="1" si="16"/>
        <v>ID_1858</v>
      </c>
      <c r="B547" s="17">
        <v>45686</v>
      </c>
      <c r="C547" s="18" t="str">
        <f>TEXT('Working Sheet'!$B547,"mmm")</f>
        <v>Jan</v>
      </c>
      <c r="D547" s="18" t="s">
        <v>29</v>
      </c>
      <c r="E547" s="18" t="s">
        <v>19</v>
      </c>
      <c r="F547" s="18" t="s">
        <v>13</v>
      </c>
      <c r="G547" s="18" t="s">
        <v>14</v>
      </c>
      <c r="H547" s="18" t="s">
        <v>36</v>
      </c>
      <c r="I547" s="18" t="s">
        <v>31</v>
      </c>
      <c r="J547" s="19">
        <v>150000</v>
      </c>
      <c r="K547" s="18">
        <v>10</v>
      </c>
      <c r="L547" s="18" t="s">
        <v>37</v>
      </c>
      <c r="M547" s="20">
        <f t="shared" si="17"/>
        <v>120000</v>
      </c>
      <c r="N547" s="20">
        <f>'Working Sheet'!$J547*'Working Sheet'!$K547</f>
        <v>1500000</v>
      </c>
      <c r="O547" s="21">
        <f>'Working Sheet'!$M547*'Working Sheet'!$K547</f>
        <v>1200000</v>
      </c>
      <c r="P547" s="20">
        <f>'Working Sheet'!$N547-'Working Sheet'!$O547</f>
        <v>300000</v>
      </c>
    </row>
    <row r="548" spans="1:16" ht="14.25" customHeight="1" x14ac:dyDescent="0.25">
      <c r="A548" s="23" t="str">
        <f t="shared" ca="1" si="16"/>
        <v>ID_401</v>
      </c>
      <c r="B548" s="22">
        <v>45747</v>
      </c>
      <c r="C548" s="23" t="str">
        <f>TEXT('Working Sheet'!$B548,"mmm")</f>
        <v>Mar</v>
      </c>
      <c r="D548" s="23" t="s">
        <v>18</v>
      </c>
      <c r="E548" s="23" t="s">
        <v>26</v>
      </c>
      <c r="F548" s="23" t="s">
        <v>13</v>
      </c>
      <c r="G548" s="23" t="s">
        <v>20</v>
      </c>
      <c r="H548" s="23" t="s">
        <v>34</v>
      </c>
      <c r="I548" s="23" t="s">
        <v>16</v>
      </c>
      <c r="J548" s="24">
        <v>320000</v>
      </c>
      <c r="K548" s="23">
        <v>5</v>
      </c>
      <c r="L548" s="23" t="s">
        <v>37</v>
      </c>
      <c r="M548" s="25">
        <f t="shared" si="17"/>
        <v>256000</v>
      </c>
      <c r="N548" s="25">
        <f>'Working Sheet'!$J548*'Working Sheet'!$K548</f>
        <v>1600000</v>
      </c>
      <c r="O548" s="26">
        <f>'Working Sheet'!$M548*'Working Sheet'!$K548</f>
        <v>1280000</v>
      </c>
      <c r="P548" s="25">
        <f>'Working Sheet'!$N548-'Working Sheet'!$O548</f>
        <v>320000</v>
      </c>
    </row>
    <row r="549" spans="1:16" ht="14.25" customHeight="1" x14ac:dyDescent="0.25">
      <c r="A549" s="18" t="str">
        <f t="shared" ca="1" si="16"/>
        <v>ID_1205</v>
      </c>
      <c r="B549" s="17">
        <v>45742</v>
      </c>
      <c r="C549" s="18" t="str">
        <f>TEXT('Working Sheet'!$B549,"mmm")</f>
        <v>Mar</v>
      </c>
      <c r="D549" s="18" t="s">
        <v>11</v>
      </c>
      <c r="E549" s="18" t="s">
        <v>12</v>
      </c>
      <c r="F549" s="18" t="s">
        <v>23</v>
      </c>
      <c r="G549" s="18" t="s">
        <v>20</v>
      </c>
      <c r="H549" s="18" t="s">
        <v>36</v>
      </c>
      <c r="I549" s="18" t="s">
        <v>31</v>
      </c>
      <c r="J549" s="19">
        <v>150000</v>
      </c>
      <c r="K549" s="18">
        <v>7</v>
      </c>
      <c r="L549" s="18" t="s">
        <v>24</v>
      </c>
      <c r="M549" s="20">
        <f t="shared" si="17"/>
        <v>120000</v>
      </c>
      <c r="N549" s="20">
        <f>'Working Sheet'!$J549*'Working Sheet'!$K549</f>
        <v>1050000</v>
      </c>
      <c r="O549" s="21">
        <f>'Working Sheet'!$M549*'Working Sheet'!$K549</f>
        <v>840000</v>
      </c>
      <c r="P549" s="20">
        <f>'Working Sheet'!$N549-'Working Sheet'!$O549</f>
        <v>210000</v>
      </c>
    </row>
    <row r="550" spans="1:16" ht="14.25" customHeight="1" x14ac:dyDescent="0.25">
      <c r="A550" s="23" t="str">
        <f t="shared" ca="1" si="16"/>
        <v>ID_1147</v>
      </c>
      <c r="B550" s="22">
        <v>45772</v>
      </c>
      <c r="C550" s="23" t="str">
        <f>TEXT('Working Sheet'!$B550,"mmm")</f>
        <v>Apr</v>
      </c>
      <c r="D550" s="23" t="s">
        <v>18</v>
      </c>
      <c r="E550" s="23" t="s">
        <v>12</v>
      </c>
      <c r="F550" s="23" t="s">
        <v>23</v>
      </c>
      <c r="G550" s="23" t="s">
        <v>14</v>
      </c>
      <c r="H550" s="23" t="s">
        <v>36</v>
      </c>
      <c r="I550" s="23" t="s">
        <v>31</v>
      </c>
      <c r="J550" s="24">
        <v>150000</v>
      </c>
      <c r="K550" s="23">
        <v>4</v>
      </c>
      <c r="L550" s="23" t="s">
        <v>37</v>
      </c>
      <c r="M550" s="25">
        <f t="shared" si="17"/>
        <v>120000</v>
      </c>
      <c r="N550" s="25">
        <f>'Working Sheet'!$J550*'Working Sheet'!$K550</f>
        <v>600000</v>
      </c>
      <c r="O550" s="26">
        <f>'Working Sheet'!$M550*'Working Sheet'!$K550</f>
        <v>480000</v>
      </c>
      <c r="P550" s="25">
        <f>'Working Sheet'!$N550-'Working Sheet'!$O550</f>
        <v>120000</v>
      </c>
    </row>
    <row r="551" spans="1:16" ht="14.25" customHeight="1" x14ac:dyDescent="0.25">
      <c r="A551" s="18" t="str">
        <f t="shared" ca="1" si="16"/>
        <v>ID_624</v>
      </c>
      <c r="B551" s="17">
        <v>45705</v>
      </c>
      <c r="C551" s="18" t="str">
        <f>TEXT('Working Sheet'!$B551,"mmm")</f>
        <v>Feb</v>
      </c>
      <c r="D551" s="18" t="s">
        <v>29</v>
      </c>
      <c r="E551" s="18" t="s">
        <v>26</v>
      </c>
      <c r="F551" s="18" t="s">
        <v>23</v>
      </c>
      <c r="G551" s="18" t="s">
        <v>14</v>
      </c>
      <c r="H551" s="18" t="s">
        <v>30</v>
      </c>
      <c r="I551" s="18" t="s">
        <v>31</v>
      </c>
      <c r="J551" s="19">
        <v>300000</v>
      </c>
      <c r="K551" s="18">
        <v>6</v>
      </c>
      <c r="L551" s="18" t="s">
        <v>28</v>
      </c>
      <c r="M551" s="20">
        <f t="shared" si="17"/>
        <v>240000</v>
      </c>
      <c r="N551" s="20">
        <f>'Working Sheet'!$J551*'Working Sheet'!$K551</f>
        <v>1800000</v>
      </c>
      <c r="O551" s="21">
        <f>'Working Sheet'!$M551*'Working Sheet'!$K551</f>
        <v>1440000</v>
      </c>
      <c r="P551" s="20">
        <f>'Working Sheet'!$N551-'Working Sheet'!$O551</f>
        <v>360000</v>
      </c>
    </row>
    <row r="552" spans="1:16" ht="14.25" customHeight="1" x14ac:dyDescent="0.25">
      <c r="A552" s="23" t="str">
        <f t="shared" ca="1" si="16"/>
        <v>ID_1982</v>
      </c>
      <c r="B552" s="22">
        <v>45701</v>
      </c>
      <c r="C552" s="23" t="str">
        <f>TEXT('Working Sheet'!$B552,"mmm")</f>
        <v>Feb</v>
      </c>
      <c r="D552" s="23" t="s">
        <v>29</v>
      </c>
      <c r="E552" s="23" t="s">
        <v>12</v>
      </c>
      <c r="F552" s="23" t="s">
        <v>13</v>
      </c>
      <c r="G552" s="23" t="s">
        <v>20</v>
      </c>
      <c r="H552" s="23" t="s">
        <v>34</v>
      </c>
      <c r="I552" s="23" t="s">
        <v>16</v>
      </c>
      <c r="J552" s="24">
        <v>320000</v>
      </c>
      <c r="K552" s="23">
        <v>4</v>
      </c>
      <c r="L552" s="23" t="s">
        <v>28</v>
      </c>
      <c r="M552" s="25">
        <f t="shared" si="17"/>
        <v>256000</v>
      </c>
      <c r="N552" s="25">
        <f>'Working Sheet'!$J552*'Working Sheet'!$K552</f>
        <v>1280000</v>
      </c>
      <c r="O552" s="26">
        <f>'Working Sheet'!$M552*'Working Sheet'!$K552</f>
        <v>1024000</v>
      </c>
      <c r="P552" s="25">
        <f>'Working Sheet'!$N552-'Working Sheet'!$O552</f>
        <v>256000</v>
      </c>
    </row>
    <row r="553" spans="1:16" ht="14.25" customHeight="1" x14ac:dyDescent="0.25">
      <c r="A553" s="18" t="str">
        <f t="shared" ca="1" si="16"/>
        <v>ID_339</v>
      </c>
      <c r="B553" s="17">
        <v>45706</v>
      </c>
      <c r="C553" s="18" t="str">
        <f>TEXT('Working Sheet'!$B553,"mmm")</f>
        <v>Feb</v>
      </c>
      <c r="D553" s="18" t="s">
        <v>25</v>
      </c>
      <c r="E553" s="18" t="s">
        <v>19</v>
      </c>
      <c r="F553" s="18" t="s">
        <v>23</v>
      </c>
      <c r="G553" s="18" t="s">
        <v>14</v>
      </c>
      <c r="H553" s="18" t="s">
        <v>21</v>
      </c>
      <c r="I553" s="18" t="s">
        <v>22</v>
      </c>
      <c r="J553" s="19">
        <v>30000</v>
      </c>
      <c r="K553" s="18">
        <v>4</v>
      </c>
      <c r="L553" s="18" t="s">
        <v>24</v>
      </c>
      <c r="M553" s="20">
        <f t="shared" si="17"/>
        <v>24000</v>
      </c>
      <c r="N553" s="20">
        <f>'Working Sheet'!$J553*'Working Sheet'!$K553</f>
        <v>120000</v>
      </c>
      <c r="O553" s="21">
        <f>'Working Sheet'!$M553*'Working Sheet'!$K553</f>
        <v>96000</v>
      </c>
      <c r="P553" s="20">
        <f>'Working Sheet'!$N553-'Working Sheet'!$O553</f>
        <v>24000</v>
      </c>
    </row>
    <row r="554" spans="1:16" ht="14.25" customHeight="1" x14ac:dyDescent="0.25">
      <c r="A554" s="23" t="str">
        <f t="shared" ca="1" si="16"/>
        <v>ID_261</v>
      </c>
      <c r="B554" s="22">
        <v>45686</v>
      </c>
      <c r="C554" s="23" t="str">
        <f>TEXT('Working Sheet'!$B554,"mmm")</f>
        <v>Jan</v>
      </c>
      <c r="D554" s="23" t="s">
        <v>18</v>
      </c>
      <c r="E554" s="23" t="s">
        <v>26</v>
      </c>
      <c r="F554" s="23" t="s">
        <v>23</v>
      </c>
      <c r="G554" s="23" t="s">
        <v>14</v>
      </c>
      <c r="H554" s="23" t="s">
        <v>36</v>
      </c>
      <c r="I554" s="23" t="s">
        <v>31</v>
      </c>
      <c r="J554" s="24">
        <v>150000</v>
      </c>
      <c r="K554" s="23">
        <v>8</v>
      </c>
      <c r="L554" s="23" t="s">
        <v>39</v>
      </c>
      <c r="M554" s="25">
        <f t="shared" si="17"/>
        <v>120000</v>
      </c>
      <c r="N554" s="25">
        <f>'Working Sheet'!$J554*'Working Sheet'!$K554</f>
        <v>1200000</v>
      </c>
      <c r="O554" s="26">
        <f>'Working Sheet'!$M554*'Working Sheet'!$K554</f>
        <v>960000</v>
      </c>
      <c r="P554" s="25">
        <f>'Working Sheet'!$N554-'Working Sheet'!$O554</f>
        <v>240000</v>
      </c>
    </row>
    <row r="555" spans="1:16" ht="14.25" customHeight="1" x14ac:dyDescent="0.25">
      <c r="A555" s="18" t="str">
        <f t="shared" ca="1" si="16"/>
        <v>ID_663</v>
      </c>
      <c r="B555" s="17">
        <v>45659</v>
      </c>
      <c r="C555" s="18" t="str">
        <f>TEXT('Working Sheet'!$B555,"mmm")</f>
        <v>Jan</v>
      </c>
      <c r="D555" s="18" t="s">
        <v>25</v>
      </c>
      <c r="E555" s="18" t="s">
        <v>19</v>
      </c>
      <c r="F555" s="18" t="s">
        <v>13</v>
      </c>
      <c r="G555" s="18" t="s">
        <v>20</v>
      </c>
      <c r="H555" s="18" t="s">
        <v>40</v>
      </c>
      <c r="I555" s="18" t="s">
        <v>31</v>
      </c>
      <c r="J555" s="19">
        <v>250000</v>
      </c>
      <c r="K555" s="18">
        <v>8</v>
      </c>
      <c r="L555" s="18" t="s">
        <v>37</v>
      </c>
      <c r="M555" s="20">
        <f t="shared" si="17"/>
        <v>200000</v>
      </c>
      <c r="N555" s="20">
        <f>'Working Sheet'!$J555*'Working Sheet'!$K555</f>
        <v>2000000</v>
      </c>
      <c r="O555" s="21">
        <f>'Working Sheet'!$M555*'Working Sheet'!$K555</f>
        <v>1600000</v>
      </c>
      <c r="P555" s="20">
        <f>'Working Sheet'!$N555-'Working Sheet'!$O555</f>
        <v>400000</v>
      </c>
    </row>
    <row r="556" spans="1:16" ht="14.25" customHeight="1" x14ac:dyDescent="0.25">
      <c r="A556" s="23" t="str">
        <f t="shared" ca="1" si="16"/>
        <v>ID_1941</v>
      </c>
      <c r="B556" s="22">
        <v>45733</v>
      </c>
      <c r="C556" s="23" t="str">
        <f>TEXT('Working Sheet'!$B556,"mmm")</f>
        <v>Mar</v>
      </c>
      <c r="D556" s="23" t="s">
        <v>29</v>
      </c>
      <c r="E556" s="23" t="s">
        <v>19</v>
      </c>
      <c r="F556" s="23" t="s">
        <v>23</v>
      </c>
      <c r="G556" s="23" t="s">
        <v>14</v>
      </c>
      <c r="H556" s="23" t="s">
        <v>21</v>
      </c>
      <c r="I556" s="23" t="s">
        <v>22</v>
      </c>
      <c r="J556" s="24">
        <v>30000</v>
      </c>
      <c r="K556" s="23">
        <v>4</v>
      </c>
      <c r="L556" s="23" t="s">
        <v>39</v>
      </c>
      <c r="M556" s="25">
        <f t="shared" si="17"/>
        <v>24000</v>
      </c>
      <c r="N556" s="25">
        <f>'Working Sheet'!$J556*'Working Sheet'!$K556</f>
        <v>120000</v>
      </c>
      <c r="O556" s="26">
        <f>'Working Sheet'!$M556*'Working Sheet'!$K556</f>
        <v>96000</v>
      </c>
      <c r="P556" s="25">
        <f>'Working Sheet'!$N556-'Working Sheet'!$O556</f>
        <v>24000</v>
      </c>
    </row>
    <row r="557" spans="1:16" ht="14.25" customHeight="1" x14ac:dyDescent="0.25">
      <c r="A557" s="18" t="str">
        <f t="shared" ca="1" si="16"/>
        <v>ID_326</v>
      </c>
      <c r="B557" s="17">
        <v>45686</v>
      </c>
      <c r="C557" s="18" t="str">
        <f>TEXT('Working Sheet'!$B557,"mmm")</f>
        <v>Jan</v>
      </c>
      <c r="D557" s="18" t="s">
        <v>25</v>
      </c>
      <c r="E557" s="18" t="s">
        <v>12</v>
      </c>
      <c r="F557" s="18" t="s">
        <v>23</v>
      </c>
      <c r="G557" s="18" t="s">
        <v>14</v>
      </c>
      <c r="H557" s="18" t="s">
        <v>38</v>
      </c>
      <c r="I557" s="18" t="s">
        <v>31</v>
      </c>
      <c r="J557" s="19">
        <v>420000</v>
      </c>
      <c r="K557" s="18">
        <v>2</v>
      </c>
      <c r="L557" s="18" t="s">
        <v>37</v>
      </c>
      <c r="M557" s="20">
        <f t="shared" si="17"/>
        <v>336000</v>
      </c>
      <c r="N557" s="20">
        <f>'Working Sheet'!$J557*'Working Sheet'!$K557</f>
        <v>840000</v>
      </c>
      <c r="O557" s="21">
        <f>'Working Sheet'!$M557*'Working Sheet'!$K557</f>
        <v>672000</v>
      </c>
      <c r="P557" s="20">
        <f>'Working Sheet'!$N557-'Working Sheet'!$O557</f>
        <v>168000</v>
      </c>
    </row>
    <row r="558" spans="1:16" ht="14.25" customHeight="1" x14ac:dyDescent="0.25">
      <c r="A558" s="23" t="str">
        <f t="shared" ca="1" si="16"/>
        <v>ID_1341</v>
      </c>
      <c r="B558" s="22">
        <v>45747</v>
      </c>
      <c r="C558" s="23" t="str">
        <f>TEXT('Working Sheet'!$B558,"mmm")</f>
        <v>Mar</v>
      </c>
      <c r="D558" s="23" t="s">
        <v>25</v>
      </c>
      <c r="E558" s="23" t="s">
        <v>12</v>
      </c>
      <c r="F558" s="23" t="s">
        <v>23</v>
      </c>
      <c r="G558" s="23" t="s">
        <v>20</v>
      </c>
      <c r="H558" s="23" t="s">
        <v>21</v>
      </c>
      <c r="I558" s="23" t="s">
        <v>22</v>
      </c>
      <c r="J558" s="24">
        <v>30000</v>
      </c>
      <c r="K558" s="23">
        <v>6</v>
      </c>
      <c r="L558" s="23" t="s">
        <v>37</v>
      </c>
      <c r="M558" s="25">
        <f t="shared" si="17"/>
        <v>24000</v>
      </c>
      <c r="N558" s="25">
        <f>'Working Sheet'!$J558*'Working Sheet'!$K558</f>
        <v>180000</v>
      </c>
      <c r="O558" s="26">
        <f>'Working Sheet'!$M558*'Working Sheet'!$K558</f>
        <v>144000</v>
      </c>
      <c r="P558" s="25">
        <f>'Working Sheet'!$N558-'Working Sheet'!$O558</f>
        <v>36000</v>
      </c>
    </row>
    <row r="559" spans="1:16" ht="14.25" customHeight="1" x14ac:dyDescent="0.25">
      <c r="A559" s="18" t="str">
        <f t="shared" ca="1" si="16"/>
        <v>ID_1470</v>
      </c>
      <c r="B559" s="17">
        <v>45741</v>
      </c>
      <c r="C559" s="18" t="str">
        <f>TEXT('Working Sheet'!$B559,"mmm")</f>
        <v>Mar</v>
      </c>
      <c r="D559" s="18" t="s">
        <v>29</v>
      </c>
      <c r="E559" s="18" t="s">
        <v>32</v>
      </c>
      <c r="F559" s="18" t="s">
        <v>23</v>
      </c>
      <c r="G559" s="18" t="s">
        <v>14</v>
      </c>
      <c r="H559" s="18" t="s">
        <v>41</v>
      </c>
      <c r="I559" s="18" t="s">
        <v>22</v>
      </c>
      <c r="J559" s="19">
        <v>220000</v>
      </c>
      <c r="K559" s="18">
        <v>2</v>
      </c>
      <c r="L559" s="18" t="s">
        <v>35</v>
      </c>
      <c r="M559" s="20">
        <f t="shared" si="17"/>
        <v>176000</v>
      </c>
      <c r="N559" s="20">
        <f>'Working Sheet'!$J559*'Working Sheet'!$K559</f>
        <v>440000</v>
      </c>
      <c r="O559" s="21">
        <f>'Working Sheet'!$M559*'Working Sheet'!$K559</f>
        <v>352000</v>
      </c>
      <c r="P559" s="20">
        <f>'Working Sheet'!$N559-'Working Sheet'!$O559</f>
        <v>88000</v>
      </c>
    </row>
    <row r="560" spans="1:16" ht="14.25" customHeight="1" x14ac:dyDescent="0.25">
      <c r="A560" s="23" t="str">
        <f t="shared" ca="1" si="16"/>
        <v>ID_339</v>
      </c>
      <c r="B560" s="22">
        <v>45690</v>
      </c>
      <c r="C560" s="23" t="str">
        <f>TEXT('Working Sheet'!$B560,"mmm")</f>
        <v>Feb</v>
      </c>
      <c r="D560" s="23" t="s">
        <v>25</v>
      </c>
      <c r="E560" s="23" t="s">
        <v>12</v>
      </c>
      <c r="F560" s="23" t="s">
        <v>13</v>
      </c>
      <c r="G560" s="23" t="s">
        <v>14</v>
      </c>
      <c r="H560" s="23" t="s">
        <v>30</v>
      </c>
      <c r="I560" s="23" t="s">
        <v>31</v>
      </c>
      <c r="J560" s="24">
        <v>300000</v>
      </c>
      <c r="K560" s="23">
        <v>4</v>
      </c>
      <c r="L560" s="23" t="s">
        <v>35</v>
      </c>
      <c r="M560" s="25">
        <f t="shared" si="17"/>
        <v>240000</v>
      </c>
      <c r="N560" s="25">
        <f>'Working Sheet'!$J560*'Working Sheet'!$K560</f>
        <v>1200000</v>
      </c>
      <c r="O560" s="26">
        <f>'Working Sheet'!$M560*'Working Sheet'!$K560</f>
        <v>960000</v>
      </c>
      <c r="P560" s="25">
        <f>'Working Sheet'!$N560-'Working Sheet'!$O560</f>
        <v>240000</v>
      </c>
    </row>
    <row r="561" spans="1:16" ht="14.25" customHeight="1" x14ac:dyDescent="0.25">
      <c r="A561" s="18" t="str">
        <f t="shared" ca="1" si="16"/>
        <v>ID_55</v>
      </c>
      <c r="B561" s="17">
        <v>45764</v>
      </c>
      <c r="C561" s="18" t="str">
        <f>TEXT('Working Sheet'!$B561,"mmm")</f>
        <v>Apr</v>
      </c>
      <c r="D561" s="18" t="s">
        <v>25</v>
      </c>
      <c r="E561" s="18" t="s">
        <v>12</v>
      </c>
      <c r="F561" s="18" t="s">
        <v>23</v>
      </c>
      <c r="G561" s="18" t="s">
        <v>14</v>
      </c>
      <c r="H561" s="18" t="s">
        <v>38</v>
      </c>
      <c r="I561" s="18" t="s">
        <v>31</v>
      </c>
      <c r="J561" s="19">
        <v>420000</v>
      </c>
      <c r="K561" s="18">
        <v>8</v>
      </c>
      <c r="L561" s="18" t="s">
        <v>17</v>
      </c>
      <c r="M561" s="20">
        <f t="shared" si="17"/>
        <v>336000</v>
      </c>
      <c r="N561" s="20">
        <f>'Working Sheet'!$J561*'Working Sheet'!$K561</f>
        <v>3360000</v>
      </c>
      <c r="O561" s="21">
        <f>'Working Sheet'!$M561*'Working Sheet'!$K561</f>
        <v>2688000</v>
      </c>
      <c r="P561" s="20">
        <f>'Working Sheet'!$N561-'Working Sheet'!$O561</f>
        <v>672000</v>
      </c>
    </row>
    <row r="562" spans="1:16" ht="14.25" customHeight="1" x14ac:dyDescent="0.25">
      <c r="A562" s="23" t="str">
        <f t="shared" ca="1" si="16"/>
        <v>ID_1942</v>
      </c>
      <c r="B562" s="22">
        <v>45719</v>
      </c>
      <c r="C562" s="23" t="str">
        <f>TEXT('Working Sheet'!$B562,"mmm")</f>
        <v>Mar</v>
      </c>
      <c r="D562" s="23" t="s">
        <v>18</v>
      </c>
      <c r="E562" s="23" t="s">
        <v>12</v>
      </c>
      <c r="F562" s="23" t="s">
        <v>13</v>
      </c>
      <c r="G562" s="23" t="s">
        <v>14</v>
      </c>
      <c r="H562" s="23" t="s">
        <v>34</v>
      </c>
      <c r="I562" s="23" t="s">
        <v>16</v>
      </c>
      <c r="J562" s="24">
        <v>320000</v>
      </c>
      <c r="K562" s="23">
        <v>4</v>
      </c>
      <c r="L562" s="23" t="s">
        <v>35</v>
      </c>
      <c r="M562" s="25">
        <f t="shared" si="17"/>
        <v>256000</v>
      </c>
      <c r="N562" s="25">
        <f>'Working Sheet'!$J562*'Working Sheet'!$K562</f>
        <v>1280000</v>
      </c>
      <c r="O562" s="26">
        <f>'Working Sheet'!$M562*'Working Sheet'!$K562</f>
        <v>1024000</v>
      </c>
      <c r="P562" s="25">
        <f>'Working Sheet'!$N562-'Working Sheet'!$O562</f>
        <v>256000</v>
      </c>
    </row>
    <row r="563" spans="1:16" ht="14.25" customHeight="1" x14ac:dyDescent="0.25">
      <c r="A563" s="18" t="str">
        <f t="shared" ca="1" si="16"/>
        <v>ID_1651</v>
      </c>
      <c r="B563" s="17">
        <v>45698</v>
      </c>
      <c r="C563" s="18" t="str">
        <f>TEXT('Working Sheet'!$B563,"mmm")</f>
        <v>Feb</v>
      </c>
      <c r="D563" s="18" t="s">
        <v>11</v>
      </c>
      <c r="E563" s="18" t="s">
        <v>12</v>
      </c>
      <c r="F563" s="18" t="s">
        <v>23</v>
      </c>
      <c r="G563" s="18" t="s">
        <v>20</v>
      </c>
      <c r="H563" s="18" t="s">
        <v>40</v>
      </c>
      <c r="I563" s="18" t="s">
        <v>31</v>
      </c>
      <c r="J563" s="19">
        <v>250000</v>
      </c>
      <c r="K563" s="18">
        <v>8</v>
      </c>
      <c r="L563" s="18" t="s">
        <v>24</v>
      </c>
      <c r="M563" s="20">
        <f t="shared" si="17"/>
        <v>200000</v>
      </c>
      <c r="N563" s="20">
        <f>'Working Sheet'!$J563*'Working Sheet'!$K563</f>
        <v>2000000</v>
      </c>
      <c r="O563" s="21">
        <f>'Working Sheet'!$M563*'Working Sheet'!$K563</f>
        <v>1600000</v>
      </c>
      <c r="P563" s="20">
        <f>'Working Sheet'!$N563-'Working Sheet'!$O563</f>
        <v>400000</v>
      </c>
    </row>
    <row r="564" spans="1:16" ht="14.25" customHeight="1" x14ac:dyDescent="0.25">
      <c r="A564" s="23" t="str">
        <f t="shared" ca="1" si="16"/>
        <v>ID_49</v>
      </c>
      <c r="B564" s="22">
        <v>45709</v>
      </c>
      <c r="C564" s="23" t="str">
        <f>TEXT('Working Sheet'!$B564,"mmm")</f>
        <v>Feb</v>
      </c>
      <c r="D564" s="23" t="s">
        <v>18</v>
      </c>
      <c r="E564" s="23" t="s">
        <v>19</v>
      </c>
      <c r="F564" s="23" t="s">
        <v>13</v>
      </c>
      <c r="G564" s="23" t="s">
        <v>20</v>
      </c>
      <c r="H564" s="23" t="s">
        <v>34</v>
      </c>
      <c r="I564" s="23" t="s">
        <v>16</v>
      </c>
      <c r="J564" s="24">
        <v>320000</v>
      </c>
      <c r="K564" s="23">
        <v>7</v>
      </c>
      <c r="L564" s="23" t="s">
        <v>39</v>
      </c>
      <c r="M564" s="25">
        <f t="shared" si="17"/>
        <v>256000</v>
      </c>
      <c r="N564" s="25">
        <f>'Working Sheet'!$J564*'Working Sheet'!$K564</f>
        <v>2240000</v>
      </c>
      <c r="O564" s="26">
        <f>'Working Sheet'!$M564*'Working Sheet'!$K564</f>
        <v>1792000</v>
      </c>
      <c r="P564" s="25">
        <f>'Working Sheet'!$N564-'Working Sheet'!$O564</f>
        <v>448000</v>
      </c>
    </row>
    <row r="565" spans="1:16" ht="14.25" customHeight="1" x14ac:dyDescent="0.25">
      <c r="A565" s="18" t="str">
        <f t="shared" ca="1" si="16"/>
        <v>ID_1721</v>
      </c>
      <c r="B565" s="17">
        <v>45714</v>
      </c>
      <c r="C565" s="18" t="str">
        <f>TEXT('Working Sheet'!$B565,"mmm")</f>
        <v>Feb</v>
      </c>
      <c r="D565" s="18" t="s">
        <v>11</v>
      </c>
      <c r="E565" s="18" t="s">
        <v>19</v>
      </c>
      <c r="F565" s="18" t="s">
        <v>23</v>
      </c>
      <c r="G565" s="18" t="s">
        <v>20</v>
      </c>
      <c r="H565" s="18" t="s">
        <v>30</v>
      </c>
      <c r="I565" s="18" t="s">
        <v>31</v>
      </c>
      <c r="J565" s="19">
        <v>300000</v>
      </c>
      <c r="K565" s="18">
        <v>6</v>
      </c>
      <c r="L565" s="18" t="s">
        <v>24</v>
      </c>
      <c r="M565" s="20">
        <f t="shared" si="17"/>
        <v>240000</v>
      </c>
      <c r="N565" s="20">
        <f>'Working Sheet'!$J565*'Working Sheet'!$K565</f>
        <v>1800000</v>
      </c>
      <c r="O565" s="21">
        <f>'Working Sheet'!$M565*'Working Sheet'!$K565</f>
        <v>1440000</v>
      </c>
      <c r="P565" s="20">
        <f>'Working Sheet'!$N565-'Working Sheet'!$O565</f>
        <v>360000</v>
      </c>
    </row>
    <row r="566" spans="1:16" ht="14.25" customHeight="1" x14ac:dyDescent="0.25">
      <c r="A566" s="23" t="str">
        <f t="shared" ca="1" si="16"/>
        <v>ID_1816</v>
      </c>
      <c r="B566" s="22">
        <v>45685</v>
      </c>
      <c r="C566" s="23" t="str">
        <f>TEXT('Working Sheet'!$B566,"mmm")</f>
        <v>Jan</v>
      </c>
      <c r="D566" s="23" t="s">
        <v>29</v>
      </c>
      <c r="E566" s="23" t="s">
        <v>32</v>
      </c>
      <c r="F566" s="23" t="s">
        <v>23</v>
      </c>
      <c r="G566" s="23" t="s">
        <v>20</v>
      </c>
      <c r="H566" s="23" t="s">
        <v>33</v>
      </c>
      <c r="I566" s="23" t="s">
        <v>22</v>
      </c>
      <c r="J566" s="24">
        <v>180000</v>
      </c>
      <c r="K566" s="23">
        <v>4</v>
      </c>
      <c r="L566" s="23" t="s">
        <v>17</v>
      </c>
      <c r="M566" s="25">
        <f t="shared" si="17"/>
        <v>144000</v>
      </c>
      <c r="N566" s="25">
        <f>'Working Sheet'!$J566*'Working Sheet'!$K566</f>
        <v>720000</v>
      </c>
      <c r="O566" s="26">
        <f>'Working Sheet'!$M566*'Working Sheet'!$K566</f>
        <v>576000</v>
      </c>
      <c r="P566" s="25">
        <f>'Working Sheet'!$N566-'Working Sheet'!$O566</f>
        <v>144000</v>
      </c>
    </row>
    <row r="567" spans="1:16" ht="14.25" customHeight="1" x14ac:dyDescent="0.25">
      <c r="A567" s="18" t="str">
        <f t="shared" ca="1" si="16"/>
        <v>ID_1868</v>
      </c>
      <c r="B567" s="17">
        <v>45664</v>
      </c>
      <c r="C567" s="18" t="str">
        <f>TEXT('Working Sheet'!$B567,"mmm")</f>
        <v>Jan</v>
      </c>
      <c r="D567" s="18" t="s">
        <v>11</v>
      </c>
      <c r="E567" s="18" t="s">
        <v>12</v>
      </c>
      <c r="F567" s="18" t="s">
        <v>23</v>
      </c>
      <c r="G567" s="18" t="s">
        <v>14</v>
      </c>
      <c r="H567" s="18" t="s">
        <v>40</v>
      </c>
      <c r="I567" s="18" t="s">
        <v>31</v>
      </c>
      <c r="J567" s="19">
        <v>250000</v>
      </c>
      <c r="K567" s="18">
        <v>6</v>
      </c>
      <c r="L567" s="18" t="s">
        <v>35</v>
      </c>
      <c r="M567" s="20">
        <f t="shared" si="17"/>
        <v>200000</v>
      </c>
      <c r="N567" s="20">
        <f>'Working Sheet'!$J567*'Working Sheet'!$K567</f>
        <v>1500000</v>
      </c>
      <c r="O567" s="21">
        <f>'Working Sheet'!$M567*'Working Sheet'!$K567</f>
        <v>1200000</v>
      </c>
      <c r="P567" s="20">
        <f>'Working Sheet'!$N567-'Working Sheet'!$O567</f>
        <v>300000</v>
      </c>
    </row>
    <row r="568" spans="1:16" ht="14.25" customHeight="1" x14ac:dyDescent="0.25">
      <c r="A568" s="23" t="str">
        <f t="shared" ca="1" si="16"/>
        <v>ID_1837</v>
      </c>
      <c r="B568" s="22">
        <v>45697</v>
      </c>
      <c r="C568" s="23" t="str">
        <f>TEXT('Working Sheet'!$B568,"mmm")</f>
        <v>Feb</v>
      </c>
      <c r="D568" s="23" t="s">
        <v>11</v>
      </c>
      <c r="E568" s="23" t="s">
        <v>26</v>
      </c>
      <c r="F568" s="23" t="s">
        <v>23</v>
      </c>
      <c r="G568" s="23" t="s">
        <v>14</v>
      </c>
      <c r="H568" s="23" t="s">
        <v>40</v>
      </c>
      <c r="I568" s="23" t="s">
        <v>31</v>
      </c>
      <c r="J568" s="24">
        <v>250000</v>
      </c>
      <c r="K568" s="23">
        <v>7</v>
      </c>
      <c r="L568" s="23" t="s">
        <v>35</v>
      </c>
      <c r="M568" s="25">
        <f t="shared" si="17"/>
        <v>200000</v>
      </c>
      <c r="N568" s="25">
        <f>'Working Sheet'!$J568*'Working Sheet'!$K568</f>
        <v>1750000</v>
      </c>
      <c r="O568" s="26">
        <f>'Working Sheet'!$M568*'Working Sheet'!$K568</f>
        <v>1400000</v>
      </c>
      <c r="P568" s="25">
        <f>'Working Sheet'!$N568-'Working Sheet'!$O568</f>
        <v>350000</v>
      </c>
    </row>
    <row r="569" spans="1:16" ht="14.25" customHeight="1" x14ac:dyDescent="0.25">
      <c r="A569" s="18" t="str">
        <f t="shared" ca="1" si="16"/>
        <v>ID_577</v>
      </c>
      <c r="B569" s="17">
        <v>45723</v>
      </c>
      <c r="C569" s="18" t="str">
        <f>TEXT('Working Sheet'!$B569,"mmm")</f>
        <v>Mar</v>
      </c>
      <c r="D569" s="18" t="s">
        <v>18</v>
      </c>
      <c r="E569" s="18" t="s">
        <v>19</v>
      </c>
      <c r="F569" s="18" t="s">
        <v>13</v>
      </c>
      <c r="G569" s="18" t="s">
        <v>20</v>
      </c>
      <c r="H569" s="18" t="s">
        <v>38</v>
      </c>
      <c r="I569" s="18" t="s">
        <v>31</v>
      </c>
      <c r="J569" s="19">
        <v>420000</v>
      </c>
      <c r="K569" s="18">
        <v>2</v>
      </c>
      <c r="L569" s="18" t="s">
        <v>17</v>
      </c>
      <c r="M569" s="20">
        <f t="shared" si="17"/>
        <v>336000</v>
      </c>
      <c r="N569" s="20">
        <f>'Working Sheet'!$J569*'Working Sheet'!$K569</f>
        <v>840000</v>
      </c>
      <c r="O569" s="21">
        <f>'Working Sheet'!$M569*'Working Sheet'!$K569</f>
        <v>672000</v>
      </c>
      <c r="P569" s="20">
        <f>'Working Sheet'!$N569-'Working Sheet'!$O569</f>
        <v>168000</v>
      </c>
    </row>
    <row r="570" spans="1:16" ht="14.25" customHeight="1" x14ac:dyDescent="0.25">
      <c r="A570" s="23" t="str">
        <f t="shared" ca="1" si="16"/>
        <v>ID_117</v>
      </c>
      <c r="B570" s="22">
        <v>45756</v>
      </c>
      <c r="C570" s="23" t="str">
        <f>TEXT('Working Sheet'!$B570,"mmm")</f>
        <v>Apr</v>
      </c>
      <c r="D570" s="23" t="s">
        <v>25</v>
      </c>
      <c r="E570" s="23" t="s">
        <v>19</v>
      </c>
      <c r="F570" s="23" t="s">
        <v>23</v>
      </c>
      <c r="G570" s="23" t="s">
        <v>14</v>
      </c>
      <c r="H570" s="23" t="s">
        <v>36</v>
      </c>
      <c r="I570" s="23" t="s">
        <v>31</v>
      </c>
      <c r="J570" s="24">
        <v>150000</v>
      </c>
      <c r="K570" s="23">
        <v>2</v>
      </c>
      <c r="L570" s="23" t="s">
        <v>24</v>
      </c>
      <c r="M570" s="25">
        <f t="shared" si="17"/>
        <v>120000</v>
      </c>
      <c r="N570" s="25">
        <f>'Working Sheet'!$J570*'Working Sheet'!$K570</f>
        <v>300000</v>
      </c>
      <c r="O570" s="26">
        <f>'Working Sheet'!$M570*'Working Sheet'!$K570</f>
        <v>240000</v>
      </c>
      <c r="P570" s="25">
        <f>'Working Sheet'!$N570-'Working Sheet'!$O570</f>
        <v>60000</v>
      </c>
    </row>
    <row r="571" spans="1:16" ht="14.25" customHeight="1" x14ac:dyDescent="0.25">
      <c r="A571" s="18" t="str">
        <f t="shared" ca="1" si="16"/>
        <v>ID_378</v>
      </c>
      <c r="B571" s="17">
        <v>45747</v>
      </c>
      <c r="C571" s="18" t="str">
        <f>TEXT('Working Sheet'!$B571,"mmm")</f>
        <v>Mar</v>
      </c>
      <c r="D571" s="18" t="s">
        <v>29</v>
      </c>
      <c r="E571" s="18" t="s">
        <v>19</v>
      </c>
      <c r="F571" s="18" t="s">
        <v>13</v>
      </c>
      <c r="G571" s="18" t="s">
        <v>14</v>
      </c>
      <c r="H571" s="18" t="s">
        <v>41</v>
      </c>
      <c r="I571" s="18" t="s">
        <v>22</v>
      </c>
      <c r="J571" s="19">
        <v>220000</v>
      </c>
      <c r="K571" s="18">
        <v>8</v>
      </c>
      <c r="L571" s="18" t="s">
        <v>39</v>
      </c>
      <c r="M571" s="20">
        <f t="shared" si="17"/>
        <v>176000</v>
      </c>
      <c r="N571" s="20">
        <f>'Working Sheet'!$J571*'Working Sheet'!$K571</f>
        <v>1760000</v>
      </c>
      <c r="O571" s="21">
        <f>'Working Sheet'!$M571*'Working Sheet'!$K571</f>
        <v>1408000</v>
      </c>
      <c r="P571" s="20">
        <f>'Working Sheet'!$N571-'Working Sheet'!$O571</f>
        <v>352000</v>
      </c>
    </row>
    <row r="572" spans="1:16" ht="14.25" customHeight="1" x14ac:dyDescent="0.25">
      <c r="A572" s="23" t="str">
        <f t="shared" ca="1" si="16"/>
        <v>ID_761</v>
      </c>
      <c r="B572" s="22">
        <v>45702</v>
      </c>
      <c r="C572" s="23" t="str">
        <f>TEXT('Working Sheet'!$B572,"mmm")</f>
        <v>Feb</v>
      </c>
      <c r="D572" s="23" t="s">
        <v>18</v>
      </c>
      <c r="E572" s="23" t="s">
        <v>12</v>
      </c>
      <c r="F572" s="23" t="s">
        <v>13</v>
      </c>
      <c r="G572" s="23" t="s">
        <v>20</v>
      </c>
      <c r="H572" s="23" t="s">
        <v>36</v>
      </c>
      <c r="I572" s="23" t="s">
        <v>31</v>
      </c>
      <c r="J572" s="24">
        <v>150000</v>
      </c>
      <c r="K572" s="23">
        <v>2</v>
      </c>
      <c r="L572" s="23" t="s">
        <v>28</v>
      </c>
      <c r="M572" s="25">
        <f t="shared" si="17"/>
        <v>120000</v>
      </c>
      <c r="N572" s="25">
        <f>'Working Sheet'!$J572*'Working Sheet'!$K572</f>
        <v>300000</v>
      </c>
      <c r="O572" s="26">
        <f>'Working Sheet'!$M572*'Working Sheet'!$K572</f>
        <v>240000</v>
      </c>
      <c r="P572" s="25">
        <f>'Working Sheet'!$N572-'Working Sheet'!$O572</f>
        <v>60000</v>
      </c>
    </row>
    <row r="573" spans="1:16" ht="14.25" customHeight="1" x14ac:dyDescent="0.25">
      <c r="A573" s="18" t="str">
        <f t="shared" ca="1" si="16"/>
        <v>ID_95</v>
      </c>
      <c r="B573" s="17">
        <v>45738</v>
      </c>
      <c r="C573" s="18" t="str">
        <f>TEXT('Working Sheet'!$B573,"mmm")</f>
        <v>Mar</v>
      </c>
      <c r="D573" s="18" t="s">
        <v>18</v>
      </c>
      <c r="E573" s="18" t="s">
        <v>19</v>
      </c>
      <c r="F573" s="18" t="s">
        <v>23</v>
      </c>
      <c r="G573" s="18" t="s">
        <v>14</v>
      </c>
      <c r="H573" s="18" t="s">
        <v>21</v>
      </c>
      <c r="I573" s="18" t="s">
        <v>22</v>
      </c>
      <c r="J573" s="19">
        <v>30000</v>
      </c>
      <c r="K573" s="18">
        <v>1</v>
      </c>
      <c r="L573" s="18" t="s">
        <v>35</v>
      </c>
      <c r="M573" s="20">
        <f t="shared" si="17"/>
        <v>24000</v>
      </c>
      <c r="N573" s="20">
        <f>'Working Sheet'!$J573*'Working Sheet'!$K573</f>
        <v>30000</v>
      </c>
      <c r="O573" s="21">
        <f>'Working Sheet'!$M573*'Working Sheet'!$K573</f>
        <v>24000</v>
      </c>
      <c r="P573" s="20">
        <f>'Working Sheet'!$N573-'Working Sheet'!$O573</f>
        <v>6000</v>
      </c>
    </row>
    <row r="574" spans="1:16" ht="14.25" customHeight="1" x14ac:dyDescent="0.25">
      <c r="A574" s="23" t="str">
        <f t="shared" ca="1" si="16"/>
        <v>ID_889</v>
      </c>
      <c r="B574" s="22">
        <v>45772</v>
      </c>
      <c r="C574" s="23" t="str">
        <f>TEXT('Working Sheet'!$B574,"mmm")</f>
        <v>Apr</v>
      </c>
      <c r="D574" s="23" t="s">
        <v>18</v>
      </c>
      <c r="E574" s="23" t="s">
        <v>12</v>
      </c>
      <c r="F574" s="23" t="s">
        <v>13</v>
      </c>
      <c r="G574" s="23" t="s">
        <v>20</v>
      </c>
      <c r="H574" s="23" t="s">
        <v>33</v>
      </c>
      <c r="I574" s="23" t="s">
        <v>22</v>
      </c>
      <c r="J574" s="24">
        <v>180000</v>
      </c>
      <c r="K574" s="23">
        <v>5</v>
      </c>
      <c r="L574" s="23" t="s">
        <v>17</v>
      </c>
      <c r="M574" s="25">
        <f t="shared" si="17"/>
        <v>144000</v>
      </c>
      <c r="N574" s="25">
        <f>'Working Sheet'!$J574*'Working Sheet'!$K574</f>
        <v>900000</v>
      </c>
      <c r="O574" s="26">
        <f>'Working Sheet'!$M574*'Working Sheet'!$K574</f>
        <v>720000</v>
      </c>
      <c r="P574" s="25">
        <f>'Working Sheet'!$N574-'Working Sheet'!$O574</f>
        <v>180000</v>
      </c>
    </row>
    <row r="575" spans="1:16" ht="14.25" customHeight="1" x14ac:dyDescent="0.25">
      <c r="A575" s="18" t="str">
        <f t="shared" ca="1" si="16"/>
        <v>ID_225</v>
      </c>
      <c r="B575" s="17">
        <v>45773</v>
      </c>
      <c r="C575" s="18" t="str">
        <f>TEXT('Working Sheet'!$B575,"mmm")</f>
        <v>Apr</v>
      </c>
      <c r="D575" s="18" t="s">
        <v>11</v>
      </c>
      <c r="E575" s="18" t="s">
        <v>26</v>
      </c>
      <c r="F575" s="18" t="s">
        <v>23</v>
      </c>
      <c r="G575" s="18" t="s">
        <v>20</v>
      </c>
      <c r="H575" s="18" t="s">
        <v>36</v>
      </c>
      <c r="I575" s="18" t="s">
        <v>31</v>
      </c>
      <c r="J575" s="19">
        <v>150000</v>
      </c>
      <c r="K575" s="18">
        <v>9</v>
      </c>
      <c r="L575" s="18" t="s">
        <v>37</v>
      </c>
      <c r="M575" s="20">
        <f t="shared" si="17"/>
        <v>120000</v>
      </c>
      <c r="N575" s="20">
        <f>'Working Sheet'!$J575*'Working Sheet'!$K575</f>
        <v>1350000</v>
      </c>
      <c r="O575" s="21">
        <f>'Working Sheet'!$M575*'Working Sheet'!$K575</f>
        <v>1080000</v>
      </c>
      <c r="P575" s="20">
        <f>'Working Sheet'!$N575-'Working Sheet'!$O575</f>
        <v>270000</v>
      </c>
    </row>
    <row r="576" spans="1:16" ht="14.25" customHeight="1" x14ac:dyDescent="0.25">
      <c r="A576" s="23" t="str">
        <f t="shared" ca="1" si="16"/>
        <v>ID_209</v>
      </c>
      <c r="B576" s="22">
        <v>45714</v>
      </c>
      <c r="C576" s="23" t="str">
        <f>TEXT('Working Sheet'!$B576,"mmm")</f>
        <v>Feb</v>
      </c>
      <c r="D576" s="23" t="s">
        <v>25</v>
      </c>
      <c r="E576" s="23" t="s">
        <v>19</v>
      </c>
      <c r="F576" s="23" t="s">
        <v>23</v>
      </c>
      <c r="G576" s="23" t="s">
        <v>20</v>
      </c>
      <c r="H576" s="23" t="s">
        <v>36</v>
      </c>
      <c r="I576" s="23" t="s">
        <v>31</v>
      </c>
      <c r="J576" s="24">
        <v>150000</v>
      </c>
      <c r="K576" s="23">
        <v>5</v>
      </c>
      <c r="L576" s="23" t="s">
        <v>37</v>
      </c>
      <c r="M576" s="25">
        <f t="shared" si="17"/>
        <v>120000</v>
      </c>
      <c r="N576" s="25">
        <f>'Working Sheet'!$J576*'Working Sheet'!$K576</f>
        <v>750000</v>
      </c>
      <c r="O576" s="26">
        <f>'Working Sheet'!$M576*'Working Sheet'!$K576</f>
        <v>600000</v>
      </c>
      <c r="P576" s="25">
        <f>'Working Sheet'!$N576-'Working Sheet'!$O576</f>
        <v>150000</v>
      </c>
    </row>
    <row r="577" spans="1:16" ht="14.25" customHeight="1" x14ac:dyDescent="0.25">
      <c r="A577" s="18" t="str">
        <f t="shared" ca="1" si="16"/>
        <v>ID_753</v>
      </c>
      <c r="B577" s="17">
        <v>45749</v>
      </c>
      <c r="C577" s="18" t="str">
        <f>TEXT('Working Sheet'!$B577,"mmm")</f>
        <v>Apr</v>
      </c>
      <c r="D577" s="18" t="s">
        <v>25</v>
      </c>
      <c r="E577" s="18" t="s">
        <v>12</v>
      </c>
      <c r="F577" s="18" t="s">
        <v>13</v>
      </c>
      <c r="G577" s="18" t="s">
        <v>14</v>
      </c>
      <c r="H577" s="18" t="s">
        <v>41</v>
      </c>
      <c r="I577" s="18" t="s">
        <v>22</v>
      </c>
      <c r="J577" s="19">
        <v>220000</v>
      </c>
      <c r="K577" s="18">
        <v>4</v>
      </c>
      <c r="L577" s="18" t="s">
        <v>39</v>
      </c>
      <c r="M577" s="20">
        <f t="shared" si="17"/>
        <v>176000</v>
      </c>
      <c r="N577" s="20">
        <f>'Working Sheet'!$J577*'Working Sheet'!$K577</f>
        <v>880000</v>
      </c>
      <c r="O577" s="21">
        <f>'Working Sheet'!$M577*'Working Sheet'!$K577</f>
        <v>704000</v>
      </c>
      <c r="P577" s="20">
        <f>'Working Sheet'!$N577-'Working Sheet'!$O577</f>
        <v>176000</v>
      </c>
    </row>
    <row r="578" spans="1:16" ht="14.25" customHeight="1" x14ac:dyDescent="0.25">
      <c r="A578" s="23" t="str">
        <f t="shared" ref="A578:A641" ca="1" si="18">"ID_"&amp; RANDBETWEEN(1,2098)</f>
        <v>ID_1112</v>
      </c>
      <c r="B578" s="22">
        <v>45686</v>
      </c>
      <c r="C578" s="23" t="str">
        <f>TEXT('Working Sheet'!$B578,"mmm")</f>
        <v>Jan</v>
      </c>
      <c r="D578" s="23" t="s">
        <v>11</v>
      </c>
      <c r="E578" s="23" t="s">
        <v>26</v>
      </c>
      <c r="F578" s="23" t="s">
        <v>13</v>
      </c>
      <c r="G578" s="23" t="s">
        <v>14</v>
      </c>
      <c r="H578" s="23" t="s">
        <v>34</v>
      </c>
      <c r="I578" s="23" t="s">
        <v>16</v>
      </c>
      <c r="J578" s="24">
        <v>320000</v>
      </c>
      <c r="K578" s="23">
        <v>4</v>
      </c>
      <c r="L578" s="23" t="s">
        <v>17</v>
      </c>
      <c r="M578" s="25">
        <f t="shared" ref="M578:M641" si="19">J578-J578*0.2</f>
        <v>256000</v>
      </c>
      <c r="N578" s="25">
        <f>'Working Sheet'!$J578*'Working Sheet'!$K578</f>
        <v>1280000</v>
      </c>
      <c r="O578" s="26">
        <f>'Working Sheet'!$M578*'Working Sheet'!$K578</f>
        <v>1024000</v>
      </c>
      <c r="P578" s="25">
        <f>'Working Sheet'!$N578-'Working Sheet'!$O578</f>
        <v>256000</v>
      </c>
    </row>
    <row r="579" spans="1:16" ht="14.25" customHeight="1" x14ac:dyDescent="0.25">
      <c r="A579" s="18" t="str">
        <f t="shared" ca="1" si="18"/>
        <v>ID_1645</v>
      </c>
      <c r="B579" s="17">
        <v>45721</v>
      </c>
      <c r="C579" s="18" t="str">
        <f>TEXT('Working Sheet'!$B579,"mmm")</f>
        <v>Mar</v>
      </c>
      <c r="D579" s="18" t="s">
        <v>11</v>
      </c>
      <c r="E579" s="18" t="s">
        <v>32</v>
      </c>
      <c r="F579" s="18" t="s">
        <v>23</v>
      </c>
      <c r="G579" s="18" t="s">
        <v>20</v>
      </c>
      <c r="H579" s="18" t="s">
        <v>34</v>
      </c>
      <c r="I579" s="18" t="s">
        <v>16</v>
      </c>
      <c r="J579" s="19">
        <v>320000</v>
      </c>
      <c r="K579" s="18">
        <v>8</v>
      </c>
      <c r="L579" s="18" t="s">
        <v>17</v>
      </c>
      <c r="M579" s="20">
        <f t="shared" si="19"/>
        <v>256000</v>
      </c>
      <c r="N579" s="20">
        <f>'Working Sheet'!$J579*'Working Sheet'!$K579</f>
        <v>2560000</v>
      </c>
      <c r="O579" s="21">
        <f>'Working Sheet'!$M579*'Working Sheet'!$K579</f>
        <v>2048000</v>
      </c>
      <c r="P579" s="20">
        <f>'Working Sheet'!$N579-'Working Sheet'!$O579</f>
        <v>512000</v>
      </c>
    </row>
    <row r="580" spans="1:16" ht="14.25" customHeight="1" x14ac:dyDescent="0.25">
      <c r="A580" s="23" t="str">
        <f t="shared" ca="1" si="18"/>
        <v>ID_1246</v>
      </c>
      <c r="B580" s="22">
        <v>45770</v>
      </c>
      <c r="C580" s="23" t="str">
        <f>TEXT('Working Sheet'!$B580,"mmm")</f>
        <v>Apr</v>
      </c>
      <c r="D580" s="23" t="s">
        <v>29</v>
      </c>
      <c r="E580" s="23" t="s">
        <v>32</v>
      </c>
      <c r="F580" s="23" t="s">
        <v>13</v>
      </c>
      <c r="G580" s="23" t="s">
        <v>14</v>
      </c>
      <c r="H580" s="23" t="s">
        <v>27</v>
      </c>
      <c r="I580" s="23" t="s">
        <v>22</v>
      </c>
      <c r="J580" s="24">
        <v>60000</v>
      </c>
      <c r="K580" s="23">
        <v>9</v>
      </c>
      <c r="L580" s="23" t="s">
        <v>17</v>
      </c>
      <c r="M580" s="25">
        <f t="shared" si="19"/>
        <v>48000</v>
      </c>
      <c r="N580" s="25">
        <f>'Working Sheet'!$J580*'Working Sheet'!$K580</f>
        <v>540000</v>
      </c>
      <c r="O580" s="26">
        <f>'Working Sheet'!$M580*'Working Sheet'!$K580</f>
        <v>432000</v>
      </c>
      <c r="P580" s="25">
        <f>'Working Sheet'!$N580-'Working Sheet'!$O580</f>
        <v>108000</v>
      </c>
    </row>
    <row r="581" spans="1:16" ht="14.25" customHeight="1" x14ac:dyDescent="0.25">
      <c r="A581" s="18" t="str">
        <f t="shared" ca="1" si="18"/>
        <v>ID_923</v>
      </c>
      <c r="B581" s="17">
        <v>45721</v>
      </c>
      <c r="C581" s="18" t="str">
        <f>TEXT('Working Sheet'!$B581,"mmm")</f>
        <v>Mar</v>
      </c>
      <c r="D581" s="18" t="s">
        <v>18</v>
      </c>
      <c r="E581" s="18" t="s">
        <v>19</v>
      </c>
      <c r="F581" s="18" t="s">
        <v>13</v>
      </c>
      <c r="G581" s="18" t="s">
        <v>20</v>
      </c>
      <c r="H581" s="18" t="s">
        <v>30</v>
      </c>
      <c r="I581" s="18" t="s">
        <v>31</v>
      </c>
      <c r="J581" s="19">
        <v>300000</v>
      </c>
      <c r="K581" s="18">
        <v>10</v>
      </c>
      <c r="L581" s="18" t="s">
        <v>17</v>
      </c>
      <c r="M581" s="20">
        <f t="shared" si="19"/>
        <v>240000</v>
      </c>
      <c r="N581" s="20">
        <f>'Working Sheet'!$J581*'Working Sheet'!$K581</f>
        <v>3000000</v>
      </c>
      <c r="O581" s="21">
        <f>'Working Sheet'!$M581*'Working Sheet'!$K581</f>
        <v>2400000</v>
      </c>
      <c r="P581" s="20">
        <f>'Working Sheet'!$N581-'Working Sheet'!$O581</f>
        <v>600000</v>
      </c>
    </row>
    <row r="582" spans="1:16" ht="14.25" customHeight="1" x14ac:dyDescent="0.25">
      <c r="A582" s="23" t="str">
        <f t="shared" ca="1" si="18"/>
        <v>ID_817</v>
      </c>
      <c r="B582" s="22">
        <v>45738</v>
      </c>
      <c r="C582" s="23" t="str">
        <f>TEXT('Working Sheet'!$B582,"mmm")</f>
        <v>Mar</v>
      </c>
      <c r="D582" s="23" t="s">
        <v>29</v>
      </c>
      <c r="E582" s="23" t="s">
        <v>19</v>
      </c>
      <c r="F582" s="23" t="s">
        <v>23</v>
      </c>
      <c r="G582" s="23" t="s">
        <v>14</v>
      </c>
      <c r="H582" s="23" t="s">
        <v>36</v>
      </c>
      <c r="I582" s="23" t="s">
        <v>31</v>
      </c>
      <c r="J582" s="24">
        <v>150000</v>
      </c>
      <c r="K582" s="23">
        <v>6</v>
      </c>
      <c r="L582" s="23" t="s">
        <v>35</v>
      </c>
      <c r="M582" s="25">
        <f t="shared" si="19"/>
        <v>120000</v>
      </c>
      <c r="N582" s="25">
        <f>'Working Sheet'!$J582*'Working Sheet'!$K582</f>
        <v>900000</v>
      </c>
      <c r="O582" s="26">
        <f>'Working Sheet'!$M582*'Working Sheet'!$K582</f>
        <v>720000</v>
      </c>
      <c r="P582" s="25">
        <f>'Working Sheet'!$N582-'Working Sheet'!$O582</f>
        <v>180000</v>
      </c>
    </row>
    <row r="583" spans="1:16" ht="14.25" customHeight="1" x14ac:dyDescent="0.25">
      <c r="A583" s="18" t="str">
        <f t="shared" ca="1" si="18"/>
        <v>ID_745</v>
      </c>
      <c r="B583" s="17">
        <v>45778</v>
      </c>
      <c r="C583" s="18" t="str">
        <f>TEXT('Working Sheet'!$B583,"mmm")</f>
        <v>May</v>
      </c>
      <c r="D583" s="18" t="s">
        <v>25</v>
      </c>
      <c r="E583" s="18" t="s">
        <v>26</v>
      </c>
      <c r="F583" s="18" t="s">
        <v>23</v>
      </c>
      <c r="G583" s="18" t="s">
        <v>14</v>
      </c>
      <c r="H583" s="18" t="s">
        <v>33</v>
      </c>
      <c r="I583" s="18" t="s">
        <v>22</v>
      </c>
      <c r="J583" s="19">
        <v>180000</v>
      </c>
      <c r="K583" s="18">
        <v>8</v>
      </c>
      <c r="L583" s="18" t="s">
        <v>37</v>
      </c>
      <c r="M583" s="20">
        <f t="shared" si="19"/>
        <v>144000</v>
      </c>
      <c r="N583" s="20">
        <f>'Working Sheet'!$J583*'Working Sheet'!$K583</f>
        <v>1440000</v>
      </c>
      <c r="O583" s="21">
        <f>'Working Sheet'!$M583*'Working Sheet'!$K583</f>
        <v>1152000</v>
      </c>
      <c r="P583" s="20">
        <f>'Working Sheet'!$N583-'Working Sheet'!$O583</f>
        <v>288000</v>
      </c>
    </row>
    <row r="584" spans="1:16" ht="14.25" customHeight="1" x14ac:dyDescent="0.25">
      <c r="A584" s="23" t="str">
        <f t="shared" ca="1" si="18"/>
        <v>ID_1482</v>
      </c>
      <c r="B584" s="22">
        <v>45716</v>
      </c>
      <c r="C584" s="23" t="str">
        <f>TEXT('Working Sheet'!$B584,"mmm")</f>
        <v>Feb</v>
      </c>
      <c r="D584" s="23" t="s">
        <v>18</v>
      </c>
      <c r="E584" s="23" t="s">
        <v>12</v>
      </c>
      <c r="F584" s="23" t="s">
        <v>13</v>
      </c>
      <c r="G584" s="23" t="s">
        <v>14</v>
      </c>
      <c r="H584" s="23" t="s">
        <v>27</v>
      </c>
      <c r="I584" s="23" t="s">
        <v>22</v>
      </c>
      <c r="J584" s="24">
        <v>60000</v>
      </c>
      <c r="K584" s="23">
        <v>7</v>
      </c>
      <c r="L584" s="23" t="s">
        <v>39</v>
      </c>
      <c r="M584" s="25">
        <f t="shared" si="19"/>
        <v>48000</v>
      </c>
      <c r="N584" s="25">
        <f>'Working Sheet'!$J584*'Working Sheet'!$K584</f>
        <v>420000</v>
      </c>
      <c r="O584" s="26">
        <f>'Working Sheet'!$M584*'Working Sheet'!$K584</f>
        <v>336000</v>
      </c>
      <c r="P584" s="25">
        <f>'Working Sheet'!$N584-'Working Sheet'!$O584</f>
        <v>84000</v>
      </c>
    </row>
    <row r="585" spans="1:16" ht="14.25" customHeight="1" x14ac:dyDescent="0.25">
      <c r="A585" s="18" t="str">
        <f t="shared" ca="1" si="18"/>
        <v>ID_2071</v>
      </c>
      <c r="B585" s="17">
        <v>45717</v>
      </c>
      <c r="C585" s="18" t="str">
        <f>TEXT('Working Sheet'!$B585,"mmm")</f>
        <v>Mar</v>
      </c>
      <c r="D585" s="18" t="s">
        <v>18</v>
      </c>
      <c r="E585" s="18" t="s">
        <v>19</v>
      </c>
      <c r="F585" s="18" t="s">
        <v>13</v>
      </c>
      <c r="G585" s="18" t="s">
        <v>20</v>
      </c>
      <c r="H585" s="18" t="s">
        <v>36</v>
      </c>
      <c r="I585" s="18" t="s">
        <v>31</v>
      </c>
      <c r="J585" s="19">
        <v>150000</v>
      </c>
      <c r="K585" s="18">
        <v>9</v>
      </c>
      <c r="L585" s="18" t="s">
        <v>17</v>
      </c>
      <c r="M585" s="20">
        <f t="shared" si="19"/>
        <v>120000</v>
      </c>
      <c r="N585" s="20">
        <f>'Working Sheet'!$J585*'Working Sheet'!$K585</f>
        <v>1350000</v>
      </c>
      <c r="O585" s="21">
        <f>'Working Sheet'!$M585*'Working Sheet'!$K585</f>
        <v>1080000</v>
      </c>
      <c r="P585" s="20">
        <f>'Working Sheet'!$N585-'Working Sheet'!$O585</f>
        <v>270000</v>
      </c>
    </row>
    <row r="586" spans="1:16" ht="14.25" customHeight="1" x14ac:dyDescent="0.25">
      <c r="A586" s="23" t="str">
        <f t="shared" ca="1" si="18"/>
        <v>ID_1601</v>
      </c>
      <c r="B586" s="22">
        <v>45755</v>
      </c>
      <c r="C586" s="23" t="str">
        <f>TEXT('Working Sheet'!$B586,"mmm")</f>
        <v>Apr</v>
      </c>
      <c r="D586" s="23" t="s">
        <v>18</v>
      </c>
      <c r="E586" s="23" t="s">
        <v>19</v>
      </c>
      <c r="F586" s="23" t="s">
        <v>13</v>
      </c>
      <c r="G586" s="23" t="s">
        <v>20</v>
      </c>
      <c r="H586" s="23" t="s">
        <v>33</v>
      </c>
      <c r="I586" s="23" t="s">
        <v>22</v>
      </c>
      <c r="J586" s="24">
        <v>180000</v>
      </c>
      <c r="K586" s="23">
        <v>4</v>
      </c>
      <c r="L586" s="23" t="s">
        <v>35</v>
      </c>
      <c r="M586" s="25">
        <f t="shared" si="19"/>
        <v>144000</v>
      </c>
      <c r="N586" s="25">
        <f>'Working Sheet'!$J586*'Working Sheet'!$K586</f>
        <v>720000</v>
      </c>
      <c r="O586" s="26">
        <f>'Working Sheet'!$M586*'Working Sheet'!$K586</f>
        <v>576000</v>
      </c>
      <c r="P586" s="25">
        <f>'Working Sheet'!$N586-'Working Sheet'!$O586</f>
        <v>144000</v>
      </c>
    </row>
    <row r="587" spans="1:16" ht="14.25" customHeight="1" x14ac:dyDescent="0.25">
      <c r="A587" s="18" t="str">
        <f t="shared" ca="1" si="18"/>
        <v>ID_1715</v>
      </c>
      <c r="B587" s="17">
        <v>45663</v>
      </c>
      <c r="C587" s="18" t="str">
        <f>TEXT('Working Sheet'!$B587,"mmm")</f>
        <v>Jan</v>
      </c>
      <c r="D587" s="18" t="s">
        <v>11</v>
      </c>
      <c r="E587" s="18" t="s">
        <v>32</v>
      </c>
      <c r="F587" s="18" t="s">
        <v>13</v>
      </c>
      <c r="G587" s="18" t="s">
        <v>20</v>
      </c>
      <c r="H587" s="18" t="s">
        <v>33</v>
      </c>
      <c r="I587" s="18" t="s">
        <v>22</v>
      </c>
      <c r="J587" s="19">
        <v>180000</v>
      </c>
      <c r="K587" s="18">
        <v>1</v>
      </c>
      <c r="L587" s="18" t="s">
        <v>37</v>
      </c>
      <c r="M587" s="20">
        <f t="shared" si="19"/>
        <v>144000</v>
      </c>
      <c r="N587" s="20">
        <f>'Working Sheet'!$J587*'Working Sheet'!$K587</f>
        <v>180000</v>
      </c>
      <c r="O587" s="21">
        <f>'Working Sheet'!$M587*'Working Sheet'!$K587</f>
        <v>144000</v>
      </c>
      <c r="P587" s="20">
        <f>'Working Sheet'!$N587-'Working Sheet'!$O587</f>
        <v>36000</v>
      </c>
    </row>
    <row r="588" spans="1:16" ht="14.25" customHeight="1" x14ac:dyDescent="0.25">
      <c r="A588" s="23" t="str">
        <f t="shared" ca="1" si="18"/>
        <v>ID_1255</v>
      </c>
      <c r="B588" s="22">
        <v>45754</v>
      </c>
      <c r="C588" s="23" t="str">
        <f>TEXT('Working Sheet'!$B588,"mmm")</f>
        <v>Apr</v>
      </c>
      <c r="D588" s="23" t="s">
        <v>11</v>
      </c>
      <c r="E588" s="23" t="s">
        <v>12</v>
      </c>
      <c r="F588" s="23" t="s">
        <v>13</v>
      </c>
      <c r="G588" s="23" t="s">
        <v>14</v>
      </c>
      <c r="H588" s="23" t="s">
        <v>27</v>
      </c>
      <c r="I588" s="23" t="s">
        <v>22</v>
      </c>
      <c r="J588" s="24">
        <v>60000</v>
      </c>
      <c r="K588" s="23">
        <v>6</v>
      </c>
      <c r="L588" s="23" t="s">
        <v>37</v>
      </c>
      <c r="M588" s="25">
        <f t="shared" si="19"/>
        <v>48000</v>
      </c>
      <c r="N588" s="25">
        <f>'Working Sheet'!$J588*'Working Sheet'!$K588</f>
        <v>360000</v>
      </c>
      <c r="O588" s="26">
        <f>'Working Sheet'!$M588*'Working Sheet'!$K588</f>
        <v>288000</v>
      </c>
      <c r="P588" s="25">
        <f>'Working Sheet'!$N588-'Working Sheet'!$O588</f>
        <v>72000</v>
      </c>
    </row>
    <row r="589" spans="1:16" ht="14.25" customHeight="1" x14ac:dyDescent="0.25">
      <c r="A589" s="18" t="str">
        <f t="shared" ca="1" si="18"/>
        <v>ID_897</v>
      </c>
      <c r="B589" s="17">
        <v>45700</v>
      </c>
      <c r="C589" s="18" t="str">
        <f>TEXT('Working Sheet'!$B589,"mmm")</f>
        <v>Feb</v>
      </c>
      <c r="D589" s="18" t="s">
        <v>18</v>
      </c>
      <c r="E589" s="18" t="s">
        <v>26</v>
      </c>
      <c r="F589" s="18" t="s">
        <v>23</v>
      </c>
      <c r="G589" s="18" t="s">
        <v>20</v>
      </c>
      <c r="H589" s="18" t="s">
        <v>34</v>
      </c>
      <c r="I589" s="18" t="s">
        <v>16</v>
      </c>
      <c r="J589" s="19">
        <v>320000</v>
      </c>
      <c r="K589" s="18">
        <v>8</v>
      </c>
      <c r="L589" s="18" t="s">
        <v>35</v>
      </c>
      <c r="M589" s="20">
        <f t="shared" si="19"/>
        <v>256000</v>
      </c>
      <c r="N589" s="20">
        <f>'Working Sheet'!$J589*'Working Sheet'!$K589</f>
        <v>2560000</v>
      </c>
      <c r="O589" s="21">
        <f>'Working Sheet'!$M589*'Working Sheet'!$K589</f>
        <v>2048000</v>
      </c>
      <c r="P589" s="20">
        <f>'Working Sheet'!$N589-'Working Sheet'!$O589</f>
        <v>512000</v>
      </c>
    </row>
    <row r="590" spans="1:16" ht="14.25" customHeight="1" x14ac:dyDescent="0.25">
      <c r="A590" s="23" t="str">
        <f t="shared" ca="1" si="18"/>
        <v>ID_1742</v>
      </c>
      <c r="B590" s="22">
        <v>45659</v>
      </c>
      <c r="C590" s="23" t="str">
        <f>TEXT('Working Sheet'!$B590,"mmm")</f>
        <v>Jan</v>
      </c>
      <c r="D590" s="23" t="s">
        <v>18</v>
      </c>
      <c r="E590" s="23" t="s">
        <v>26</v>
      </c>
      <c r="F590" s="23" t="s">
        <v>13</v>
      </c>
      <c r="G590" s="23" t="s">
        <v>14</v>
      </c>
      <c r="H590" s="23" t="s">
        <v>33</v>
      </c>
      <c r="I590" s="23" t="s">
        <v>22</v>
      </c>
      <c r="J590" s="24">
        <v>180000</v>
      </c>
      <c r="K590" s="23">
        <v>6</v>
      </c>
      <c r="L590" s="23" t="s">
        <v>37</v>
      </c>
      <c r="M590" s="25">
        <f t="shared" si="19"/>
        <v>144000</v>
      </c>
      <c r="N590" s="25">
        <f>'Working Sheet'!$J590*'Working Sheet'!$K590</f>
        <v>1080000</v>
      </c>
      <c r="O590" s="26">
        <f>'Working Sheet'!$M590*'Working Sheet'!$K590</f>
        <v>864000</v>
      </c>
      <c r="P590" s="25">
        <f>'Working Sheet'!$N590-'Working Sheet'!$O590</f>
        <v>216000</v>
      </c>
    </row>
    <row r="591" spans="1:16" ht="14.25" customHeight="1" x14ac:dyDescent="0.25">
      <c r="A591" s="18" t="str">
        <f t="shared" ca="1" si="18"/>
        <v>ID_1277</v>
      </c>
      <c r="B591" s="17">
        <v>45713</v>
      </c>
      <c r="C591" s="18" t="str">
        <f>TEXT('Working Sheet'!$B591,"mmm")</f>
        <v>Feb</v>
      </c>
      <c r="D591" s="18" t="s">
        <v>25</v>
      </c>
      <c r="E591" s="18" t="s">
        <v>19</v>
      </c>
      <c r="F591" s="18" t="s">
        <v>23</v>
      </c>
      <c r="G591" s="18" t="s">
        <v>14</v>
      </c>
      <c r="H591" s="18" t="s">
        <v>27</v>
      </c>
      <c r="I591" s="18" t="s">
        <v>22</v>
      </c>
      <c r="J591" s="19">
        <v>60000</v>
      </c>
      <c r="K591" s="18">
        <v>8</v>
      </c>
      <c r="L591" s="18" t="s">
        <v>24</v>
      </c>
      <c r="M591" s="20">
        <f t="shared" si="19"/>
        <v>48000</v>
      </c>
      <c r="N591" s="20">
        <f>'Working Sheet'!$J591*'Working Sheet'!$K591</f>
        <v>480000</v>
      </c>
      <c r="O591" s="21">
        <f>'Working Sheet'!$M591*'Working Sheet'!$K591</f>
        <v>384000</v>
      </c>
      <c r="P591" s="20">
        <f>'Working Sheet'!$N591-'Working Sheet'!$O591</f>
        <v>96000</v>
      </c>
    </row>
    <row r="592" spans="1:16" ht="14.25" customHeight="1" x14ac:dyDescent="0.25">
      <c r="A592" s="23" t="str">
        <f t="shared" ca="1" si="18"/>
        <v>ID_591</v>
      </c>
      <c r="B592" s="22">
        <v>45760</v>
      </c>
      <c r="C592" s="23" t="str">
        <f>TEXT('Working Sheet'!$B592,"mmm")</f>
        <v>Apr</v>
      </c>
      <c r="D592" s="23" t="s">
        <v>18</v>
      </c>
      <c r="E592" s="23" t="s">
        <v>19</v>
      </c>
      <c r="F592" s="23" t="s">
        <v>23</v>
      </c>
      <c r="G592" s="23" t="s">
        <v>14</v>
      </c>
      <c r="H592" s="23" t="s">
        <v>38</v>
      </c>
      <c r="I592" s="23" t="s">
        <v>31</v>
      </c>
      <c r="J592" s="24">
        <v>420000</v>
      </c>
      <c r="K592" s="23">
        <v>3</v>
      </c>
      <c r="L592" s="23" t="s">
        <v>17</v>
      </c>
      <c r="M592" s="25">
        <f t="shared" si="19"/>
        <v>336000</v>
      </c>
      <c r="N592" s="25">
        <f>'Working Sheet'!$J592*'Working Sheet'!$K592</f>
        <v>1260000</v>
      </c>
      <c r="O592" s="26">
        <f>'Working Sheet'!$M592*'Working Sheet'!$K592</f>
        <v>1008000</v>
      </c>
      <c r="P592" s="25">
        <f>'Working Sheet'!$N592-'Working Sheet'!$O592</f>
        <v>252000</v>
      </c>
    </row>
    <row r="593" spans="1:16" ht="14.25" customHeight="1" x14ac:dyDescent="0.25">
      <c r="A593" s="18" t="str">
        <f t="shared" ca="1" si="18"/>
        <v>ID_1427</v>
      </c>
      <c r="B593" s="17">
        <v>45687</v>
      </c>
      <c r="C593" s="18" t="str">
        <f>TEXT('Working Sheet'!$B593,"mmm")</f>
        <v>Jan</v>
      </c>
      <c r="D593" s="18" t="s">
        <v>25</v>
      </c>
      <c r="E593" s="18" t="s">
        <v>26</v>
      </c>
      <c r="F593" s="18" t="s">
        <v>23</v>
      </c>
      <c r="G593" s="18" t="s">
        <v>14</v>
      </c>
      <c r="H593" s="18" t="s">
        <v>41</v>
      </c>
      <c r="I593" s="18" t="s">
        <v>22</v>
      </c>
      <c r="J593" s="19">
        <v>220000</v>
      </c>
      <c r="K593" s="18">
        <v>5</v>
      </c>
      <c r="L593" s="18" t="s">
        <v>24</v>
      </c>
      <c r="M593" s="20">
        <f t="shared" si="19"/>
        <v>176000</v>
      </c>
      <c r="N593" s="20">
        <f>'Working Sheet'!$J593*'Working Sheet'!$K593</f>
        <v>1100000</v>
      </c>
      <c r="O593" s="21">
        <f>'Working Sheet'!$M593*'Working Sheet'!$K593</f>
        <v>880000</v>
      </c>
      <c r="P593" s="20">
        <f>'Working Sheet'!$N593-'Working Sheet'!$O593</f>
        <v>220000</v>
      </c>
    </row>
    <row r="594" spans="1:16" ht="14.25" customHeight="1" x14ac:dyDescent="0.25">
      <c r="A594" s="23" t="str">
        <f t="shared" ca="1" si="18"/>
        <v>ID_390</v>
      </c>
      <c r="B594" s="22">
        <v>45744</v>
      </c>
      <c r="C594" s="23" t="str">
        <f>TEXT('Working Sheet'!$B594,"mmm")</f>
        <v>Mar</v>
      </c>
      <c r="D594" s="23" t="s">
        <v>11</v>
      </c>
      <c r="E594" s="23" t="s">
        <v>32</v>
      </c>
      <c r="F594" s="23" t="s">
        <v>13</v>
      </c>
      <c r="G594" s="23" t="s">
        <v>14</v>
      </c>
      <c r="H594" s="23" t="s">
        <v>27</v>
      </c>
      <c r="I594" s="23" t="s">
        <v>22</v>
      </c>
      <c r="J594" s="24">
        <v>60000</v>
      </c>
      <c r="K594" s="23">
        <v>6</v>
      </c>
      <c r="L594" s="23" t="s">
        <v>17</v>
      </c>
      <c r="M594" s="25">
        <f t="shared" si="19"/>
        <v>48000</v>
      </c>
      <c r="N594" s="25">
        <f>'Working Sheet'!$J594*'Working Sheet'!$K594</f>
        <v>360000</v>
      </c>
      <c r="O594" s="26">
        <f>'Working Sheet'!$M594*'Working Sheet'!$K594</f>
        <v>288000</v>
      </c>
      <c r="P594" s="25">
        <f>'Working Sheet'!$N594-'Working Sheet'!$O594</f>
        <v>72000</v>
      </c>
    </row>
    <row r="595" spans="1:16" ht="14.25" customHeight="1" x14ac:dyDescent="0.25">
      <c r="A595" s="18" t="str">
        <f t="shared" ca="1" si="18"/>
        <v>ID_1204</v>
      </c>
      <c r="B595" s="17">
        <v>45750</v>
      </c>
      <c r="C595" s="18" t="str">
        <f>TEXT('Working Sheet'!$B595,"mmm")</f>
        <v>Apr</v>
      </c>
      <c r="D595" s="18" t="s">
        <v>11</v>
      </c>
      <c r="E595" s="18" t="s">
        <v>32</v>
      </c>
      <c r="F595" s="18" t="s">
        <v>13</v>
      </c>
      <c r="G595" s="18" t="s">
        <v>20</v>
      </c>
      <c r="H595" s="18" t="s">
        <v>27</v>
      </c>
      <c r="I595" s="18" t="s">
        <v>22</v>
      </c>
      <c r="J595" s="19">
        <v>60000</v>
      </c>
      <c r="K595" s="18">
        <v>8</v>
      </c>
      <c r="L595" s="18" t="s">
        <v>39</v>
      </c>
      <c r="M595" s="20">
        <f t="shared" si="19"/>
        <v>48000</v>
      </c>
      <c r="N595" s="20">
        <f>'Working Sheet'!$J595*'Working Sheet'!$K595</f>
        <v>480000</v>
      </c>
      <c r="O595" s="21">
        <f>'Working Sheet'!$M595*'Working Sheet'!$K595</f>
        <v>384000</v>
      </c>
      <c r="P595" s="20">
        <f>'Working Sheet'!$N595-'Working Sheet'!$O595</f>
        <v>96000</v>
      </c>
    </row>
    <row r="596" spans="1:16" ht="14.25" customHeight="1" x14ac:dyDescent="0.25">
      <c r="A596" s="23" t="str">
        <f t="shared" ca="1" si="18"/>
        <v>ID_818</v>
      </c>
      <c r="B596" s="22">
        <v>45658</v>
      </c>
      <c r="C596" s="23" t="str">
        <f>TEXT('Working Sheet'!$B596,"mmm")</f>
        <v>Jan</v>
      </c>
      <c r="D596" s="23" t="s">
        <v>11</v>
      </c>
      <c r="E596" s="23" t="s">
        <v>19</v>
      </c>
      <c r="F596" s="23" t="s">
        <v>23</v>
      </c>
      <c r="G596" s="23" t="s">
        <v>14</v>
      </c>
      <c r="H596" s="23" t="s">
        <v>21</v>
      </c>
      <c r="I596" s="23" t="s">
        <v>22</v>
      </c>
      <c r="J596" s="24">
        <v>30000</v>
      </c>
      <c r="K596" s="23">
        <v>2</v>
      </c>
      <c r="L596" s="23" t="s">
        <v>17</v>
      </c>
      <c r="M596" s="25">
        <f t="shared" si="19"/>
        <v>24000</v>
      </c>
      <c r="N596" s="25">
        <f>'Working Sheet'!$J596*'Working Sheet'!$K596</f>
        <v>60000</v>
      </c>
      <c r="O596" s="26">
        <f>'Working Sheet'!$M596*'Working Sheet'!$K596</f>
        <v>48000</v>
      </c>
      <c r="P596" s="25">
        <f>'Working Sheet'!$N596-'Working Sheet'!$O596</f>
        <v>12000</v>
      </c>
    </row>
    <row r="597" spans="1:16" ht="14.25" customHeight="1" x14ac:dyDescent="0.25">
      <c r="A597" s="18" t="str">
        <f t="shared" ca="1" si="18"/>
        <v>ID_91</v>
      </c>
      <c r="B597" s="17">
        <v>45717</v>
      </c>
      <c r="C597" s="18" t="str">
        <f>TEXT('Working Sheet'!$B597,"mmm")</f>
        <v>Mar</v>
      </c>
      <c r="D597" s="18" t="s">
        <v>18</v>
      </c>
      <c r="E597" s="18" t="s">
        <v>12</v>
      </c>
      <c r="F597" s="18" t="s">
        <v>23</v>
      </c>
      <c r="G597" s="18" t="s">
        <v>20</v>
      </c>
      <c r="H597" s="18" t="s">
        <v>30</v>
      </c>
      <c r="I597" s="18" t="s">
        <v>31</v>
      </c>
      <c r="J597" s="19">
        <v>300000</v>
      </c>
      <c r="K597" s="18">
        <v>3</v>
      </c>
      <c r="L597" s="18" t="s">
        <v>35</v>
      </c>
      <c r="M597" s="20">
        <f t="shared" si="19"/>
        <v>240000</v>
      </c>
      <c r="N597" s="20">
        <f>'Working Sheet'!$J597*'Working Sheet'!$K597</f>
        <v>900000</v>
      </c>
      <c r="O597" s="21">
        <f>'Working Sheet'!$M597*'Working Sheet'!$K597</f>
        <v>720000</v>
      </c>
      <c r="P597" s="20">
        <f>'Working Sheet'!$N597-'Working Sheet'!$O597</f>
        <v>180000</v>
      </c>
    </row>
    <row r="598" spans="1:16" ht="14.25" customHeight="1" x14ac:dyDescent="0.25">
      <c r="A598" s="23" t="str">
        <f t="shared" ca="1" si="18"/>
        <v>ID_287</v>
      </c>
      <c r="B598" s="22">
        <v>45674</v>
      </c>
      <c r="C598" s="23" t="str">
        <f>TEXT('Working Sheet'!$B598,"mmm")</f>
        <v>Jan</v>
      </c>
      <c r="D598" s="23" t="s">
        <v>29</v>
      </c>
      <c r="E598" s="23" t="s">
        <v>19</v>
      </c>
      <c r="F598" s="23" t="s">
        <v>23</v>
      </c>
      <c r="G598" s="23" t="s">
        <v>20</v>
      </c>
      <c r="H598" s="23" t="s">
        <v>40</v>
      </c>
      <c r="I598" s="23" t="s">
        <v>31</v>
      </c>
      <c r="J598" s="24">
        <v>250000</v>
      </c>
      <c r="K598" s="23">
        <v>3</v>
      </c>
      <c r="L598" s="23" t="s">
        <v>24</v>
      </c>
      <c r="M598" s="25">
        <f t="shared" si="19"/>
        <v>200000</v>
      </c>
      <c r="N598" s="25">
        <f>'Working Sheet'!$J598*'Working Sheet'!$K598</f>
        <v>750000</v>
      </c>
      <c r="O598" s="26">
        <f>'Working Sheet'!$M598*'Working Sheet'!$K598</f>
        <v>600000</v>
      </c>
      <c r="P598" s="25">
        <f>'Working Sheet'!$N598-'Working Sheet'!$O598</f>
        <v>150000</v>
      </c>
    </row>
    <row r="599" spans="1:16" ht="14.25" customHeight="1" x14ac:dyDescent="0.25">
      <c r="A599" s="18" t="str">
        <f t="shared" ca="1" si="18"/>
        <v>ID_486</v>
      </c>
      <c r="B599" s="17">
        <v>45768</v>
      </c>
      <c r="C599" s="18" t="str">
        <f>TEXT('Working Sheet'!$B599,"mmm")</f>
        <v>Apr</v>
      </c>
      <c r="D599" s="18" t="s">
        <v>29</v>
      </c>
      <c r="E599" s="18" t="s">
        <v>19</v>
      </c>
      <c r="F599" s="18" t="s">
        <v>23</v>
      </c>
      <c r="G599" s="18" t="s">
        <v>20</v>
      </c>
      <c r="H599" s="18" t="s">
        <v>38</v>
      </c>
      <c r="I599" s="18" t="s">
        <v>31</v>
      </c>
      <c r="J599" s="19">
        <v>420000</v>
      </c>
      <c r="K599" s="18">
        <v>1</v>
      </c>
      <c r="L599" s="18" t="s">
        <v>24</v>
      </c>
      <c r="M599" s="20">
        <f t="shared" si="19"/>
        <v>336000</v>
      </c>
      <c r="N599" s="20">
        <f>'Working Sheet'!$J599*'Working Sheet'!$K599</f>
        <v>420000</v>
      </c>
      <c r="O599" s="21">
        <f>'Working Sheet'!$M599*'Working Sheet'!$K599</f>
        <v>336000</v>
      </c>
      <c r="P599" s="20">
        <f>'Working Sheet'!$N599-'Working Sheet'!$O599</f>
        <v>84000</v>
      </c>
    </row>
    <row r="600" spans="1:16" ht="14.25" customHeight="1" x14ac:dyDescent="0.25">
      <c r="A600" s="23" t="str">
        <f t="shared" ca="1" si="18"/>
        <v>ID_1510</v>
      </c>
      <c r="B600" s="22">
        <v>45753</v>
      </c>
      <c r="C600" s="23" t="str">
        <f>TEXT('Working Sheet'!$B600,"mmm")</f>
        <v>Apr</v>
      </c>
      <c r="D600" s="23" t="s">
        <v>25</v>
      </c>
      <c r="E600" s="23" t="s">
        <v>12</v>
      </c>
      <c r="F600" s="23" t="s">
        <v>23</v>
      </c>
      <c r="G600" s="23" t="s">
        <v>20</v>
      </c>
      <c r="H600" s="23" t="s">
        <v>21</v>
      </c>
      <c r="I600" s="23" t="s">
        <v>22</v>
      </c>
      <c r="J600" s="24">
        <v>30000</v>
      </c>
      <c r="K600" s="23">
        <v>1</v>
      </c>
      <c r="L600" s="23" t="s">
        <v>35</v>
      </c>
      <c r="M600" s="25">
        <f t="shared" si="19"/>
        <v>24000</v>
      </c>
      <c r="N600" s="25">
        <f>'Working Sheet'!$J600*'Working Sheet'!$K600</f>
        <v>30000</v>
      </c>
      <c r="O600" s="26">
        <f>'Working Sheet'!$M600*'Working Sheet'!$K600</f>
        <v>24000</v>
      </c>
      <c r="P600" s="25">
        <f>'Working Sheet'!$N600-'Working Sheet'!$O600</f>
        <v>6000</v>
      </c>
    </row>
    <row r="601" spans="1:16" ht="14.25" customHeight="1" x14ac:dyDescent="0.25">
      <c r="A601" s="18" t="str">
        <f t="shared" ca="1" si="18"/>
        <v>ID_1182</v>
      </c>
      <c r="B601" s="17">
        <v>45664</v>
      </c>
      <c r="C601" s="18" t="str">
        <f>TEXT('Working Sheet'!$B601,"mmm")</f>
        <v>Jan</v>
      </c>
      <c r="D601" s="18" t="s">
        <v>25</v>
      </c>
      <c r="E601" s="18" t="s">
        <v>26</v>
      </c>
      <c r="F601" s="18" t="s">
        <v>13</v>
      </c>
      <c r="G601" s="18" t="s">
        <v>14</v>
      </c>
      <c r="H601" s="18" t="s">
        <v>21</v>
      </c>
      <c r="I601" s="18" t="s">
        <v>22</v>
      </c>
      <c r="J601" s="19">
        <v>30000</v>
      </c>
      <c r="K601" s="18">
        <v>8</v>
      </c>
      <c r="L601" s="18" t="s">
        <v>37</v>
      </c>
      <c r="M601" s="20">
        <f t="shared" si="19"/>
        <v>24000</v>
      </c>
      <c r="N601" s="20">
        <f>'Working Sheet'!$J601*'Working Sheet'!$K601</f>
        <v>240000</v>
      </c>
      <c r="O601" s="21">
        <f>'Working Sheet'!$M601*'Working Sheet'!$K601</f>
        <v>192000</v>
      </c>
      <c r="P601" s="20">
        <f>'Working Sheet'!$N601-'Working Sheet'!$O601</f>
        <v>48000</v>
      </c>
    </row>
    <row r="602" spans="1:16" ht="14.25" customHeight="1" x14ac:dyDescent="0.25">
      <c r="A602" s="23" t="str">
        <f t="shared" ca="1" si="18"/>
        <v>ID_770</v>
      </c>
      <c r="B602" s="22">
        <v>45748</v>
      </c>
      <c r="C602" s="23" t="str">
        <f>TEXT('Working Sheet'!$B602,"mmm")</f>
        <v>Apr</v>
      </c>
      <c r="D602" s="23" t="s">
        <v>29</v>
      </c>
      <c r="E602" s="23" t="s">
        <v>12</v>
      </c>
      <c r="F602" s="23" t="s">
        <v>23</v>
      </c>
      <c r="G602" s="23" t="s">
        <v>14</v>
      </c>
      <c r="H602" s="23" t="s">
        <v>40</v>
      </c>
      <c r="I602" s="23" t="s">
        <v>31</v>
      </c>
      <c r="J602" s="24">
        <v>250000</v>
      </c>
      <c r="K602" s="23">
        <v>10</v>
      </c>
      <c r="L602" s="23" t="s">
        <v>37</v>
      </c>
      <c r="M602" s="25">
        <f t="shared" si="19"/>
        <v>200000</v>
      </c>
      <c r="N602" s="25">
        <f>'Working Sheet'!$J602*'Working Sheet'!$K602</f>
        <v>2500000</v>
      </c>
      <c r="O602" s="26">
        <f>'Working Sheet'!$M602*'Working Sheet'!$K602</f>
        <v>2000000</v>
      </c>
      <c r="P602" s="25">
        <f>'Working Sheet'!$N602-'Working Sheet'!$O602</f>
        <v>500000</v>
      </c>
    </row>
    <row r="603" spans="1:16" ht="14.25" customHeight="1" x14ac:dyDescent="0.25">
      <c r="A603" s="18" t="str">
        <f t="shared" ca="1" si="18"/>
        <v>ID_442</v>
      </c>
      <c r="B603" s="17">
        <v>45768</v>
      </c>
      <c r="C603" s="18" t="str">
        <f>TEXT('Working Sheet'!$B603,"mmm")</f>
        <v>Apr</v>
      </c>
      <c r="D603" s="18" t="s">
        <v>29</v>
      </c>
      <c r="E603" s="18" t="s">
        <v>26</v>
      </c>
      <c r="F603" s="18" t="s">
        <v>23</v>
      </c>
      <c r="G603" s="18" t="s">
        <v>20</v>
      </c>
      <c r="H603" s="18" t="s">
        <v>36</v>
      </c>
      <c r="I603" s="18" t="s">
        <v>31</v>
      </c>
      <c r="J603" s="19">
        <v>150000</v>
      </c>
      <c r="K603" s="18">
        <v>10</v>
      </c>
      <c r="L603" s="18" t="s">
        <v>24</v>
      </c>
      <c r="M603" s="20">
        <f t="shared" si="19"/>
        <v>120000</v>
      </c>
      <c r="N603" s="20">
        <f>'Working Sheet'!$J603*'Working Sheet'!$K603</f>
        <v>1500000</v>
      </c>
      <c r="O603" s="21">
        <f>'Working Sheet'!$M603*'Working Sheet'!$K603</f>
        <v>1200000</v>
      </c>
      <c r="P603" s="20">
        <f>'Working Sheet'!$N603-'Working Sheet'!$O603</f>
        <v>300000</v>
      </c>
    </row>
    <row r="604" spans="1:16" ht="14.25" customHeight="1" x14ac:dyDescent="0.25">
      <c r="A604" s="23" t="str">
        <f t="shared" ca="1" si="18"/>
        <v>ID_370</v>
      </c>
      <c r="B604" s="22">
        <v>45739</v>
      </c>
      <c r="C604" s="23" t="str">
        <f>TEXT('Working Sheet'!$B604,"mmm")</f>
        <v>Mar</v>
      </c>
      <c r="D604" s="23" t="s">
        <v>18</v>
      </c>
      <c r="E604" s="23" t="s">
        <v>32</v>
      </c>
      <c r="F604" s="23" t="s">
        <v>13</v>
      </c>
      <c r="G604" s="23" t="s">
        <v>20</v>
      </c>
      <c r="H604" s="23" t="s">
        <v>40</v>
      </c>
      <c r="I604" s="23" t="s">
        <v>31</v>
      </c>
      <c r="J604" s="24">
        <v>250000</v>
      </c>
      <c r="K604" s="23">
        <v>8</v>
      </c>
      <c r="L604" s="23" t="s">
        <v>17</v>
      </c>
      <c r="M604" s="25">
        <f t="shared" si="19"/>
        <v>200000</v>
      </c>
      <c r="N604" s="25">
        <f>'Working Sheet'!$J604*'Working Sheet'!$K604</f>
        <v>2000000</v>
      </c>
      <c r="O604" s="26">
        <f>'Working Sheet'!$M604*'Working Sheet'!$K604</f>
        <v>1600000</v>
      </c>
      <c r="P604" s="25">
        <f>'Working Sheet'!$N604-'Working Sheet'!$O604</f>
        <v>400000</v>
      </c>
    </row>
    <row r="605" spans="1:16" ht="14.25" customHeight="1" x14ac:dyDescent="0.25">
      <c r="A605" s="18" t="str">
        <f t="shared" ca="1" si="18"/>
        <v>ID_1313</v>
      </c>
      <c r="B605" s="17">
        <v>45773</v>
      </c>
      <c r="C605" s="18" t="str">
        <f>TEXT('Working Sheet'!$B605,"mmm")</f>
        <v>Apr</v>
      </c>
      <c r="D605" s="18" t="s">
        <v>29</v>
      </c>
      <c r="E605" s="18" t="s">
        <v>26</v>
      </c>
      <c r="F605" s="18" t="s">
        <v>13</v>
      </c>
      <c r="G605" s="18" t="s">
        <v>20</v>
      </c>
      <c r="H605" s="18" t="s">
        <v>40</v>
      </c>
      <c r="I605" s="18" t="s">
        <v>31</v>
      </c>
      <c r="J605" s="19">
        <v>250000</v>
      </c>
      <c r="K605" s="18">
        <v>9</v>
      </c>
      <c r="L605" s="18" t="s">
        <v>39</v>
      </c>
      <c r="M605" s="20">
        <f t="shared" si="19"/>
        <v>200000</v>
      </c>
      <c r="N605" s="20">
        <f>'Working Sheet'!$J605*'Working Sheet'!$K605</f>
        <v>2250000</v>
      </c>
      <c r="O605" s="21">
        <f>'Working Sheet'!$M605*'Working Sheet'!$K605</f>
        <v>1800000</v>
      </c>
      <c r="P605" s="20">
        <f>'Working Sheet'!$N605-'Working Sheet'!$O605</f>
        <v>450000</v>
      </c>
    </row>
    <row r="606" spans="1:16" ht="14.25" customHeight="1" x14ac:dyDescent="0.25">
      <c r="A606" s="23" t="str">
        <f t="shared" ca="1" si="18"/>
        <v>ID_1115</v>
      </c>
      <c r="B606" s="22">
        <v>45762</v>
      </c>
      <c r="C606" s="23" t="str">
        <f>TEXT('Working Sheet'!$B606,"mmm")</f>
        <v>Apr</v>
      </c>
      <c r="D606" s="23" t="s">
        <v>29</v>
      </c>
      <c r="E606" s="23" t="s">
        <v>32</v>
      </c>
      <c r="F606" s="23" t="s">
        <v>13</v>
      </c>
      <c r="G606" s="23" t="s">
        <v>20</v>
      </c>
      <c r="H606" s="23" t="s">
        <v>38</v>
      </c>
      <c r="I606" s="23" t="s">
        <v>31</v>
      </c>
      <c r="J606" s="24">
        <v>420000</v>
      </c>
      <c r="K606" s="23">
        <v>10</v>
      </c>
      <c r="L606" s="23" t="s">
        <v>28</v>
      </c>
      <c r="M606" s="25">
        <f t="shared" si="19"/>
        <v>336000</v>
      </c>
      <c r="N606" s="25">
        <f>'Working Sheet'!$J606*'Working Sheet'!$K606</f>
        <v>4200000</v>
      </c>
      <c r="O606" s="26">
        <f>'Working Sheet'!$M606*'Working Sheet'!$K606</f>
        <v>3360000</v>
      </c>
      <c r="P606" s="25">
        <f>'Working Sheet'!$N606-'Working Sheet'!$O606</f>
        <v>840000</v>
      </c>
    </row>
    <row r="607" spans="1:16" ht="14.25" customHeight="1" x14ac:dyDescent="0.25">
      <c r="A607" s="18" t="str">
        <f t="shared" ca="1" si="18"/>
        <v>ID_94</v>
      </c>
      <c r="B607" s="17">
        <v>45712</v>
      </c>
      <c r="C607" s="18" t="str">
        <f>TEXT('Working Sheet'!$B607,"mmm")</f>
        <v>Feb</v>
      </c>
      <c r="D607" s="18" t="s">
        <v>11</v>
      </c>
      <c r="E607" s="18" t="s">
        <v>19</v>
      </c>
      <c r="F607" s="18" t="s">
        <v>23</v>
      </c>
      <c r="G607" s="18" t="s">
        <v>14</v>
      </c>
      <c r="H607" s="18" t="s">
        <v>15</v>
      </c>
      <c r="I607" s="18" t="s">
        <v>16</v>
      </c>
      <c r="J607" s="19">
        <v>85000</v>
      </c>
      <c r="K607" s="18">
        <v>4</v>
      </c>
      <c r="L607" s="18" t="s">
        <v>24</v>
      </c>
      <c r="M607" s="20">
        <f t="shared" si="19"/>
        <v>68000</v>
      </c>
      <c r="N607" s="20">
        <f>'Working Sheet'!$J607*'Working Sheet'!$K607</f>
        <v>340000</v>
      </c>
      <c r="O607" s="21">
        <f>'Working Sheet'!$M607*'Working Sheet'!$K607</f>
        <v>272000</v>
      </c>
      <c r="P607" s="20">
        <f>'Working Sheet'!$N607-'Working Sheet'!$O607</f>
        <v>68000</v>
      </c>
    </row>
    <row r="608" spans="1:16" ht="14.25" customHeight="1" x14ac:dyDescent="0.25">
      <c r="A608" s="23" t="str">
        <f t="shared" ca="1" si="18"/>
        <v>ID_1756</v>
      </c>
      <c r="B608" s="22">
        <v>45687</v>
      </c>
      <c r="C608" s="23" t="str">
        <f>TEXT('Working Sheet'!$B608,"mmm")</f>
        <v>Jan</v>
      </c>
      <c r="D608" s="23" t="s">
        <v>18</v>
      </c>
      <c r="E608" s="23" t="s">
        <v>19</v>
      </c>
      <c r="F608" s="23" t="s">
        <v>13</v>
      </c>
      <c r="G608" s="23" t="s">
        <v>14</v>
      </c>
      <c r="H608" s="23" t="s">
        <v>33</v>
      </c>
      <c r="I608" s="23" t="s">
        <v>22</v>
      </c>
      <c r="J608" s="24">
        <v>180000</v>
      </c>
      <c r="K608" s="23">
        <v>1</v>
      </c>
      <c r="L608" s="23" t="s">
        <v>39</v>
      </c>
      <c r="M608" s="25">
        <f t="shared" si="19"/>
        <v>144000</v>
      </c>
      <c r="N608" s="25">
        <f>'Working Sheet'!$J608*'Working Sheet'!$K608</f>
        <v>180000</v>
      </c>
      <c r="O608" s="26">
        <f>'Working Sheet'!$M608*'Working Sheet'!$K608</f>
        <v>144000</v>
      </c>
      <c r="P608" s="25">
        <f>'Working Sheet'!$N608-'Working Sheet'!$O608</f>
        <v>36000</v>
      </c>
    </row>
    <row r="609" spans="1:16" ht="14.25" customHeight="1" x14ac:dyDescent="0.25">
      <c r="A609" s="18" t="str">
        <f t="shared" ca="1" si="18"/>
        <v>ID_517</v>
      </c>
      <c r="B609" s="17">
        <v>45662</v>
      </c>
      <c r="C609" s="18" t="str">
        <f>TEXT('Working Sheet'!$B609,"mmm")</f>
        <v>Jan</v>
      </c>
      <c r="D609" s="18" t="s">
        <v>25</v>
      </c>
      <c r="E609" s="18" t="s">
        <v>19</v>
      </c>
      <c r="F609" s="18" t="s">
        <v>13</v>
      </c>
      <c r="G609" s="18" t="s">
        <v>20</v>
      </c>
      <c r="H609" s="18" t="s">
        <v>33</v>
      </c>
      <c r="I609" s="18" t="s">
        <v>22</v>
      </c>
      <c r="J609" s="19">
        <v>180000</v>
      </c>
      <c r="K609" s="18">
        <v>9</v>
      </c>
      <c r="L609" s="18" t="s">
        <v>35</v>
      </c>
      <c r="M609" s="20">
        <f t="shared" si="19"/>
        <v>144000</v>
      </c>
      <c r="N609" s="20">
        <f>'Working Sheet'!$J609*'Working Sheet'!$K609</f>
        <v>1620000</v>
      </c>
      <c r="O609" s="21">
        <f>'Working Sheet'!$M609*'Working Sheet'!$K609</f>
        <v>1296000</v>
      </c>
      <c r="P609" s="20">
        <f>'Working Sheet'!$N609-'Working Sheet'!$O609</f>
        <v>324000</v>
      </c>
    </row>
    <row r="610" spans="1:16" ht="14.25" customHeight="1" x14ac:dyDescent="0.25">
      <c r="A610" s="23" t="str">
        <f t="shared" ca="1" si="18"/>
        <v>ID_1838</v>
      </c>
      <c r="B610" s="22">
        <v>45710</v>
      </c>
      <c r="C610" s="23" t="str">
        <f>TEXT('Working Sheet'!$B610,"mmm")</f>
        <v>Feb</v>
      </c>
      <c r="D610" s="23" t="s">
        <v>18</v>
      </c>
      <c r="E610" s="23" t="s">
        <v>26</v>
      </c>
      <c r="F610" s="23" t="s">
        <v>23</v>
      </c>
      <c r="G610" s="23" t="s">
        <v>20</v>
      </c>
      <c r="H610" s="23" t="s">
        <v>36</v>
      </c>
      <c r="I610" s="23" t="s">
        <v>31</v>
      </c>
      <c r="J610" s="24">
        <v>150000</v>
      </c>
      <c r="K610" s="23">
        <v>10</v>
      </c>
      <c r="L610" s="23" t="s">
        <v>28</v>
      </c>
      <c r="M610" s="25">
        <f t="shared" si="19"/>
        <v>120000</v>
      </c>
      <c r="N610" s="25">
        <f>'Working Sheet'!$J610*'Working Sheet'!$K610</f>
        <v>1500000</v>
      </c>
      <c r="O610" s="26">
        <f>'Working Sheet'!$M610*'Working Sheet'!$K610</f>
        <v>1200000</v>
      </c>
      <c r="P610" s="25">
        <f>'Working Sheet'!$N610-'Working Sheet'!$O610</f>
        <v>300000</v>
      </c>
    </row>
    <row r="611" spans="1:16" ht="14.25" customHeight="1" x14ac:dyDescent="0.25">
      <c r="A611" s="18" t="str">
        <f t="shared" ca="1" si="18"/>
        <v>ID_601</v>
      </c>
      <c r="B611" s="17">
        <v>45748</v>
      </c>
      <c r="C611" s="18" t="str">
        <f>TEXT('Working Sheet'!$B611,"mmm")</f>
        <v>Apr</v>
      </c>
      <c r="D611" s="18" t="s">
        <v>18</v>
      </c>
      <c r="E611" s="18" t="s">
        <v>32</v>
      </c>
      <c r="F611" s="18" t="s">
        <v>23</v>
      </c>
      <c r="G611" s="18" t="s">
        <v>20</v>
      </c>
      <c r="H611" s="18" t="s">
        <v>30</v>
      </c>
      <c r="I611" s="18" t="s">
        <v>31</v>
      </c>
      <c r="J611" s="19">
        <v>300000</v>
      </c>
      <c r="K611" s="18">
        <v>1</v>
      </c>
      <c r="L611" s="18" t="s">
        <v>28</v>
      </c>
      <c r="M611" s="20">
        <f t="shared" si="19"/>
        <v>240000</v>
      </c>
      <c r="N611" s="20">
        <f>'Working Sheet'!$J611*'Working Sheet'!$K611</f>
        <v>300000</v>
      </c>
      <c r="O611" s="21">
        <f>'Working Sheet'!$M611*'Working Sheet'!$K611</f>
        <v>240000</v>
      </c>
      <c r="P611" s="20">
        <f>'Working Sheet'!$N611-'Working Sheet'!$O611</f>
        <v>60000</v>
      </c>
    </row>
    <row r="612" spans="1:16" ht="14.25" customHeight="1" x14ac:dyDescent="0.25">
      <c r="A612" s="23" t="str">
        <f t="shared" ca="1" si="18"/>
        <v>ID_1324</v>
      </c>
      <c r="B612" s="22">
        <v>45750</v>
      </c>
      <c r="C612" s="23" t="str">
        <f>TEXT('Working Sheet'!$B612,"mmm")</f>
        <v>Apr</v>
      </c>
      <c r="D612" s="23" t="s">
        <v>25</v>
      </c>
      <c r="E612" s="23" t="s">
        <v>32</v>
      </c>
      <c r="F612" s="23" t="s">
        <v>13</v>
      </c>
      <c r="G612" s="23" t="s">
        <v>14</v>
      </c>
      <c r="H612" s="23" t="s">
        <v>36</v>
      </c>
      <c r="I612" s="23" t="s">
        <v>31</v>
      </c>
      <c r="J612" s="24">
        <v>150000</v>
      </c>
      <c r="K612" s="23">
        <v>8</v>
      </c>
      <c r="L612" s="23" t="s">
        <v>17</v>
      </c>
      <c r="M612" s="25">
        <f t="shared" si="19"/>
        <v>120000</v>
      </c>
      <c r="N612" s="25">
        <f>'Working Sheet'!$J612*'Working Sheet'!$K612</f>
        <v>1200000</v>
      </c>
      <c r="O612" s="26">
        <f>'Working Sheet'!$M612*'Working Sheet'!$K612</f>
        <v>960000</v>
      </c>
      <c r="P612" s="25">
        <f>'Working Sheet'!$N612-'Working Sheet'!$O612</f>
        <v>240000</v>
      </c>
    </row>
    <row r="613" spans="1:16" ht="14.25" customHeight="1" x14ac:dyDescent="0.25">
      <c r="A613" s="18" t="str">
        <f t="shared" ca="1" si="18"/>
        <v>ID_271</v>
      </c>
      <c r="B613" s="17">
        <v>45740</v>
      </c>
      <c r="C613" s="18" t="str">
        <f>TEXT('Working Sheet'!$B613,"mmm")</f>
        <v>Mar</v>
      </c>
      <c r="D613" s="18" t="s">
        <v>11</v>
      </c>
      <c r="E613" s="18" t="s">
        <v>32</v>
      </c>
      <c r="F613" s="18" t="s">
        <v>13</v>
      </c>
      <c r="G613" s="18" t="s">
        <v>20</v>
      </c>
      <c r="H613" s="18" t="s">
        <v>36</v>
      </c>
      <c r="I613" s="18" t="s">
        <v>31</v>
      </c>
      <c r="J613" s="19">
        <v>150000</v>
      </c>
      <c r="K613" s="18">
        <v>3</v>
      </c>
      <c r="L613" s="18" t="s">
        <v>35</v>
      </c>
      <c r="M613" s="20">
        <f t="shared" si="19"/>
        <v>120000</v>
      </c>
      <c r="N613" s="20">
        <f>'Working Sheet'!$J613*'Working Sheet'!$K613</f>
        <v>450000</v>
      </c>
      <c r="O613" s="21">
        <f>'Working Sheet'!$M613*'Working Sheet'!$K613</f>
        <v>360000</v>
      </c>
      <c r="P613" s="20">
        <f>'Working Sheet'!$N613-'Working Sheet'!$O613</f>
        <v>90000</v>
      </c>
    </row>
    <row r="614" spans="1:16" ht="14.25" customHeight="1" x14ac:dyDescent="0.25">
      <c r="A614" s="23" t="str">
        <f t="shared" ca="1" si="18"/>
        <v>ID_1964</v>
      </c>
      <c r="B614" s="22">
        <v>45737</v>
      </c>
      <c r="C614" s="23" t="str">
        <f>TEXT('Working Sheet'!$B614,"mmm")</f>
        <v>Mar</v>
      </c>
      <c r="D614" s="23" t="s">
        <v>29</v>
      </c>
      <c r="E614" s="23" t="s">
        <v>32</v>
      </c>
      <c r="F614" s="23" t="s">
        <v>13</v>
      </c>
      <c r="G614" s="23" t="s">
        <v>20</v>
      </c>
      <c r="H614" s="23" t="s">
        <v>34</v>
      </c>
      <c r="I614" s="23" t="s">
        <v>16</v>
      </c>
      <c r="J614" s="24">
        <v>320000</v>
      </c>
      <c r="K614" s="23">
        <v>3</v>
      </c>
      <c r="L614" s="23" t="s">
        <v>17</v>
      </c>
      <c r="M614" s="25">
        <f t="shared" si="19"/>
        <v>256000</v>
      </c>
      <c r="N614" s="25">
        <f>'Working Sheet'!$J614*'Working Sheet'!$K614</f>
        <v>960000</v>
      </c>
      <c r="O614" s="26">
        <f>'Working Sheet'!$M614*'Working Sheet'!$K614</f>
        <v>768000</v>
      </c>
      <c r="P614" s="25">
        <f>'Working Sheet'!$N614-'Working Sheet'!$O614</f>
        <v>192000</v>
      </c>
    </row>
    <row r="615" spans="1:16" ht="14.25" customHeight="1" x14ac:dyDescent="0.25">
      <c r="A615" s="18" t="str">
        <f t="shared" ca="1" si="18"/>
        <v>ID_1501</v>
      </c>
      <c r="B615" s="17">
        <v>45763</v>
      </c>
      <c r="C615" s="18" t="str">
        <f>TEXT('Working Sheet'!$B615,"mmm")</f>
        <v>Apr</v>
      </c>
      <c r="D615" s="18" t="s">
        <v>25</v>
      </c>
      <c r="E615" s="18" t="s">
        <v>26</v>
      </c>
      <c r="F615" s="18" t="s">
        <v>13</v>
      </c>
      <c r="G615" s="18" t="s">
        <v>14</v>
      </c>
      <c r="H615" s="18" t="s">
        <v>33</v>
      </c>
      <c r="I615" s="18" t="s">
        <v>22</v>
      </c>
      <c r="J615" s="19">
        <v>180000</v>
      </c>
      <c r="K615" s="18">
        <v>8</v>
      </c>
      <c r="L615" s="18" t="s">
        <v>17</v>
      </c>
      <c r="M615" s="20">
        <f t="shared" si="19"/>
        <v>144000</v>
      </c>
      <c r="N615" s="20">
        <f>'Working Sheet'!$J615*'Working Sheet'!$K615</f>
        <v>1440000</v>
      </c>
      <c r="O615" s="21">
        <f>'Working Sheet'!$M615*'Working Sheet'!$K615</f>
        <v>1152000</v>
      </c>
      <c r="P615" s="20">
        <f>'Working Sheet'!$N615-'Working Sheet'!$O615</f>
        <v>288000</v>
      </c>
    </row>
    <row r="616" spans="1:16" ht="14.25" customHeight="1" x14ac:dyDescent="0.25">
      <c r="A616" s="23" t="str">
        <f t="shared" ca="1" si="18"/>
        <v>ID_57</v>
      </c>
      <c r="B616" s="22">
        <v>45689</v>
      </c>
      <c r="C616" s="23" t="str">
        <f>TEXT('Working Sheet'!$B616,"mmm")</f>
        <v>Feb</v>
      </c>
      <c r="D616" s="23" t="s">
        <v>25</v>
      </c>
      <c r="E616" s="23" t="s">
        <v>26</v>
      </c>
      <c r="F616" s="23" t="s">
        <v>13</v>
      </c>
      <c r="G616" s="23" t="s">
        <v>20</v>
      </c>
      <c r="H616" s="23" t="s">
        <v>33</v>
      </c>
      <c r="I616" s="23" t="s">
        <v>22</v>
      </c>
      <c r="J616" s="24">
        <v>180000</v>
      </c>
      <c r="K616" s="23">
        <v>1</v>
      </c>
      <c r="L616" s="23" t="s">
        <v>24</v>
      </c>
      <c r="M616" s="25">
        <f t="shared" si="19"/>
        <v>144000</v>
      </c>
      <c r="N616" s="25">
        <f>'Working Sheet'!$J616*'Working Sheet'!$K616</f>
        <v>180000</v>
      </c>
      <c r="O616" s="26">
        <f>'Working Sheet'!$M616*'Working Sheet'!$K616</f>
        <v>144000</v>
      </c>
      <c r="P616" s="25">
        <f>'Working Sheet'!$N616-'Working Sheet'!$O616</f>
        <v>36000</v>
      </c>
    </row>
    <row r="617" spans="1:16" ht="14.25" customHeight="1" x14ac:dyDescent="0.25">
      <c r="A617" s="18" t="str">
        <f t="shared" ca="1" si="18"/>
        <v>ID_1406</v>
      </c>
      <c r="B617" s="17">
        <v>45703</v>
      </c>
      <c r="C617" s="18" t="str">
        <f>TEXT('Working Sheet'!$B617,"mmm")</f>
        <v>Feb</v>
      </c>
      <c r="D617" s="18" t="s">
        <v>11</v>
      </c>
      <c r="E617" s="18" t="s">
        <v>19</v>
      </c>
      <c r="F617" s="18" t="s">
        <v>13</v>
      </c>
      <c r="G617" s="18" t="s">
        <v>20</v>
      </c>
      <c r="H617" s="18" t="s">
        <v>27</v>
      </c>
      <c r="I617" s="18" t="s">
        <v>22</v>
      </c>
      <c r="J617" s="19">
        <v>60000</v>
      </c>
      <c r="K617" s="18">
        <v>7</v>
      </c>
      <c r="L617" s="18" t="s">
        <v>37</v>
      </c>
      <c r="M617" s="20">
        <f t="shared" si="19"/>
        <v>48000</v>
      </c>
      <c r="N617" s="20">
        <f>'Working Sheet'!$J617*'Working Sheet'!$K617</f>
        <v>420000</v>
      </c>
      <c r="O617" s="21">
        <f>'Working Sheet'!$M617*'Working Sheet'!$K617</f>
        <v>336000</v>
      </c>
      <c r="P617" s="20">
        <f>'Working Sheet'!$N617-'Working Sheet'!$O617</f>
        <v>84000</v>
      </c>
    </row>
    <row r="618" spans="1:16" ht="14.25" customHeight="1" x14ac:dyDescent="0.25">
      <c r="A618" s="23" t="str">
        <f t="shared" ca="1" si="18"/>
        <v>ID_525</v>
      </c>
      <c r="B618" s="22">
        <v>45751</v>
      </c>
      <c r="C618" s="23" t="str">
        <f>TEXT('Working Sheet'!$B618,"mmm")</f>
        <v>Apr</v>
      </c>
      <c r="D618" s="23" t="s">
        <v>18</v>
      </c>
      <c r="E618" s="23" t="s">
        <v>26</v>
      </c>
      <c r="F618" s="23" t="s">
        <v>23</v>
      </c>
      <c r="G618" s="23" t="s">
        <v>20</v>
      </c>
      <c r="H618" s="23" t="s">
        <v>34</v>
      </c>
      <c r="I618" s="23" t="s">
        <v>16</v>
      </c>
      <c r="J618" s="24">
        <v>320000</v>
      </c>
      <c r="K618" s="23">
        <v>7</v>
      </c>
      <c r="L618" s="23" t="s">
        <v>24</v>
      </c>
      <c r="M618" s="25">
        <f t="shared" si="19"/>
        <v>256000</v>
      </c>
      <c r="N618" s="25">
        <f>'Working Sheet'!$J618*'Working Sheet'!$K618</f>
        <v>2240000</v>
      </c>
      <c r="O618" s="26">
        <f>'Working Sheet'!$M618*'Working Sheet'!$K618</f>
        <v>1792000</v>
      </c>
      <c r="P618" s="25">
        <f>'Working Sheet'!$N618-'Working Sheet'!$O618</f>
        <v>448000</v>
      </c>
    </row>
    <row r="619" spans="1:16" ht="14.25" customHeight="1" x14ac:dyDescent="0.25">
      <c r="A619" s="18" t="str">
        <f t="shared" ca="1" si="18"/>
        <v>ID_1376</v>
      </c>
      <c r="B619" s="17">
        <v>45769</v>
      </c>
      <c r="C619" s="18" t="str">
        <f>TEXT('Working Sheet'!$B619,"mmm")</f>
        <v>Apr</v>
      </c>
      <c r="D619" s="18" t="s">
        <v>25</v>
      </c>
      <c r="E619" s="18" t="s">
        <v>19</v>
      </c>
      <c r="F619" s="18" t="s">
        <v>23</v>
      </c>
      <c r="G619" s="18" t="s">
        <v>14</v>
      </c>
      <c r="H619" s="18" t="s">
        <v>15</v>
      </c>
      <c r="I619" s="18" t="s">
        <v>16</v>
      </c>
      <c r="J619" s="19">
        <v>85000</v>
      </c>
      <c r="K619" s="18">
        <v>9</v>
      </c>
      <c r="L619" s="18" t="s">
        <v>24</v>
      </c>
      <c r="M619" s="20">
        <f t="shared" si="19"/>
        <v>68000</v>
      </c>
      <c r="N619" s="20">
        <f>'Working Sheet'!$J619*'Working Sheet'!$K619</f>
        <v>765000</v>
      </c>
      <c r="O619" s="21">
        <f>'Working Sheet'!$M619*'Working Sheet'!$K619</f>
        <v>612000</v>
      </c>
      <c r="P619" s="20">
        <f>'Working Sheet'!$N619-'Working Sheet'!$O619</f>
        <v>153000</v>
      </c>
    </row>
    <row r="620" spans="1:16" ht="14.25" customHeight="1" x14ac:dyDescent="0.25">
      <c r="A620" s="23" t="str">
        <f t="shared" ca="1" si="18"/>
        <v>ID_1606</v>
      </c>
      <c r="B620" s="22">
        <v>45775</v>
      </c>
      <c r="C620" s="23" t="str">
        <f>TEXT('Working Sheet'!$B620,"mmm")</f>
        <v>Apr</v>
      </c>
      <c r="D620" s="23" t="s">
        <v>11</v>
      </c>
      <c r="E620" s="23" t="s">
        <v>19</v>
      </c>
      <c r="F620" s="23" t="s">
        <v>13</v>
      </c>
      <c r="G620" s="23" t="s">
        <v>14</v>
      </c>
      <c r="H620" s="23" t="s">
        <v>34</v>
      </c>
      <c r="I620" s="23" t="s">
        <v>16</v>
      </c>
      <c r="J620" s="24">
        <v>320000</v>
      </c>
      <c r="K620" s="23">
        <v>3</v>
      </c>
      <c r="L620" s="23" t="s">
        <v>37</v>
      </c>
      <c r="M620" s="25">
        <f t="shared" si="19"/>
        <v>256000</v>
      </c>
      <c r="N620" s="25">
        <f>'Working Sheet'!$J620*'Working Sheet'!$K620</f>
        <v>960000</v>
      </c>
      <c r="O620" s="26">
        <f>'Working Sheet'!$M620*'Working Sheet'!$K620</f>
        <v>768000</v>
      </c>
      <c r="P620" s="25">
        <f>'Working Sheet'!$N620-'Working Sheet'!$O620</f>
        <v>192000</v>
      </c>
    </row>
    <row r="621" spans="1:16" ht="14.25" customHeight="1" x14ac:dyDescent="0.25">
      <c r="A621" s="18" t="str">
        <f t="shared" ca="1" si="18"/>
        <v>ID_1146</v>
      </c>
      <c r="B621" s="17">
        <v>45658</v>
      </c>
      <c r="C621" s="18" t="str">
        <f>TEXT('Working Sheet'!$B621,"mmm")</f>
        <v>Jan</v>
      </c>
      <c r="D621" s="18" t="s">
        <v>25</v>
      </c>
      <c r="E621" s="18" t="s">
        <v>32</v>
      </c>
      <c r="F621" s="18" t="s">
        <v>13</v>
      </c>
      <c r="G621" s="18" t="s">
        <v>14</v>
      </c>
      <c r="H621" s="18" t="s">
        <v>41</v>
      </c>
      <c r="I621" s="18" t="s">
        <v>22</v>
      </c>
      <c r="J621" s="19">
        <v>220000</v>
      </c>
      <c r="K621" s="18">
        <v>4</v>
      </c>
      <c r="L621" s="18" t="s">
        <v>37</v>
      </c>
      <c r="M621" s="20">
        <f t="shared" si="19"/>
        <v>176000</v>
      </c>
      <c r="N621" s="20">
        <f>'Working Sheet'!$J621*'Working Sheet'!$K621</f>
        <v>880000</v>
      </c>
      <c r="O621" s="21">
        <f>'Working Sheet'!$M621*'Working Sheet'!$K621</f>
        <v>704000</v>
      </c>
      <c r="P621" s="20">
        <f>'Working Sheet'!$N621-'Working Sheet'!$O621</f>
        <v>176000</v>
      </c>
    </row>
    <row r="622" spans="1:16" ht="14.25" customHeight="1" x14ac:dyDescent="0.25">
      <c r="A622" s="23" t="str">
        <f t="shared" ca="1" si="18"/>
        <v>ID_275</v>
      </c>
      <c r="B622" s="22">
        <v>45708</v>
      </c>
      <c r="C622" s="23" t="str">
        <f>TEXT('Working Sheet'!$B622,"mmm")</f>
        <v>Feb</v>
      </c>
      <c r="D622" s="23" t="s">
        <v>18</v>
      </c>
      <c r="E622" s="23" t="s">
        <v>26</v>
      </c>
      <c r="F622" s="23" t="s">
        <v>23</v>
      </c>
      <c r="G622" s="23" t="s">
        <v>14</v>
      </c>
      <c r="H622" s="23" t="s">
        <v>34</v>
      </c>
      <c r="I622" s="23" t="s">
        <v>16</v>
      </c>
      <c r="J622" s="24">
        <v>320000</v>
      </c>
      <c r="K622" s="23">
        <v>7</v>
      </c>
      <c r="L622" s="23" t="s">
        <v>35</v>
      </c>
      <c r="M622" s="25">
        <f t="shared" si="19"/>
        <v>256000</v>
      </c>
      <c r="N622" s="25">
        <f>'Working Sheet'!$J622*'Working Sheet'!$K622</f>
        <v>2240000</v>
      </c>
      <c r="O622" s="26">
        <f>'Working Sheet'!$M622*'Working Sheet'!$K622</f>
        <v>1792000</v>
      </c>
      <c r="P622" s="25">
        <f>'Working Sheet'!$N622-'Working Sheet'!$O622</f>
        <v>448000</v>
      </c>
    </row>
    <row r="623" spans="1:16" ht="14.25" customHeight="1" x14ac:dyDescent="0.25">
      <c r="A623" s="18" t="str">
        <f t="shared" ca="1" si="18"/>
        <v>ID_1391</v>
      </c>
      <c r="B623" s="17">
        <v>45769</v>
      </c>
      <c r="C623" s="18" t="str">
        <f>TEXT('Working Sheet'!$B623,"mmm")</f>
        <v>Apr</v>
      </c>
      <c r="D623" s="18" t="s">
        <v>18</v>
      </c>
      <c r="E623" s="18" t="s">
        <v>12</v>
      </c>
      <c r="F623" s="18" t="s">
        <v>23</v>
      </c>
      <c r="G623" s="18" t="s">
        <v>14</v>
      </c>
      <c r="H623" s="18" t="s">
        <v>40</v>
      </c>
      <c r="I623" s="18" t="s">
        <v>31</v>
      </c>
      <c r="J623" s="19">
        <v>250000</v>
      </c>
      <c r="K623" s="18">
        <v>1</v>
      </c>
      <c r="L623" s="18" t="s">
        <v>28</v>
      </c>
      <c r="M623" s="20">
        <f t="shared" si="19"/>
        <v>200000</v>
      </c>
      <c r="N623" s="20">
        <f>'Working Sheet'!$J623*'Working Sheet'!$K623</f>
        <v>250000</v>
      </c>
      <c r="O623" s="21">
        <f>'Working Sheet'!$M623*'Working Sheet'!$K623</f>
        <v>200000</v>
      </c>
      <c r="P623" s="20">
        <f>'Working Sheet'!$N623-'Working Sheet'!$O623</f>
        <v>50000</v>
      </c>
    </row>
    <row r="624" spans="1:16" ht="14.25" customHeight="1" x14ac:dyDescent="0.25">
      <c r="A624" s="23" t="str">
        <f t="shared" ca="1" si="18"/>
        <v>ID_1417</v>
      </c>
      <c r="B624" s="22">
        <v>45677</v>
      </c>
      <c r="C624" s="23" t="str">
        <f>TEXT('Working Sheet'!$B624,"mmm")</f>
        <v>Jan</v>
      </c>
      <c r="D624" s="23" t="s">
        <v>18</v>
      </c>
      <c r="E624" s="23" t="s">
        <v>26</v>
      </c>
      <c r="F624" s="23" t="s">
        <v>13</v>
      </c>
      <c r="G624" s="23" t="s">
        <v>20</v>
      </c>
      <c r="H624" s="23" t="s">
        <v>21</v>
      </c>
      <c r="I624" s="23" t="s">
        <v>22</v>
      </c>
      <c r="J624" s="24">
        <v>30000</v>
      </c>
      <c r="K624" s="23">
        <v>5</v>
      </c>
      <c r="L624" s="23" t="s">
        <v>28</v>
      </c>
      <c r="M624" s="25">
        <f t="shared" si="19"/>
        <v>24000</v>
      </c>
      <c r="N624" s="25">
        <f>'Working Sheet'!$J624*'Working Sheet'!$K624</f>
        <v>150000</v>
      </c>
      <c r="O624" s="26">
        <f>'Working Sheet'!$M624*'Working Sheet'!$K624</f>
        <v>120000</v>
      </c>
      <c r="P624" s="25">
        <f>'Working Sheet'!$N624-'Working Sheet'!$O624</f>
        <v>30000</v>
      </c>
    </row>
    <row r="625" spans="1:16" ht="14.25" customHeight="1" x14ac:dyDescent="0.25">
      <c r="A625" s="18" t="str">
        <f t="shared" ca="1" si="18"/>
        <v>ID_791</v>
      </c>
      <c r="B625" s="17">
        <v>45726</v>
      </c>
      <c r="C625" s="18" t="str">
        <f>TEXT('Working Sheet'!$B625,"mmm")</f>
        <v>Mar</v>
      </c>
      <c r="D625" s="18" t="s">
        <v>25</v>
      </c>
      <c r="E625" s="18" t="s">
        <v>26</v>
      </c>
      <c r="F625" s="18" t="s">
        <v>23</v>
      </c>
      <c r="G625" s="18" t="s">
        <v>14</v>
      </c>
      <c r="H625" s="18" t="s">
        <v>41</v>
      </c>
      <c r="I625" s="18" t="s">
        <v>22</v>
      </c>
      <c r="J625" s="19">
        <v>220000</v>
      </c>
      <c r="K625" s="18">
        <v>5</v>
      </c>
      <c r="L625" s="18" t="s">
        <v>24</v>
      </c>
      <c r="M625" s="20">
        <f t="shared" si="19"/>
        <v>176000</v>
      </c>
      <c r="N625" s="20">
        <f>'Working Sheet'!$J625*'Working Sheet'!$K625</f>
        <v>1100000</v>
      </c>
      <c r="O625" s="21">
        <f>'Working Sheet'!$M625*'Working Sheet'!$K625</f>
        <v>880000</v>
      </c>
      <c r="P625" s="20">
        <f>'Working Sheet'!$N625-'Working Sheet'!$O625</f>
        <v>220000</v>
      </c>
    </row>
    <row r="626" spans="1:16" ht="14.25" customHeight="1" x14ac:dyDescent="0.25">
      <c r="A626" s="23" t="str">
        <f t="shared" ca="1" si="18"/>
        <v>ID_615</v>
      </c>
      <c r="B626" s="22">
        <v>45734</v>
      </c>
      <c r="C626" s="23" t="str">
        <f>TEXT('Working Sheet'!$B626,"mmm")</f>
        <v>Mar</v>
      </c>
      <c r="D626" s="23" t="s">
        <v>29</v>
      </c>
      <c r="E626" s="23" t="s">
        <v>26</v>
      </c>
      <c r="F626" s="23" t="s">
        <v>23</v>
      </c>
      <c r="G626" s="23" t="s">
        <v>20</v>
      </c>
      <c r="H626" s="23" t="s">
        <v>40</v>
      </c>
      <c r="I626" s="23" t="s">
        <v>31</v>
      </c>
      <c r="J626" s="24">
        <v>250000</v>
      </c>
      <c r="K626" s="23">
        <v>4</v>
      </c>
      <c r="L626" s="23" t="s">
        <v>35</v>
      </c>
      <c r="M626" s="25">
        <f t="shared" si="19"/>
        <v>200000</v>
      </c>
      <c r="N626" s="25">
        <f>'Working Sheet'!$J626*'Working Sheet'!$K626</f>
        <v>1000000</v>
      </c>
      <c r="O626" s="26">
        <f>'Working Sheet'!$M626*'Working Sheet'!$K626</f>
        <v>800000</v>
      </c>
      <c r="P626" s="25">
        <f>'Working Sheet'!$N626-'Working Sheet'!$O626</f>
        <v>200000</v>
      </c>
    </row>
    <row r="627" spans="1:16" ht="14.25" customHeight="1" x14ac:dyDescent="0.25">
      <c r="A627" s="18" t="str">
        <f t="shared" ca="1" si="18"/>
        <v>ID_1203</v>
      </c>
      <c r="B627" s="17">
        <v>45665</v>
      </c>
      <c r="C627" s="18" t="str">
        <f>TEXT('Working Sheet'!$B627,"mmm")</f>
        <v>Jan</v>
      </c>
      <c r="D627" s="18" t="s">
        <v>29</v>
      </c>
      <c r="E627" s="18" t="s">
        <v>12</v>
      </c>
      <c r="F627" s="18" t="s">
        <v>13</v>
      </c>
      <c r="G627" s="18" t="s">
        <v>20</v>
      </c>
      <c r="H627" s="18" t="s">
        <v>33</v>
      </c>
      <c r="I627" s="18" t="s">
        <v>22</v>
      </c>
      <c r="J627" s="19">
        <v>180000</v>
      </c>
      <c r="K627" s="18">
        <v>4</v>
      </c>
      <c r="L627" s="18" t="s">
        <v>17</v>
      </c>
      <c r="M627" s="20">
        <f t="shared" si="19"/>
        <v>144000</v>
      </c>
      <c r="N627" s="20">
        <f>'Working Sheet'!$J627*'Working Sheet'!$K627</f>
        <v>720000</v>
      </c>
      <c r="O627" s="21">
        <f>'Working Sheet'!$M627*'Working Sheet'!$K627</f>
        <v>576000</v>
      </c>
      <c r="P627" s="20">
        <f>'Working Sheet'!$N627-'Working Sheet'!$O627</f>
        <v>144000</v>
      </c>
    </row>
    <row r="628" spans="1:16" ht="14.25" customHeight="1" x14ac:dyDescent="0.25">
      <c r="A628" s="23" t="str">
        <f t="shared" ca="1" si="18"/>
        <v>ID_1635</v>
      </c>
      <c r="B628" s="22">
        <v>45767</v>
      </c>
      <c r="C628" s="23" t="str">
        <f>TEXT('Working Sheet'!$B628,"mmm")</f>
        <v>Apr</v>
      </c>
      <c r="D628" s="23" t="s">
        <v>25</v>
      </c>
      <c r="E628" s="23" t="s">
        <v>12</v>
      </c>
      <c r="F628" s="23" t="s">
        <v>23</v>
      </c>
      <c r="G628" s="23" t="s">
        <v>20</v>
      </c>
      <c r="H628" s="23" t="s">
        <v>27</v>
      </c>
      <c r="I628" s="23" t="s">
        <v>22</v>
      </c>
      <c r="J628" s="24">
        <v>60000</v>
      </c>
      <c r="K628" s="23">
        <v>10</v>
      </c>
      <c r="L628" s="23" t="s">
        <v>24</v>
      </c>
      <c r="M628" s="25">
        <f t="shared" si="19"/>
        <v>48000</v>
      </c>
      <c r="N628" s="25">
        <f>'Working Sheet'!$J628*'Working Sheet'!$K628</f>
        <v>600000</v>
      </c>
      <c r="O628" s="26">
        <f>'Working Sheet'!$M628*'Working Sheet'!$K628</f>
        <v>480000</v>
      </c>
      <c r="P628" s="25">
        <f>'Working Sheet'!$N628-'Working Sheet'!$O628</f>
        <v>120000</v>
      </c>
    </row>
    <row r="629" spans="1:16" ht="14.25" customHeight="1" x14ac:dyDescent="0.25">
      <c r="A629" s="18" t="str">
        <f t="shared" ca="1" si="18"/>
        <v>ID_905</v>
      </c>
      <c r="B629" s="17">
        <v>45693</v>
      </c>
      <c r="C629" s="18" t="str">
        <f>TEXT('Working Sheet'!$B629,"mmm")</f>
        <v>Feb</v>
      </c>
      <c r="D629" s="18" t="s">
        <v>18</v>
      </c>
      <c r="E629" s="18" t="s">
        <v>26</v>
      </c>
      <c r="F629" s="18" t="s">
        <v>13</v>
      </c>
      <c r="G629" s="18" t="s">
        <v>14</v>
      </c>
      <c r="H629" s="18" t="s">
        <v>34</v>
      </c>
      <c r="I629" s="18" t="s">
        <v>16</v>
      </c>
      <c r="J629" s="19">
        <v>320000</v>
      </c>
      <c r="K629" s="18">
        <v>10</v>
      </c>
      <c r="L629" s="18" t="s">
        <v>17</v>
      </c>
      <c r="M629" s="20">
        <f t="shared" si="19"/>
        <v>256000</v>
      </c>
      <c r="N629" s="20">
        <f>'Working Sheet'!$J629*'Working Sheet'!$K629</f>
        <v>3200000</v>
      </c>
      <c r="O629" s="21">
        <f>'Working Sheet'!$M629*'Working Sheet'!$K629</f>
        <v>2560000</v>
      </c>
      <c r="P629" s="20">
        <f>'Working Sheet'!$N629-'Working Sheet'!$O629</f>
        <v>640000</v>
      </c>
    </row>
    <row r="630" spans="1:16" ht="14.25" customHeight="1" x14ac:dyDescent="0.25">
      <c r="A630" s="23" t="str">
        <f t="shared" ca="1" si="18"/>
        <v>ID_1966</v>
      </c>
      <c r="B630" s="22">
        <v>45678</v>
      </c>
      <c r="C630" s="23" t="str">
        <f>TEXT('Working Sheet'!$B630,"mmm")</f>
        <v>Jan</v>
      </c>
      <c r="D630" s="23" t="s">
        <v>18</v>
      </c>
      <c r="E630" s="23" t="s">
        <v>26</v>
      </c>
      <c r="F630" s="23" t="s">
        <v>13</v>
      </c>
      <c r="G630" s="23" t="s">
        <v>20</v>
      </c>
      <c r="H630" s="23" t="s">
        <v>36</v>
      </c>
      <c r="I630" s="23" t="s">
        <v>31</v>
      </c>
      <c r="J630" s="24">
        <v>150000</v>
      </c>
      <c r="K630" s="23">
        <v>4</v>
      </c>
      <c r="L630" s="23" t="s">
        <v>28</v>
      </c>
      <c r="M630" s="25">
        <f t="shared" si="19"/>
        <v>120000</v>
      </c>
      <c r="N630" s="25">
        <f>'Working Sheet'!$J630*'Working Sheet'!$K630</f>
        <v>600000</v>
      </c>
      <c r="O630" s="26">
        <f>'Working Sheet'!$M630*'Working Sheet'!$K630</f>
        <v>480000</v>
      </c>
      <c r="P630" s="25">
        <f>'Working Sheet'!$N630-'Working Sheet'!$O630</f>
        <v>120000</v>
      </c>
    </row>
    <row r="631" spans="1:16" ht="14.25" customHeight="1" x14ac:dyDescent="0.25">
      <c r="A631" s="18" t="str">
        <f t="shared" ca="1" si="18"/>
        <v>ID_1248</v>
      </c>
      <c r="B631" s="17">
        <v>45703</v>
      </c>
      <c r="C631" s="18" t="str">
        <f>TEXT('Working Sheet'!$B631,"mmm")</f>
        <v>Feb</v>
      </c>
      <c r="D631" s="18" t="s">
        <v>11</v>
      </c>
      <c r="E631" s="18" t="s">
        <v>12</v>
      </c>
      <c r="F631" s="18" t="s">
        <v>23</v>
      </c>
      <c r="G631" s="18" t="s">
        <v>20</v>
      </c>
      <c r="H631" s="18" t="s">
        <v>34</v>
      </c>
      <c r="I631" s="18" t="s">
        <v>16</v>
      </c>
      <c r="J631" s="19">
        <v>320000</v>
      </c>
      <c r="K631" s="18">
        <v>4</v>
      </c>
      <c r="L631" s="18" t="s">
        <v>17</v>
      </c>
      <c r="M631" s="20">
        <f t="shared" si="19"/>
        <v>256000</v>
      </c>
      <c r="N631" s="20">
        <f>'Working Sheet'!$J631*'Working Sheet'!$K631</f>
        <v>1280000</v>
      </c>
      <c r="O631" s="21">
        <f>'Working Sheet'!$M631*'Working Sheet'!$K631</f>
        <v>1024000</v>
      </c>
      <c r="P631" s="20">
        <f>'Working Sheet'!$N631-'Working Sheet'!$O631</f>
        <v>256000</v>
      </c>
    </row>
    <row r="632" spans="1:16" ht="14.25" customHeight="1" x14ac:dyDescent="0.25">
      <c r="A632" s="23" t="str">
        <f t="shared" ca="1" si="18"/>
        <v>ID_318</v>
      </c>
      <c r="B632" s="22">
        <v>45704</v>
      </c>
      <c r="C632" s="23" t="str">
        <f>TEXT('Working Sheet'!$B632,"mmm")</f>
        <v>Feb</v>
      </c>
      <c r="D632" s="23" t="s">
        <v>25</v>
      </c>
      <c r="E632" s="23" t="s">
        <v>19</v>
      </c>
      <c r="F632" s="23" t="s">
        <v>23</v>
      </c>
      <c r="G632" s="23" t="s">
        <v>14</v>
      </c>
      <c r="H632" s="23" t="s">
        <v>30</v>
      </c>
      <c r="I632" s="23" t="s">
        <v>31</v>
      </c>
      <c r="J632" s="24">
        <v>300000</v>
      </c>
      <c r="K632" s="23">
        <v>7</v>
      </c>
      <c r="L632" s="23" t="s">
        <v>37</v>
      </c>
      <c r="M632" s="25">
        <f t="shared" si="19"/>
        <v>240000</v>
      </c>
      <c r="N632" s="25">
        <f>'Working Sheet'!$J632*'Working Sheet'!$K632</f>
        <v>2100000</v>
      </c>
      <c r="O632" s="26">
        <f>'Working Sheet'!$M632*'Working Sheet'!$K632</f>
        <v>1680000</v>
      </c>
      <c r="P632" s="25">
        <f>'Working Sheet'!$N632-'Working Sheet'!$O632</f>
        <v>420000</v>
      </c>
    </row>
    <row r="633" spans="1:16" ht="14.25" customHeight="1" x14ac:dyDescent="0.25">
      <c r="A633" s="18" t="str">
        <f t="shared" ca="1" si="18"/>
        <v>ID_1332</v>
      </c>
      <c r="B633" s="17">
        <v>45708</v>
      </c>
      <c r="C633" s="18" t="str">
        <f>TEXT('Working Sheet'!$B633,"mmm")</f>
        <v>Feb</v>
      </c>
      <c r="D633" s="18" t="s">
        <v>29</v>
      </c>
      <c r="E633" s="18" t="s">
        <v>12</v>
      </c>
      <c r="F633" s="18" t="s">
        <v>23</v>
      </c>
      <c r="G633" s="18" t="s">
        <v>20</v>
      </c>
      <c r="H633" s="18" t="s">
        <v>36</v>
      </c>
      <c r="I633" s="18" t="s">
        <v>31</v>
      </c>
      <c r="J633" s="19">
        <v>150000</v>
      </c>
      <c r="K633" s="18">
        <v>10</v>
      </c>
      <c r="L633" s="18" t="s">
        <v>17</v>
      </c>
      <c r="M633" s="20">
        <f t="shared" si="19"/>
        <v>120000</v>
      </c>
      <c r="N633" s="20">
        <f>'Working Sheet'!$J633*'Working Sheet'!$K633</f>
        <v>1500000</v>
      </c>
      <c r="O633" s="21">
        <f>'Working Sheet'!$M633*'Working Sheet'!$K633</f>
        <v>1200000</v>
      </c>
      <c r="P633" s="20">
        <f>'Working Sheet'!$N633-'Working Sheet'!$O633</f>
        <v>300000</v>
      </c>
    </row>
    <row r="634" spans="1:16" ht="14.25" customHeight="1" x14ac:dyDescent="0.25">
      <c r="A634" s="23" t="str">
        <f t="shared" ca="1" si="18"/>
        <v>ID_1881</v>
      </c>
      <c r="B634" s="22">
        <v>45740</v>
      </c>
      <c r="C634" s="23" t="str">
        <f>TEXT('Working Sheet'!$B634,"mmm")</f>
        <v>Mar</v>
      </c>
      <c r="D634" s="23" t="s">
        <v>25</v>
      </c>
      <c r="E634" s="23" t="s">
        <v>19</v>
      </c>
      <c r="F634" s="23" t="s">
        <v>23</v>
      </c>
      <c r="G634" s="23" t="s">
        <v>14</v>
      </c>
      <c r="H634" s="23" t="s">
        <v>41</v>
      </c>
      <c r="I634" s="23" t="s">
        <v>22</v>
      </c>
      <c r="J634" s="24">
        <v>220000</v>
      </c>
      <c r="K634" s="23">
        <v>9</v>
      </c>
      <c r="L634" s="23" t="s">
        <v>17</v>
      </c>
      <c r="M634" s="25">
        <f t="shared" si="19"/>
        <v>176000</v>
      </c>
      <c r="N634" s="25">
        <f>'Working Sheet'!$J634*'Working Sheet'!$K634</f>
        <v>1980000</v>
      </c>
      <c r="O634" s="26">
        <f>'Working Sheet'!$M634*'Working Sheet'!$K634</f>
        <v>1584000</v>
      </c>
      <c r="P634" s="25">
        <f>'Working Sheet'!$N634-'Working Sheet'!$O634</f>
        <v>396000</v>
      </c>
    </row>
    <row r="635" spans="1:16" ht="14.25" customHeight="1" x14ac:dyDescent="0.25">
      <c r="A635" s="18" t="str">
        <f t="shared" ca="1" si="18"/>
        <v>ID_678</v>
      </c>
      <c r="B635" s="17">
        <v>45701</v>
      </c>
      <c r="C635" s="18" t="str">
        <f>TEXT('Working Sheet'!$B635,"mmm")</f>
        <v>Feb</v>
      </c>
      <c r="D635" s="18" t="s">
        <v>11</v>
      </c>
      <c r="E635" s="18" t="s">
        <v>32</v>
      </c>
      <c r="F635" s="18" t="s">
        <v>23</v>
      </c>
      <c r="G635" s="18" t="s">
        <v>20</v>
      </c>
      <c r="H635" s="18" t="s">
        <v>15</v>
      </c>
      <c r="I635" s="18" t="s">
        <v>16</v>
      </c>
      <c r="J635" s="19">
        <v>85000</v>
      </c>
      <c r="K635" s="18">
        <v>4</v>
      </c>
      <c r="L635" s="18" t="s">
        <v>28</v>
      </c>
      <c r="M635" s="20">
        <f t="shared" si="19"/>
        <v>68000</v>
      </c>
      <c r="N635" s="20">
        <f>'Working Sheet'!$J635*'Working Sheet'!$K635</f>
        <v>340000</v>
      </c>
      <c r="O635" s="21">
        <f>'Working Sheet'!$M635*'Working Sheet'!$K635</f>
        <v>272000</v>
      </c>
      <c r="P635" s="20">
        <f>'Working Sheet'!$N635-'Working Sheet'!$O635</f>
        <v>68000</v>
      </c>
    </row>
    <row r="636" spans="1:16" ht="14.25" customHeight="1" x14ac:dyDescent="0.25">
      <c r="A636" s="23" t="str">
        <f t="shared" ca="1" si="18"/>
        <v>ID_1019</v>
      </c>
      <c r="B636" s="22">
        <v>45672</v>
      </c>
      <c r="C636" s="23" t="str">
        <f>TEXT('Working Sheet'!$B636,"mmm")</f>
        <v>Jan</v>
      </c>
      <c r="D636" s="23" t="s">
        <v>25</v>
      </c>
      <c r="E636" s="23" t="s">
        <v>26</v>
      </c>
      <c r="F636" s="23" t="s">
        <v>23</v>
      </c>
      <c r="G636" s="23" t="s">
        <v>14</v>
      </c>
      <c r="H636" s="23" t="s">
        <v>34</v>
      </c>
      <c r="I636" s="23" t="s">
        <v>16</v>
      </c>
      <c r="J636" s="24">
        <v>320000</v>
      </c>
      <c r="K636" s="23">
        <v>1</v>
      </c>
      <c r="L636" s="23" t="s">
        <v>39</v>
      </c>
      <c r="M636" s="25">
        <f t="shared" si="19"/>
        <v>256000</v>
      </c>
      <c r="N636" s="25">
        <f>'Working Sheet'!$J636*'Working Sheet'!$K636</f>
        <v>320000</v>
      </c>
      <c r="O636" s="26">
        <f>'Working Sheet'!$M636*'Working Sheet'!$K636</f>
        <v>256000</v>
      </c>
      <c r="P636" s="25">
        <f>'Working Sheet'!$N636-'Working Sheet'!$O636</f>
        <v>64000</v>
      </c>
    </row>
    <row r="637" spans="1:16" ht="14.25" customHeight="1" x14ac:dyDescent="0.25">
      <c r="A637" s="18" t="str">
        <f t="shared" ca="1" si="18"/>
        <v>ID_400</v>
      </c>
      <c r="B637" s="17">
        <v>45677</v>
      </c>
      <c r="C637" s="18" t="str">
        <f>TEXT('Working Sheet'!$B637,"mmm")</f>
        <v>Jan</v>
      </c>
      <c r="D637" s="18" t="s">
        <v>18</v>
      </c>
      <c r="E637" s="18" t="s">
        <v>32</v>
      </c>
      <c r="F637" s="18" t="s">
        <v>23</v>
      </c>
      <c r="G637" s="18" t="s">
        <v>20</v>
      </c>
      <c r="H637" s="18" t="s">
        <v>38</v>
      </c>
      <c r="I637" s="18" t="s">
        <v>31</v>
      </c>
      <c r="J637" s="19">
        <v>420000</v>
      </c>
      <c r="K637" s="18">
        <v>1</v>
      </c>
      <c r="L637" s="18" t="s">
        <v>35</v>
      </c>
      <c r="M637" s="20">
        <f t="shared" si="19"/>
        <v>336000</v>
      </c>
      <c r="N637" s="20">
        <f>'Working Sheet'!$J637*'Working Sheet'!$K637</f>
        <v>420000</v>
      </c>
      <c r="O637" s="21">
        <f>'Working Sheet'!$M637*'Working Sheet'!$K637</f>
        <v>336000</v>
      </c>
      <c r="P637" s="20">
        <f>'Working Sheet'!$N637-'Working Sheet'!$O637</f>
        <v>84000</v>
      </c>
    </row>
    <row r="638" spans="1:16" ht="14.25" customHeight="1" x14ac:dyDescent="0.25">
      <c r="A638" s="23" t="str">
        <f t="shared" ca="1" si="18"/>
        <v>ID_1153</v>
      </c>
      <c r="B638" s="22">
        <v>45776</v>
      </c>
      <c r="C638" s="23" t="str">
        <f>TEXT('Working Sheet'!$B638,"mmm")</f>
        <v>Apr</v>
      </c>
      <c r="D638" s="23" t="s">
        <v>25</v>
      </c>
      <c r="E638" s="23" t="s">
        <v>26</v>
      </c>
      <c r="F638" s="23" t="s">
        <v>23</v>
      </c>
      <c r="G638" s="23" t="s">
        <v>20</v>
      </c>
      <c r="H638" s="23" t="s">
        <v>38</v>
      </c>
      <c r="I638" s="23" t="s">
        <v>31</v>
      </c>
      <c r="J638" s="24">
        <v>420000</v>
      </c>
      <c r="K638" s="23">
        <v>6</v>
      </c>
      <c r="L638" s="23" t="s">
        <v>24</v>
      </c>
      <c r="M638" s="25">
        <f t="shared" si="19"/>
        <v>336000</v>
      </c>
      <c r="N638" s="25">
        <f>'Working Sheet'!$J638*'Working Sheet'!$K638</f>
        <v>2520000</v>
      </c>
      <c r="O638" s="26">
        <f>'Working Sheet'!$M638*'Working Sheet'!$K638</f>
        <v>2016000</v>
      </c>
      <c r="P638" s="25">
        <f>'Working Sheet'!$N638-'Working Sheet'!$O638</f>
        <v>504000</v>
      </c>
    </row>
    <row r="639" spans="1:16" ht="14.25" customHeight="1" x14ac:dyDescent="0.25">
      <c r="A639" s="18" t="str">
        <f t="shared" ca="1" si="18"/>
        <v>ID_1474</v>
      </c>
      <c r="B639" s="17">
        <v>45689</v>
      </c>
      <c r="C639" s="18" t="str">
        <f>TEXT('Working Sheet'!$B639,"mmm")</f>
        <v>Feb</v>
      </c>
      <c r="D639" s="18" t="s">
        <v>29</v>
      </c>
      <c r="E639" s="18" t="s">
        <v>19</v>
      </c>
      <c r="F639" s="18" t="s">
        <v>23</v>
      </c>
      <c r="G639" s="18" t="s">
        <v>14</v>
      </c>
      <c r="H639" s="18" t="s">
        <v>27</v>
      </c>
      <c r="I639" s="18" t="s">
        <v>22</v>
      </c>
      <c r="J639" s="19">
        <v>60000</v>
      </c>
      <c r="K639" s="18">
        <v>8</v>
      </c>
      <c r="L639" s="18" t="s">
        <v>37</v>
      </c>
      <c r="M639" s="20">
        <f t="shared" si="19"/>
        <v>48000</v>
      </c>
      <c r="N639" s="20">
        <f>'Working Sheet'!$J639*'Working Sheet'!$K639</f>
        <v>480000</v>
      </c>
      <c r="O639" s="21">
        <f>'Working Sheet'!$M639*'Working Sheet'!$K639</f>
        <v>384000</v>
      </c>
      <c r="P639" s="20">
        <f>'Working Sheet'!$N639-'Working Sheet'!$O639</f>
        <v>96000</v>
      </c>
    </row>
    <row r="640" spans="1:16" ht="14.25" customHeight="1" x14ac:dyDescent="0.25">
      <c r="A640" s="23" t="str">
        <f t="shared" ca="1" si="18"/>
        <v>ID_330</v>
      </c>
      <c r="B640" s="22">
        <v>45684</v>
      </c>
      <c r="C640" s="23" t="str">
        <f>TEXT('Working Sheet'!$B640,"mmm")</f>
        <v>Jan</v>
      </c>
      <c r="D640" s="23" t="s">
        <v>18</v>
      </c>
      <c r="E640" s="23" t="s">
        <v>12</v>
      </c>
      <c r="F640" s="23" t="s">
        <v>23</v>
      </c>
      <c r="G640" s="23" t="s">
        <v>20</v>
      </c>
      <c r="H640" s="23" t="s">
        <v>41</v>
      </c>
      <c r="I640" s="23" t="s">
        <v>22</v>
      </c>
      <c r="J640" s="24">
        <v>220000</v>
      </c>
      <c r="K640" s="23">
        <v>7</v>
      </c>
      <c r="L640" s="23" t="s">
        <v>17</v>
      </c>
      <c r="M640" s="25">
        <f t="shared" si="19"/>
        <v>176000</v>
      </c>
      <c r="N640" s="25">
        <f>'Working Sheet'!$J640*'Working Sheet'!$K640</f>
        <v>1540000</v>
      </c>
      <c r="O640" s="26">
        <f>'Working Sheet'!$M640*'Working Sheet'!$K640</f>
        <v>1232000</v>
      </c>
      <c r="P640" s="25">
        <f>'Working Sheet'!$N640-'Working Sheet'!$O640</f>
        <v>308000</v>
      </c>
    </row>
    <row r="641" spans="1:16" ht="14.25" customHeight="1" x14ac:dyDescent="0.25">
      <c r="A641" s="18" t="str">
        <f t="shared" ca="1" si="18"/>
        <v>ID_1254</v>
      </c>
      <c r="B641" s="17">
        <v>45751</v>
      </c>
      <c r="C641" s="18" t="str">
        <f>TEXT('Working Sheet'!$B641,"mmm")</f>
        <v>Apr</v>
      </c>
      <c r="D641" s="18" t="s">
        <v>25</v>
      </c>
      <c r="E641" s="18" t="s">
        <v>12</v>
      </c>
      <c r="F641" s="18" t="s">
        <v>23</v>
      </c>
      <c r="G641" s="18" t="s">
        <v>14</v>
      </c>
      <c r="H641" s="18" t="s">
        <v>34</v>
      </c>
      <c r="I641" s="18" t="s">
        <v>16</v>
      </c>
      <c r="J641" s="19">
        <v>320000</v>
      </c>
      <c r="K641" s="18">
        <v>9</v>
      </c>
      <c r="L641" s="18" t="s">
        <v>35</v>
      </c>
      <c r="M641" s="20">
        <f t="shared" si="19"/>
        <v>256000</v>
      </c>
      <c r="N641" s="20">
        <f>'Working Sheet'!$J641*'Working Sheet'!$K641</f>
        <v>2880000</v>
      </c>
      <c r="O641" s="21">
        <f>'Working Sheet'!$M641*'Working Sheet'!$K641</f>
        <v>2304000</v>
      </c>
      <c r="P641" s="20">
        <f>'Working Sheet'!$N641-'Working Sheet'!$O641</f>
        <v>576000</v>
      </c>
    </row>
    <row r="642" spans="1:16" ht="14.25" customHeight="1" x14ac:dyDescent="0.25">
      <c r="A642" s="23" t="str">
        <f t="shared" ref="A642:A705" ca="1" si="20">"ID_"&amp; RANDBETWEEN(1,2098)</f>
        <v>ID_125</v>
      </c>
      <c r="B642" s="22">
        <v>45696</v>
      </c>
      <c r="C642" s="23" t="str">
        <f>TEXT('Working Sheet'!$B642,"mmm")</f>
        <v>Feb</v>
      </c>
      <c r="D642" s="23" t="s">
        <v>11</v>
      </c>
      <c r="E642" s="23" t="s">
        <v>32</v>
      </c>
      <c r="F642" s="23" t="s">
        <v>23</v>
      </c>
      <c r="G642" s="23" t="s">
        <v>20</v>
      </c>
      <c r="H642" s="23" t="s">
        <v>30</v>
      </c>
      <c r="I642" s="23" t="s">
        <v>31</v>
      </c>
      <c r="J642" s="24">
        <v>300000</v>
      </c>
      <c r="K642" s="23">
        <v>2</v>
      </c>
      <c r="L642" s="23" t="s">
        <v>37</v>
      </c>
      <c r="M642" s="25">
        <f t="shared" ref="M642:M705" si="21">J642-J642*0.2</f>
        <v>240000</v>
      </c>
      <c r="N642" s="25">
        <f>'Working Sheet'!$J642*'Working Sheet'!$K642</f>
        <v>600000</v>
      </c>
      <c r="O642" s="26">
        <f>'Working Sheet'!$M642*'Working Sheet'!$K642</f>
        <v>480000</v>
      </c>
      <c r="P642" s="25">
        <f>'Working Sheet'!$N642-'Working Sheet'!$O642</f>
        <v>120000</v>
      </c>
    </row>
    <row r="643" spans="1:16" ht="14.25" customHeight="1" x14ac:dyDescent="0.25">
      <c r="A643" s="18" t="str">
        <f t="shared" ca="1" si="20"/>
        <v>ID_1477</v>
      </c>
      <c r="B643" s="17">
        <v>45773</v>
      </c>
      <c r="C643" s="18" t="str">
        <f>TEXT('Working Sheet'!$B643,"mmm")</f>
        <v>Apr</v>
      </c>
      <c r="D643" s="18" t="s">
        <v>25</v>
      </c>
      <c r="E643" s="18" t="s">
        <v>12</v>
      </c>
      <c r="F643" s="18" t="s">
        <v>23</v>
      </c>
      <c r="G643" s="18" t="s">
        <v>14</v>
      </c>
      <c r="H643" s="18" t="s">
        <v>40</v>
      </c>
      <c r="I643" s="18" t="s">
        <v>31</v>
      </c>
      <c r="J643" s="19">
        <v>250000</v>
      </c>
      <c r="K643" s="18">
        <v>4</v>
      </c>
      <c r="L643" s="18" t="s">
        <v>37</v>
      </c>
      <c r="M643" s="20">
        <f t="shared" si="21"/>
        <v>200000</v>
      </c>
      <c r="N643" s="20">
        <f>'Working Sheet'!$J643*'Working Sheet'!$K643</f>
        <v>1000000</v>
      </c>
      <c r="O643" s="21">
        <f>'Working Sheet'!$M643*'Working Sheet'!$K643</f>
        <v>800000</v>
      </c>
      <c r="P643" s="20">
        <f>'Working Sheet'!$N643-'Working Sheet'!$O643</f>
        <v>200000</v>
      </c>
    </row>
    <row r="644" spans="1:16" ht="14.25" customHeight="1" x14ac:dyDescent="0.25">
      <c r="A644" s="23" t="str">
        <f t="shared" ca="1" si="20"/>
        <v>ID_389</v>
      </c>
      <c r="B644" s="22">
        <v>45701</v>
      </c>
      <c r="C644" s="23" t="str">
        <f>TEXT('Working Sheet'!$B644,"mmm")</f>
        <v>Feb</v>
      </c>
      <c r="D644" s="23" t="s">
        <v>29</v>
      </c>
      <c r="E644" s="23" t="s">
        <v>19</v>
      </c>
      <c r="F644" s="23" t="s">
        <v>13</v>
      </c>
      <c r="G644" s="23" t="s">
        <v>14</v>
      </c>
      <c r="H644" s="23" t="s">
        <v>21</v>
      </c>
      <c r="I644" s="23" t="s">
        <v>22</v>
      </c>
      <c r="J644" s="24">
        <v>30000</v>
      </c>
      <c r="K644" s="23">
        <v>4</v>
      </c>
      <c r="L644" s="23" t="s">
        <v>37</v>
      </c>
      <c r="M644" s="25">
        <f t="shared" si="21"/>
        <v>24000</v>
      </c>
      <c r="N644" s="25">
        <f>'Working Sheet'!$J644*'Working Sheet'!$K644</f>
        <v>120000</v>
      </c>
      <c r="O644" s="26">
        <f>'Working Sheet'!$M644*'Working Sheet'!$K644</f>
        <v>96000</v>
      </c>
      <c r="P644" s="25">
        <f>'Working Sheet'!$N644-'Working Sheet'!$O644</f>
        <v>24000</v>
      </c>
    </row>
    <row r="645" spans="1:16" ht="14.25" customHeight="1" x14ac:dyDescent="0.25">
      <c r="A645" s="18" t="str">
        <f t="shared" ca="1" si="20"/>
        <v>ID_286</v>
      </c>
      <c r="B645" s="17">
        <v>45690</v>
      </c>
      <c r="C645" s="18" t="str">
        <f>TEXT('Working Sheet'!$B645,"mmm")</f>
        <v>Feb</v>
      </c>
      <c r="D645" s="18" t="s">
        <v>11</v>
      </c>
      <c r="E645" s="18" t="s">
        <v>19</v>
      </c>
      <c r="F645" s="18" t="s">
        <v>13</v>
      </c>
      <c r="G645" s="18" t="s">
        <v>20</v>
      </c>
      <c r="H645" s="18" t="s">
        <v>41</v>
      </c>
      <c r="I645" s="18" t="s">
        <v>22</v>
      </c>
      <c r="J645" s="19">
        <v>220000</v>
      </c>
      <c r="K645" s="18">
        <v>4</v>
      </c>
      <c r="L645" s="18" t="s">
        <v>17</v>
      </c>
      <c r="M645" s="20">
        <f t="shared" si="21"/>
        <v>176000</v>
      </c>
      <c r="N645" s="20">
        <f>'Working Sheet'!$J645*'Working Sheet'!$K645</f>
        <v>880000</v>
      </c>
      <c r="O645" s="21">
        <f>'Working Sheet'!$M645*'Working Sheet'!$K645</f>
        <v>704000</v>
      </c>
      <c r="P645" s="20">
        <f>'Working Sheet'!$N645-'Working Sheet'!$O645</f>
        <v>176000</v>
      </c>
    </row>
    <row r="646" spans="1:16" ht="14.25" customHeight="1" x14ac:dyDescent="0.25">
      <c r="A646" s="23" t="str">
        <f t="shared" ca="1" si="20"/>
        <v>ID_1163</v>
      </c>
      <c r="B646" s="22">
        <v>45724</v>
      </c>
      <c r="C646" s="23" t="str">
        <f>TEXT('Working Sheet'!$B646,"mmm")</f>
        <v>Mar</v>
      </c>
      <c r="D646" s="23" t="s">
        <v>29</v>
      </c>
      <c r="E646" s="23" t="s">
        <v>32</v>
      </c>
      <c r="F646" s="23" t="s">
        <v>13</v>
      </c>
      <c r="G646" s="23" t="s">
        <v>20</v>
      </c>
      <c r="H646" s="23" t="s">
        <v>30</v>
      </c>
      <c r="I646" s="23" t="s">
        <v>31</v>
      </c>
      <c r="J646" s="24">
        <v>300000</v>
      </c>
      <c r="K646" s="23">
        <v>2</v>
      </c>
      <c r="L646" s="23" t="s">
        <v>37</v>
      </c>
      <c r="M646" s="25">
        <f t="shared" si="21"/>
        <v>240000</v>
      </c>
      <c r="N646" s="25">
        <f>'Working Sheet'!$J646*'Working Sheet'!$K646</f>
        <v>600000</v>
      </c>
      <c r="O646" s="26">
        <f>'Working Sheet'!$M646*'Working Sheet'!$K646</f>
        <v>480000</v>
      </c>
      <c r="P646" s="25">
        <f>'Working Sheet'!$N646-'Working Sheet'!$O646</f>
        <v>120000</v>
      </c>
    </row>
    <row r="647" spans="1:16" ht="14.25" customHeight="1" x14ac:dyDescent="0.25">
      <c r="A647" s="18" t="str">
        <f t="shared" ca="1" si="20"/>
        <v>ID_473</v>
      </c>
      <c r="B647" s="17">
        <v>45735</v>
      </c>
      <c r="C647" s="18" t="str">
        <f>TEXT('Working Sheet'!$B647,"mmm")</f>
        <v>Mar</v>
      </c>
      <c r="D647" s="18" t="s">
        <v>25</v>
      </c>
      <c r="E647" s="18" t="s">
        <v>19</v>
      </c>
      <c r="F647" s="18" t="s">
        <v>13</v>
      </c>
      <c r="G647" s="18" t="s">
        <v>14</v>
      </c>
      <c r="H647" s="18" t="s">
        <v>34</v>
      </c>
      <c r="I647" s="18" t="s">
        <v>16</v>
      </c>
      <c r="J647" s="19">
        <v>320000</v>
      </c>
      <c r="K647" s="18">
        <v>7</v>
      </c>
      <c r="L647" s="18" t="s">
        <v>24</v>
      </c>
      <c r="M647" s="20">
        <f t="shared" si="21"/>
        <v>256000</v>
      </c>
      <c r="N647" s="20">
        <f>'Working Sheet'!$J647*'Working Sheet'!$K647</f>
        <v>2240000</v>
      </c>
      <c r="O647" s="21">
        <f>'Working Sheet'!$M647*'Working Sheet'!$K647</f>
        <v>1792000</v>
      </c>
      <c r="P647" s="20">
        <f>'Working Sheet'!$N647-'Working Sheet'!$O647</f>
        <v>448000</v>
      </c>
    </row>
    <row r="648" spans="1:16" ht="14.25" customHeight="1" x14ac:dyDescent="0.25">
      <c r="A648" s="23" t="str">
        <f t="shared" ca="1" si="20"/>
        <v>ID_722</v>
      </c>
      <c r="B648" s="22">
        <v>45745</v>
      </c>
      <c r="C648" s="23" t="str">
        <f>TEXT('Working Sheet'!$B648,"mmm")</f>
        <v>Mar</v>
      </c>
      <c r="D648" s="23" t="s">
        <v>18</v>
      </c>
      <c r="E648" s="23" t="s">
        <v>32</v>
      </c>
      <c r="F648" s="23" t="s">
        <v>23</v>
      </c>
      <c r="G648" s="23" t="s">
        <v>14</v>
      </c>
      <c r="H648" s="23" t="s">
        <v>27</v>
      </c>
      <c r="I648" s="23" t="s">
        <v>22</v>
      </c>
      <c r="J648" s="24">
        <v>60000</v>
      </c>
      <c r="K648" s="23">
        <v>5</v>
      </c>
      <c r="L648" s="23" t="s">
        <v>28</v>
      </c>
      <c r="M648" s="25">
        <f t="shared" si="21"/>
        <v>48000</v>
      </c>
      <c r="N648" s="25">
        <f>'Working Sheet'!$J648*'Working Sheet'!$K648</f>
        <v>300000</v>
      </c>
      <c r="O648" s="26">
        <f>'Working Sheet'!$M648*'Working Sheet'!$K648</f>
        <v>240000</v>
      </c>
      <c r="P648" s="25">
        <f>'Working Sheet'!$N648-'Working Sheet'!$O648</f>
        <v>60000</v>
      </c>
    </row>
    <row r="649" spans="1:16" ht="14.25" customHeight="1" x14ac:dyDescent="0.25">
      <c r="A649" s="18" t="str">
        <f t="shared" ca="1" si="20"/>
        <v>ID_870</v>
      </c>
      <c r="B649" s="17">
        <v>45697</v>
      </c>
      <c r="C649" s="18" t="str">
        <f>TEXT('Working Sheet'!$B649,"mmm")</f>
        <v>Feb</v>
      </c>
      <c r="D649" s="18" t="s">
        <v>25</v>
      </c>
      <c r="E649" s="18" t="s">
        <v>26</v>
      </c>
      <c r="F649" s="18" t="s">
        <v>13</v>
      </c>
      <c r="G649" s="18" t="s">
        <v>14</v>
      </c>
      <c r="H649" s="18" t="s">
        <v>15</v>
      </c>
      <c r="I649" s="18" t="s">
        <v>16</v>
      </c>
      <c r="J649" s="19">
        <v>85000</v>
      </c>
      <c r="K649" s="18">
        <v>7</v>
      </c>
      <c r="L649" s="18" t="s">
        <v>35</v>
      </c>
      <c r="M649" s="20">
        <f t="shared" si="21"/>
        <v>68000</v>
      </c>
      <c r="N649" s="20">
        <f>'Working Sheet'!$J649*'Working Sheet'!$K649</f>
        <v>595000</v>
      </c>
      <c r="O649" s="21">
        <f>'Working Sheet'!$M649*'Working Sheet'!$K649</f>
        <v>476000</v>
      </c>
      <c r="P649" s="20">
        <f>'Working Sheet'!$N649-'Working Sheet'!$O649</f>
        <v>119000</v>
      </c>
    </row>
    <row r="650" spans="1:16" ht="14.25" customHeight="1" x14ac:dyDescent="0.25">
      <c r="A650" s="23" t="str">
        <f t="shared" ca="1" si="20"/>
        <v>ID_1384</v>
      </c>
      <c r="B650" s="22">
        <v>45735</v>
      </c>
      <c r="C650" s="23" t="str">
        <f>TEXT('Working Sheet'!$B650,"mmm")</f>
        <v>Mar</v>
      </c>
      <c r="D650" s="23" t="s">
        <v>11</v>
      </c>
      <c r="E650" s="23" t="s">
        <v>19</v>
      </c>
      <c r="F650" s="23" t="s">
        <v>13</v>
      </c>
      <c r="G650" s="23" t="s">
        <v>20</v>
      </c>
      <c r="H650" s="23" t="s">
        <v>30</v>
      </c>
      <c r="I650" s="23" t="s">
        <v>31</v>
      </c>
      <c r="J650" s="24">
        <v>300000</v>
      </c>
      <c r="K650" s="23">
        <v>6</v>
      </c>
      <c r="L650" s="23" t="s">
        <v>39</v>
      </c>
      <c r="M650" s="25">
        <f t="shared" si="21"/>
        <v>240000</v>
      </c>
      <c r="N650" s="25">
        <f>'Working Sheet'!$J650*'Working Sheet'!$K650</f>
        <v>1800000</v>
      </c>
      <c r="O650" s="26">
        <f>'Working Sheet'!$M650*'Working Sheet'!$K650</f>
        <v>1440000</v>
      </c>
      <c r="P650" s="25">
        <f>'Working Sheet'!$N650-'Working Sheet'!$O650</f>
        <v>360000</v>
      </c>
    </row>
    <row r="651" spans="1:16" ht="14.25" customHeight="1" x14ac:dyDescent="0.25">
      <c r="A651" s="18" t="str">
        <f t="shared" ca="1" si="20"/>
        <v>ID_704</v>
      </c>
      <c r="B651" s="17">
        <v>45744</v>
      </c>
      <c r="C651" s="18" t="str">
        <f>TEXT('Working Sheet'!$B651,"mmm")</f>
        <v>Mar</v>
      </c>
      <c r="D651" s="18" t="s">
        <v>18</v>
      </c>
      <c r="E651" s="18" t="s">
        <v>26</v>
      </c>
      <c r="F651" s="18" t="s">
        <v>23</v>
      </c>
      <c r="G651" s="18" t="s">
        <v>14</v>
      </c>
      <c r="H651" s="18" t="s">
        <v>33</v>
      </c>
      <c r="I651" s="18" t="s">
        <v>22</v>
      </c>
      <c r="J651" s="19">
        <v>180000</v>
      </c>
      <c r="K651" s="18">
        <v>5</v>
      </c>
      <c r="L651" s="18" t="s">
        <v>28</v>
      </c>
      <c r="M651" s="20">
        <f t="shared" si="21"/>
        <v>144000</v>
      </c>
      <c r="N651" s="20">
        <f>'Working Sheet'!$J651*'Working Sheet'!$K651</f>
        <v>900000</v>
      </c>
      <c r="O651" s="21">
        <f>'Working Sheet'!$M651*'Working Sheet'!$K651</f>
        <v>720000</v>
      </c>
      <c r="P651" s="20">
        <f>'Working Sheet'!$N651-'Working Sheet'!$O651</f>
        <v>180000</v>
      </c>
    </row>
    <row r="652" spans="1:16" ht="14.25" customHeight="1" x14ac:dyDescent="0.25">
      <c r="A652" s="23" t="str">
        <f t="shared" ca="1" si="20"/>
        <v>ID_1294</v>
      </c>
      <c r="B652" s="22">
        <v>45749</v>
      </c>
      <c r="C652" s="23" t="str">
        <f>TEXT('Working Sheet'!$B652,"mmm")</f>
        <v>Apr</v>
      </c>
      <c r="D652" s="23" t="s">
        <v>18</v>
      </c>
      <c r="E652" s="23" t="s">
        <v>19</v>
      </c>
      <c r="F652" s="23" t="s">
        <v>23</v>
      </c>
      <c r="G652" s="23" t="s">
        <v>20</v>
      </c>
      <c r="H652" s="23" t="s">
        <v>30</v>
      </c>
      <c r="I652" s="23" t="s">
        <v>31</v>
      </c>
      <c r="J652" s="24">
        <v>300000</v>
      </c>
      <c r="K652" s="23">
        <v>1</v>
      </c>
      <c r="L652" s="23" t="s">
        <v>37</v>
      </c>
      <c r="M652" s="25">
        <f t="shared" si="21"/>
        <v>240000</v>
      </c>
      <c r="N652" s="25">
        <f>'Working Sheet'!$J652*'Working Sheet'!$K652</f>
        <v>300000</v>
      </c>
      <c r="O652" s="26">
        <f>'Working Sheet'!$M652*'Working Sheet'!$K652</f>
        <v>240000</v>
      </c>
      <c r="P652" s="25">
        <f>'Working Sheet'!$N652-'Working Sheet'!$O652</f>
        <v>60000</v>
      </c>
    </row>
    <row r="653" spans="1:16" ht="14.25" customHeight="1" x14ac:dyDescent="0.25">
      <c r="A653" s="18" t="str">
        <f t="shared" ca="1" si="20"/>
        <v>ID_1837</v>
      </c>
      <c r="B653" s="17">
        <v>45742</v>
      </c>
      <c r="C653" s="18" t="str">
        <f>TEXT('Working Sheet'!$B653,"mmm")</f>
        <v>Mar</v>
      </c>
      <c r="D653" s="18" t="s">
        <v>11</v>
      </c>
      <c r="E653" s="18" t="s">
        <v>12</v>
      </c>
      <c r="F653" s="18" t="s">
        <v>13</v>
      </c>
      <c r="G653" s="18" t="s">
        <v>20</v>
      </c>
      <c r="H653" s="18" t="s">
        <v>27</v>
      </c>
      <c r="I653" s="18" t="s">
        <v>22</v>
      </c>
      <c r="J653" s="19">
        <v>60000</v>
      </c>
      <c r="K653" s="18">
        <v>7</v>
      </c>
      <c r="L653" s="18" t="s">
        <v>24</v>
      </c>
      <c r="M653" s="20">
        <f t="shared" si="21"/>
        <v>48000</v>
      </c>
      <c r="N653" s="20">
        <f>'Working Sheet'!$J653*'Working Sheet'!$K653</f>
        <v>420000</v>
      </c>
      <c r="O653" s="21">
        <f>'Working Sheet'!$M653*'Working Sheet'!$K653</f>
        <v>336000</v>
      </c>
      <c r="P653" s="20">
        <f>'Working Sheet'!$N653-'Working Sheet'!$O653</f>
        <v>84000</v>
      </c>
    </row>
    <row r="654" spans="1:16" ht="14.25" customHeight="1" x14ac:dyDescent="0.25">
      <c r="A654" s="23" t="str">
        <f t="shared" ca="1" si="20"/>
        <v>ID_1929</v>
      </c>
      <c r="B654" s="22">
        <v>45662</v>
      </c>
      <c r="C654" s="23" t="str">
        <f>TEXT('Working Sheet'!$B654,"mmm")</f>
        <v>Jan</v>
      </c>
      <c r="D654" s="23" t="s">
        <v>25</v>
      </c>
      <c r="E654" s="23" t="s">
        <v>26</v>
      </c>
      <c r="F654" s="23" t="s">
        <v>13</v>
      </c>
      <c r="G654" s="23" t="s">
        <v>14</v>
      </c>
      <c r="H654" s="23" t="s">
        <v>21</v>
      </c>
      <c r="I654" s="23" t="s">
        <v>22</v>
      </c>
      <c r="J654" s="24">
        <v>30000</v>
      </c>
      <c r="K654" s="23">
        <v>8</v>
      </c>
      <c r="L654" s="23" t="s">
        <v>28</v>
      </c>
      <c r="M654" s="25">
        <f t="shared" si="21"/>
        <v>24000</v>
      </c>
      <c r="N654" s="25">
        <f>'Working Sheet'!$J654*'Working Sheet'!$K654</f>
        <v>240000</v>
      </c>
      <c r="O654" s="26">
        <f>'Working Sheet'!$M654*'Working Sheet'!$K654</f>
        <v>192000</v>
      </c>
      <c r="P654" s="25">
        <f>'Working Sheet'!$N654-'Working Sheet'!$O654</f>
        <v>48000</v>
      </c>
    </row>
    <row r="655" spans="1:16" ht="14.25" customHeight="1" x14ac:dyDescent="0.25">
      <c r="A655" s="18" t="str">
        <f t="shared" ca="1" si="20"/>
        <v>ID_661</v>
      </c>
      <c r="B655" s="17">
        <v>45748</v>
      </c>
      <c r="C655" s="18" t="str">
        <f>TEXT('Working Sheet'!$B655,"mmm")</f>
        <v>Apr</v>
      </c>
      <c r="D655" s="18" t="s">
        <v>11</v>
      </c>
      <c r="E655" s="18" t="s">
        <v>19</v>
      </c>
      <c r="F655" s="18" t="s">
        <v>23</v>
      </c>
      <c r="G655" s="18" t="s">
        <v>14</v>
      </c>
      <c r="H655" s="18" t="s">
        <v>41</v>
      </c>
      <c r="I655" s="18" t="s">
        <v>22</v>
      </c>
      <c r="J655" s="19">
        <v>220000</v>
      </c>
      <c r="K655" s="18">
        <v>3</v>
      </c>
      <c r="L655" s="18" t="s">
        <v>35</v>
      </c>
      <c r="M655" s="20">
        <f t="shared" si="21"/>
        <v>176000</v>
      </c>
      <c r="N655" s="20">
        <f>'Working Sheet'!$J655*'Working Sheet'!$K655</f>
        <v>660000</v>
      </c>
      <c r="O655" s="21">
        <f>'Working Sheet'!$M655*'Working Sheet'!$K655</f>
        <v>528000</v>
      </c>
      <c r="P655" s="20">
        <f>'Working Sheet'!$N655-'Working Sheet'!$O655</f>
        <v>132000</v>
      </c>
    </row>
    <row r="656" spans="1:16" ht="14.25" customHeight="1" x14ac:dyDescent="0.25">
      <c r="A656" s="23" t="str">
        <f t="shared" ca="1" si="20"/>
        <v>ID_607</v>
      </c>
      <c r="B656" s="22">
        <v>45753</v>
      </c>
      <c r="C656" s="23" t="str">
        <f>TEXT('Working Sheet'!$B656,"mmm")</f>
        <v>Apr</v>
      </c>
      <c r="D656" s="23" t="s">
        <v>25</v>
      </c>
      <c r="E656" s="23" t="s">
        <v>19</v>
      </c>
      <c r="F656" s="23" t="s">
        <v>23</v>
      </c>
      <c r="G656" s="23" t="s">
        <v>14</v>
      </c>
      <c r="H656" s="23" t="s">
        <v>41</v>
      </c>
      <c r="I656" s="23" t="s">
        <v>22</v>
      </c>
      <c r="J656" s="24">
        <v>220000</v>
      </c>
      <c r="K656" s="23">
        <v>7</v>
      </c>
      <c r="L656" s="23" t="s">
        <v>35</v>
      </c>
      <c r="M656" s="25">
        <f t="shared" si="21"/>
        <v>176000</v>
      </c>
      <c r="N656" s="25">
        <f>'Working Sheet'!$J656*'Working Sheet'!$K656</f>
        <v>1540000</v>
      </c>
      <c r="O656" s="26">
        <f>'Working Sheet'!$M656*'Working Sheet'!$K656</f>
        <v>1232000</v>
      </c>
      <c r="P656" s="25">
        <f>'Working Sheet'!$N656-'Working Sheet'!$O656</f>
        <v>308000</v>
      </c>
    </row>
    <row r="657" spans="1:16" ht="14.25" customHeight="1" x14ac:dyDescent="0.25">
      <c r="A657" s="18" t="str">
        <f t="shared" ca="1" si="20"/>
        <v>ID_910</v>
      </c>
      <c r="B657" s="17">
        <v>45720</v>
      </c>
      <c r="C657" s="18" t="str">
        <f>TEXT('Working Sheet'!$B657,"mmm")</f>
        <v>Mar</v>
      </c>
      <c r="D657" s="18" t="s">
        <v>29</v>
      </c>
      <c r="E657" s="18" t="s">
        <v>12</v>
      </c>
      <c r="F657" s="18" t="s">
        <v>13</v>
      </c>
      <c r="G657" s="18" t="s">
        <v>20</v>
      </c>
      <c r="H657" s="18" t="s">
        <v>33</v>
      </c>
      <c r="I657" s="18" t="s">
        <v>22</v>
      </c>
      <c r="J657" s="19">
        <v>180000</v>
      </c>
      <c r="K657" s="18">
        <v>2</v>
      </c>
      <c r="L657" s="18" t="s">
        <v>24</v>
      </c>
      <c r="M657" s="20">
        <f t="shared" si="21"/>
        <v>144000</v>
      </c>
      <c r="N657" s="20">
        <f>'Working Sheet'!$J657*'Working Sheet'!$K657</f>
        <v>360000</v>
      </c>
      <c r="O657" s="21">
        <f>'Working Sheet'!$M657*'Working Sheet'!$K657</f>
        <v>288000</v>
      </c>
      <c r="P657" s="20">
        <f>'Working Sheet'!$N657-'Working Sheet'!$O657</f>
        <v>72000</v>
      </c>
    </row>
    <row r="658" spans="1:16" ht="14.25" customHeight="1" x14ac:dyDescent="0.25">
      <c r="A658" s="23" t="str">
        <f t="shared" ca="1" si="20"/>
        <v>ID_663</v>
      </c>
      <c r="B658" s="22">
        <v>45725</v>
      </c>
      <c r="C658" s="23" t="str">
        <f>TEXT('Working Sheet'!$B658,"mmm")</f>
        <v>Mar</v>
      </c>
      <c r="D658" s="23" t="s">
        <v>11</v>
      </c>
      <c r="E658" s="23" t="s">
        <v>26</v>
      </c>
      <c r="F658" s="23" t="s">
        <v>13</v>
      </c>
      <c r="G658" s="23" t="s">
        <v>20</v>
      </c>
      <c r="H658" s="23" t="s">
        <v>27</v>
      </c>
      <c r="I658" s="23" t="s">
        <v>22</v>
      </c>
      <c r="J658" s="24">
        <v>60000</v>
      </c>
      <c r="K658" s="23">
        <v>8</v>
      </c>
      <c r="L658" s="23" t="s">
        <v>37</v>
      </c>
      <c r="M658" s="25">
        <f t="shared" si="21"/>
        <v>48000</v>
      </c>
      <c r="N658" s="25">
        <f>'Working Sheet'!$J658*'Working Sheet'!$K658</f>
        <v>480000</v>
      </c>
      <c r="O658" s="26">
        <f>'Working Sheet'!$M658*'Working Sheet'!$K658</f>
        <v>384000</v>
      </c>
      <c r="P658" s="25">
        <f>'Working Sheet'!$N658-'Working Sheet'!$O658</f>
        <v>96000</v>
      </c>
    </row>
    <row r="659" spans="1:16" ht="14.25" customHeight="1" x14ac:dyDescent="0.25">
      <c r="A659" s="18" t="str">
        <f t="shared" ca="1" si="20"/>
        <v>ID_1776</v>
      </c>
      <c r="B659" s="17">
        <v>45658</v>
      </c>
      <c r="C659" s="18" t="str">
        <f>TEXT('Working Sheet'!$B659,"mmm")</f>
        <v>Jan</v>
      </c>
      <c r="D659" s="18" t="s">
        <v>29</v>
      </c>
      <c r="E659" s="18" t="s">
        <v>19</v>
      </c>
      <c r="F659" s="18" t="s">
        <v>13</v>
      </c>
      <c r="G659" s="18" t="s">
        <v>14</v>
      </c>
      <c r="H659" s="18" t="s">
        <v>21</v>
      </c>
      <c r="I659" s="18" t="s">
        <v>22</v>
      </c>
      <c r="J659" s="19">
        <v>30000</v>
      </c>
      <c r="K659" s="18">
        <v>2</v>
      </c>
      <c r="L659" s="18" t="s">
        <v>35</v>
      </c>
      <c r="M659" s="20">
        <f t="shared" si="21"/>
        <v>24000</v>
      </c>
      <c r="N659" s="20">
        <f>'Working Sheet'!$J659*'Working Sheet'!$K659</f>
        <v>60000</v>
      </c>
      <c r="O659" s="21">
        <f>'Working Sheet'!$M659*'Working Sheet'!$K659</f>
        <v>48000</v>
      </c>
      <c r="P659" s="20">
        <f>'Working Sheet'!$N659-'Working Sheet'!$O659</f>
        <v>12000</v>
      </c>
    </row>
    <row r="660" spans="1:16" ht="14.25" customHeight="1" x14ac:dyDescent="0.25">
      <c r="A660" s="23" t="str">
        <f t="shared" ca="1" si="20"/>
        <v>ID_36</v>
      </c>
      <c r="B660" s="22">
        <v>45683</v>
      </c>
      <c r="C660" s="23" t="str">
        <f>TEXT('Working Sheet'!$B660,"mmm")</f>
        <v>Jan</v>
      </c>
      <c r="D660" s="23" t="s">
        <v>29</v>
      </c>
      <c r="E660" s="23" t="s">
        <v>19</v>
      </c>
      <c r="F660" s="23" t="s">
        <v>23</v>
      </c>
      <c r="G660" s="23" t="s">
        <v>14</v>
      </c>
      <c r="H660" s="23" t="s">
        <v>36</v>
      </c>
      <c r="I660" s="23" t="s">
        <v>31</v>
      </c>
      <c r="J660" s="24">
        <v>150000</v>
      </c>
      <c r="K660" s="23">
        <v>5</v>
      </c>
      <c r="L660" s="23" t="s">
        <v>35</v>
      </c>
      <c r="M660" s="25">
        <f t="shared" si="21"/>
        <v>120000</v>
      </c>
      <c r="N660" s="25">
        <f>'Working Sheet'!$J660*'Working Sheet'!$K660</f>
        <v>750000</v>
      </c>
      <c r="O660" s="26">
        <f>'Working Sheet'!$M660*'Working Sheet'!$K660</f>
        <v>600000</v>
      </c>
      <c r="P660" s="25">
        <f>'Working Sheet'!$N660-'Working Sheet'!$O660</f>
        <v>150000</v>
      </c>
    </row>
    <row r="661" spans="1:16" ht="14.25" customHeight="1" x14ac:dyDescent="0.25">
      <c r="A661" s="18" t="str">
        <f t="shared" ca="1" si="20"/>
        <v>ID_302</v>
      </c>
      <c r="B661" s="17">
        <v>45736</v>
      </c>
      <c r="C661" s="18" t="str">
        <f>TEXT('Working Sheet'!$B661,"mmm")</f>
        <v>Mar</v>
      </c>
      <c r="D661" s="18" t="s">
        <v>11</v>
      </c>
      <c r="E661" s="18" t="s">
        <v>19</v>
      </c>
      <c r="F661" s="18" t="s">
        <v>23</v>
      </c>
      <c r="G661" s="18" t="s">
        <v>20</v>
      </c>
      <c r="H661" s="18" t="s">
        <v>40</v>
      </c>
      <c r="I661" s="18" t="s">
        <v>31</v>
      </c>
      <c r="J661" s="19">
        <v>250000</v>
      </c>
      <c r="K661" s="18">
        <v>5</v>
      </c>
      <c r="L661" s="18" t="s">
        <v>35</v>
      </c>
      <c r="M661" s="20">
        <f t="shared" si="21"/>
        <v>200000</v>
      </c>
      <c r="N661" s="20">
        <f>'Working Sheet'!$J661*'Working Sheet'!$K661</f>
        <v>1250000</v>
      </c>
      <c r="O661" s="21">
        <f>'Working Sheet'!$M661*'Working Sheet'!$K661</f>
        <v>1000000</v>
      </c>
      <c r="P661" s="20">
        <f>'Working Sheet'!$N661-'Working Sheet'!$O661</f>
        <v>250000</v>
      </c>
    </row>
    <row r="662" spans="1:16" ht="14.25" customHeight="1" x14ac:dyDescent="0.25">
      <c r="A662" s="23" t="str">
        <f t="shared" ca="1" si="20"/>
        <v>ID_688</v>
      </c>
      <c r="B662" s="22">
        <v>45715</v>
      </c>
      <c r="C662" s="23" t="str">
        <f>TEXT('Working Sheet'!$B662,"mmm")</f>
        <v>Feb</v>
      </c>
      <c r="D662" s="23" t="s">
        <v>25</v>
      </c>
      <c r="E662" s="23" t="s">
        <v>12</v>
      </c>
      <c r="F662" s="23" t="s">
        <v>23</v>
      </c>
      <c r="G662" s="23" t="s">
        <v>14</v>
      </c>
      <c r="H662" s="23" t="s">
        <v>15</v>
      </c>
      <c r="I662" s="23" t="s">
        <v>16</v>
      </c>
      <c r="J662" s="24">
        <v>85000</v>
      </c>
      <c r="K662" s="23">
        <v>4</v>
      </c>
      <c r="L662" s="23" t="s">
        <v>24</v>
      </c>
      <c r="M662" s="25">
        <f t="shared" si="21"/>
        <v>68000</v>
      </c>
      <c r="N662" s="25">
        <f>'Working Sheet'!$J662*'Working Sheet'!$K662</f>
        <v>340000</v>
      </c>
      <c r="O662" s="26">
        <f>'Working Sheet'!$M662*'Working Sheet'!$K662</f>
        <v>272000</v>
      </c>
      <c r="P662" s="25">
        <f>'Working Sheet'!$N662-'Working Sheet'!$O662</f>
        <v>68000</v>
      </c>
    </row>
    <row r="663" spans="1:16" ht="14.25" customHeight="1" x14ac:dyDescent="0.25">
      <c r="A663" s="18" t="str">
        <f t="shared" ca="1" si="20"/>
        <v>ID_1346</v>
      </c>
      <c r="B663" s="17">
        <v>45726</v>
      </c>
      <c r="C663" s="18" t="str">
        <f>TEXT('Working Sheet'!$B663,"mmm")</f>
        <v>Mar</v>
      </c>
      <c r="D663" s="18" t="s">
        <v>11</v>
      </c>
      <c r="E663" s="18" t="s">
        <v>26</v>
      </c>
      <c r="F663" s="18" t="s">
        <v>13</v>
      </c>
      <c r="G663" s="18" t="s">
        <v>20</v>
      </c>
      <c r="H663" s="18" t="s">
        <v>30</v>
      </c>
      <c r="I663" s="18" t="s">
        <v>31</v>
      </c>
      <c r="J663" s="19">
        <v>300000</v>
      </c>
      <c r="K663" s="18">
        <v>10</v>
      </c>
      <c r="L663" s="18" t="s">
        <v>24</v>
      </c>
      <c r="M663" s="20">
        <f t="shared" si="21"/>
        <v>240000</v>
      </c>
      <c r="N663" s="20">
        <f>'Working Sheet'!$J663*'Working Sheet'!$K663</f>
        <v>3000000</v>
      </c>
      <c r="O663" s="21">
        <f>'Working Sheet'!$M663*'Working Sheet'!$K663</f>
        <v>2400000</v>
      </c>
      <c r="P663" s="20">
        <f>'Working Sheet'!$N663-'Working Sheet'!$O663</f>
        <v>600000</v>
      </c>
    </row>
    <row r="664" spans="1:16" ht="14.25" customHeight="1" x14ac:dyDescent="0.25">
      <c r="A664" s="23" t="str">
        <f t="shared" ca="1" si="20"/>
        <v>ID_2053</v>
      </c>
      <c r="B664" s="22">
        <v>45727</v>
      </c>
      <c r="C664" s="23" t="str">
        <f>TEXT('Working Sheet'!$B664,"mmm")</f>
        <v>Mar</v>
      </c>
      <c r="D664" s="23" t="s">
        <v>25</v>
      </c>
      <c r="E664" s="23" t="s">
        <v>12</v>
      </c>
      <c r="F664" s="23" t="s">
        <v>23</v>
      </c>
      <c r="G664" s="23" t="s">
        <v>14</v>
      </c>
      <c r="H664" s="23" t="s">
        <v>40</v>
      </c>
      <c r="I664" s="23" t="s">
        <v>31</v>
      </c>
      <c r="J664" s="24">
        <v>250000</v>
      </c>
      <c r="K664" s="23">
        <v>8</v>
      </c>
      <c r="L664" s="23" t="s">
        <v>39</v>
      </c>
      <c r="M664" s="25">
        <f t="shared" si="21"/>
        <v>200000</v>
      </c>
      <c r="N664" s="25">
        <f>'Working Sheet'!$J664*'Working Sheet'!$K664</f>
        <v>2000000</v>
      </c>
      <c r="O664" s="26">
        <f>'Working Sheet'!$M664*'Working Sheet'!$K664</f>
        <v>1600000</v>
      </c>
      <c r="P664" s="25">
        <f>'Working Sheet'!$N664-'Working Sheet'!$O664</f>
        <v>400000</v>
      </c>
    </row>
    <row r="665" spans="1:16" ht="14.25" customHeight="1" x14ac:dyDescent="0.25">
      <c r="A665" s="18" t="str">
        <f t="shared" ca="1" si="20"/>
        <v>ID_991</v>
      </c>
      <c r="B665" s="17">
        <v>45769</v>
      </c>
      <c r="C665" s="18" t="str">
        <f>TEXT('Working Sheet'!$B665,"mmm")</f>
        <v>Apr</v>
      </c>
      <c r="D665" s="18" t="s">
        <v>11</v>
      </c>
      <c r="E665" s="18" t="s">
        <v>19</v>
      </c>
      <c r="F665" s="18" t="s">
        <v>13</v>
      </c>
      <c r="G665" s="18" t="s">
        <v>20</v>
      </c>
      <c r="H665" s="18" t="s">
        <v>34</v>
      </c>
      <c r="I665" s="18" t="s">
        <v>16</v>
      </c>
      <c r="J665" s="19">
        <v>320000</v>
      </c>
      <c r="K665" s="18">
        <v>4</v>
      </c>
      <c r="L665" s="18" t="s">
        <v>39</v>
      </c>
      <c r="M665" s="20">
        <f t="shared" si="21"/>
        <v>256000</v>
      </c>
      <c r="N665" s="20">
        <f>'Working Sheet'!$J665*'Working Sheet'!$K665</f>
        <v>1280000</v>
      </c>
      <c r="O665" s="21">
        <f>'Working Sheet'!$M665*'Working Sheet'!$K665</f>
        <v>1024000</v>
      </c>
      <c r="P665" s="20">
        <f>'Working Sheet'!$N665-'Working Sheet'!$O665</f>
        <v>256000</v>
      </c>
    </row>
    <row r="666" spans="1:16" ht="14.25" customHeight="1" x14ac:dyDescent="0.25">
      <c r="A666" s="23" t="str">
        <f t="shared" ca="1" si="20"/>
        <v>ID_130</v>
      </c>
      <c r="B666" s="22">
        <v>45748</v>
      </c>
      <c r="C666" s="23" t="str">
        <f>TEXT('Working Sheet'!$B666,"mmm")</f>
        <v>Apr</v>
      </c>
      <c r="D666" s="23" t="s">
        <v>29</v>
      </c>
      <c r="E666" s="23" t="s">
        <v>19</v>
      </c>
      <c r="F666" s="23" t="s">
        <v>23</v>
      </c>
      <c r="G666" s="23" t="s">
        <v>20</v>
      </c>
      <c r="H666" s="23" t="s">
        <v>21</v>
      </c>
      <c r="I666" s="23" t="s">
        <v>22</v>
      </c>
      <c r="J666" s="24">
        <v>30000</v>
      </c>
      <c r="K666" s="23">
        <v>10</v>
      </c>
      <c r="L666" s="23" t="s">
        <v>28</v>
      </c>
      <c r="M666" s="25">
        <f t="shared" si="21"/>
        <v>24000</v>
      </c>
      <c r="N666" s="25">
        <f>'Working Sheet'!$J666*'Working Sheet'!$K666</f>
        <v>300000</v>
      </c>
      <c r="O666" s="26">
        <f>'Working Sheet'!$M666*'Working Sheet'!$K666</f>
        <v>240000</v>
      </c>
      <c r="P666" s="25">
        <f>'Working Sheet'!$N666-'Working Sheet'!$O666</f>
        <v>60000</v>
      </c>
    </row>
    <row r="667" spans="1:16" ht="14.25" customHeight="1" x14ac:dyDescent="0.25">
      <c r="A667" s="18" t="str">
        <f t="shared" ca="1" si="20"/>
        <v>ID_491</v>
      </c>
      <c r="B667" s="17">
        <v>45763</v>
      </c>
      <c r="C667" s="18" t="str">
        <f>TEXT('Working Sheet'!$B667,"mmm")</f>
        <v>Apr</v>
      </c>
      <c r="D667" s="18" t="s">
        <v>29</v>
      </c>
      <c r="E667" s="18" t="s">
        <v>12</v>
      </c>
      <c r="F667" s="18" t="s">
        <v>23</v>
      </c>
      <c r="G667" s="18" t="s">
        <v>14</v>
      </c>
      <c r="H667" s="18" t="s">
        <v>40</v>
      </c>
      <c r="I667" s="18" t="s">
        <v>31</v>
      </c>
      <c r="J667" s="19">
        <v>250000</v>
      </c>
      <c r="K667" s="18">
        <v>4</v>
      </c>
      <c r="L667" s="18" t="s">
        <v>37</v>
      </c>
      <c r="M667" s="20">
        <f t="shared" si="21"/>
        <v>200000</v>
      </c>
      <c r="N667" s="20">
        <f>'Working Sheet'!$J667*'Working Sheet'!$K667</f>
        <v>1000000</v>
      </c>
      <c r="O667" s="21">
        <f>'Working Sheet'!$M667*'Working Sheet'!$K667</f>
        <v>800000</v>
      </c>
      <c r="P667" s="20">
        <f>'Working Sheet'!$N667-'Working Sheet'!$O667</f>
        <v>200000</v>
      </c>
    </row>
    <row r="668" spans="1:16" ht="14.25" customHeight="1" x14ac:dyDescent="0.25">
      <c r="A668" s="23" t="str">
        <f t="shared" ca="1" si="20"/>
        <v>ID_18</v>
      </c>
      <c r="B668" s="22">
        <v>45680</v>
      </c>
      <c r="C668" s="23" t="str">
        <f>TEXT('Working Sheet'!$B668,"mmm")</f>
        <v>Jan</v>
      </c>
      <c r="D668" s="23" t="s">
        <v>18</v>
      </c>
      <c r="E668" s="23" t="s">
        <v>12</v>
      </c>
      <c r="F668" s="23" t="s">
        <v>23</v>
      </c>
      <c r="G668" s="23" t="s">
        <v>14</v>
      </c>
      <c r="H668" s="23" t="s">
        <v>34</v>
      </c>
      <c r="I668" s="23" t="s">
        <v>16</v>
      </c>
      <c r="J668" s="24">
        <v>320000</v>
      </c>
      <c r="K668" s="23">
        <v>5</v>
      </c>
      <c r="L668" s="23" t="s">
        <v>28</v>
      </c>
      <c r="M668" s="25">
        <f t="shared" si="21"/>
        <v>256000</v>
      </c>
      <c r="N668" s="25">
        <f>'Working Sheet'!$J668*'Working Sheet'!$K668</f>
        <v>1600000</v>
      </c>
      <c r="O668" s="26">
        <f>'Working Sheet'!$M668*'Working Sheet'!$K668</f>
        <v>1280000</v>
      </c>
      <c r="P668" s="25">
        <f>'Working Sheet'!$N668-'Working Sheet'!$O668</f>
        <v>320000</v>
      </c>
    </row>
    <row r="669" spans="1:16" ht="14.25" customHeight="1" x14ac:dyDescent="0.25">
      <c r="A669" s="18" t="str">
        <f t="shared" ca="1" si="20"/>
        <v>ID_1912</v>
      </c>
      <c r="B669" s="17">
        <v>45733</v>
      </c>
      <c r="C669" s="18" t="str">
        <f>TEXT('Working Sheet'!$B669,"mmm")</f>
        <v>Mar</v>
      </c>
      <c r="D669" s="18" t="s">
        <v>18</v>
      </c>
      <c r="E669" s="18" t="s">
        <v>19</v>
      </c>
      <c r="F669" s="18" t="s">
        <v>13</v>
      </c>
      <c r="G669" s="18" t="s">
        <v>20</v>
      </c>
      <c r="H669" s="18" t="s">
        <v>34</v>
      </c>
      <c r="I669" s="18" t="s">
        <v>16</v>
      </c>
      <c r="J669" s="19">
        <v>320000</v>
      </c>
      <c r="K669" s="18">
        <v>9</v>
      </c>
      <c r="L669" s="18" t="s">
        <v>39</v>
      </c>
      <c r="M669" s="20">
        <f t="shared" si="21"/>
        <v>256000</v>
      </c>
      <c r="N669" s="20">
        <f>'Working Sheet'!$J669*'Working Sheet'!$K669</f>
        <v>2880000</v>
      </c>
      <c r="O669" s="21">
        <f>'Working Sheet'!$M669*'Working Sheet'!$K669</f>
        <v>2304000</v>
      </c>
      <c r="P669" s="20">
        <f>'Working Sheet'!$N669-'Working Sheet'!$O669</f>
        <v>576000</v>
      </c>
    </row>
    <row r="670" spans="1:16" ht="14.25" customHeight="1" x14ac:dyDescent="0.25">
      <c r="A670" s="23" t="str">
        <f t="shared" ca="1" si="20"/>
        <v>ID_1367</v>
      </c>
      <c r="B670" s="22">
        <v>45723</v>
      </c>
      <c r="C670" s="23" t="str">
        <f>TEXT('Working Sheet'!$B670,"mmm")</f>
        <v>Mar</v>
      </c>
      <c r="D670" s="23" t="s">
        <v>18</v>
      </c>
      <c r="E670" s="23" t="s">
        <v>19</v>
      </c>
      <c r="F670" s="23" t="s">
        <v>13</v>
      </c>
      <c r="G670" s="23" t="s">
        <v>14</v>
      </c>
      <c r="H670" s="23" t="s">
        <v>33</v>
      </c>
      <c r="I670" s="23" t="s">
        <v>22</v>
      </c>
      <c r="J670" s="24">
        <v>180000</v>
      </c>
      <c r="K670" s="23">
        <v>1</v>
      </c>
      <c r="L670" s="23" t="s">
        <v>37</v>
      </c>
      <c r="M670" s="25">
        <f t="shared" si="21"/>
        <v>144000</v>
      </c>
      <c r="N670" s="25">
        <f>'Working Sheet'!$J670*'Working Sheet'!$K670</f>
        <v>180000</v>
      </c>
      <c r="O670" s="26">
        <f>'Working Sheet'!$M670*'Working Sheet'!$K670</f>
        <v>144000</v>
      </c>
      <c r="P670" s="25">
        <f>'Working Sheet'!$N670-'Working Sheet'!$O670</f>
        <v>36000</v>
      </c>
    </row>
    <row r="671" spans="1:16" ht="14.25" customHeight="1" x14ac:dyDescent="0.25">
      <c r="A671" s="18" t="str">
        <f t="shared" ca="1" si="20"/>
        <v>ID_1814</v>
      </c>
      <c r="B671" s="17">
        <v>45765</v>
      </c>
      <c r="C671" s="18" t="str">
        <f>TEXT('Working Sheet'!$B671,"mmm")</f>
        <v>Apr</v>
      </c>
      <c r="D671" s="18" t="s">
        <v>25</v>
      </c>
      <c r="E671" s="18" t="s">
        <v>12</v>
      </c>
      <c r="F671" s="18" t="s">
        <v>13</v>
      </c>
      <c r="G671" s="18" t="s">
        <v>14</v>
      </c>
      <c r="H671" s="18" t="s">
        <v>21</v>
      </c>
      <c r="I671" s="18" t="s">
        <v>22</v>
      </c>
      <c r="J671" s="19">
        <v>30000</v>
      </c>
      <c r="K671" s="18">
        <v>7</v>
      </c>
      <c r="L671" s="18" t="s">
        <v>28</v>
      </c>
      <c r="M671" s="20">
        <f t="shared" si="21"/>
        <v>24000</v>
      </c>
      <c r="N671" s="20">
        <f>'Working Sheet'!$J671*'Working Sheet'!$K671</f>
        <v>210000</v>
      </c>
      <c r="O671" s="21">
        <f>'Working Sheet'!$M671*'Working Sheet'!$K671</f>
        <v>168000</v>
      </c>
      <c r="P671" s="20">
        <f>'Working Sheet'!$N671-'Working Sheet'!$O671</f>
        <v>42000</v>
      </c>
    </row>
    <row r="672" spans="1:16" ht="14.25" customHeight="1" x14ac:dyDescent="0.25">
      <c r="A672" s="23" t="str">
        <f t="shared" ca="1" si="20"/>
        <v>ID_605</v>
      </c>
      <c r="B672" s="22">
        <v>45776</v>
      </c>
      <c r="C672" s="23" t="str">
        <f>TEXT('Working Sheet'!$B672,"mmm")</f>
        <v>Apr</v>
      </c>
      <c r="D672" s="23" t="s">
        <v>29</v>
      </c>
      <c r="E672" s="23" t="s">
        <v>32</v>
      </c>
      <c r="F672" s="23" t="s">
        <v>23</v>
      </c>
      <c r="G672" s="23" t="s">
        <v>20</v>
      </c>
      <c r="H672" s="23" t="s">
        <v>41</v>
      </c>
      <c r="I672" s="23" t="s">
        <v>22</v>
      </c>
      <c r="J672" s="24">
        <v>220000</v>
      </c>
      <c r="K672" s="23">
        <v>5</v>
      </c>
      <c r="L672" s="23" t="s">
        <v>35</v>
      </c>
      <c r="M672" s="25">
        <f t="shared" si="21"/>
        <v>176000</v>
      </c>
      <c r="N672" s="25">
        <f>'Working Sheet'!$J672*'Working Sheet'!$K672</f>
        <v>1100000</v>
      </c>
      <c r="O672" s="26">
        <f>'Working Sheet'!$M672*'Working Sheet'!$K672</f>
        <v>880000</v>
      </c>
      <c r="P672" s="25">
        <f>'Working Sheet'!$N672-'Working Sheet'!$O672</f>
        <v>220000</v>
      </c>
    </row>
    <row r="673" spans="1:16" ht="14.25" customHeight="1" x14ac:dyDescent="0.25">
      <c r="A673" s="18" t="str">
        <f t="shared" ca="1" si="20"/>
        <v>ID_1685</v>
      </c>
      <c r="B673" s="17">
        <v>45714</v>
      </c>
      <c r="C673" s="18" t="str">
        <f>TEXT('Working Sheet'!$B673,"mmm")</f>
        <v>Feb</v>
      </c>
      <c r="D673" s="18" t="s">
        <v>29</v>
      </c>
      <c r="E673" s="18" t="s">
        <v>32</v>
      </c>
      <c r="F673" s="18" t="s">
        <v>23</v>
      </c>
      <c r="G673" s="18" t="s">
        <v>14</v>
      </c>
      <c r="H673" s="18" t="s">
        <v>33</v>
      </c>
      <c r="I673" s="18" t="s">
        <v>22</v>
      </c>
      <c r="J673" s="19">
        <v>180000</v>
      </c>
      <c r="K673" s="18">
        <v>4</v>
      </c>
      <c r="L673" s="18" t="s">
        <v>39</v>
      </c>
      <c r="M673" s="20">
        <f t="shared" si="21"/>
        <v>144000</v>
      </c>
      <c r="N673" s="20">
        <f>'Working Sheet'!$J673*'Working Sheet'!$K673</f>
        <v>720000</v>
      </c>
      <c r="O673" s="21">
        <f>'Working Sheet'!$M673*'Working Sheet'!$K673</f>
        <v>576000</v>
      </c>
      <c r="P673" s="20">
        <f>'Working Sheet'!$N673-'Working Sheet'!$O673</f>
        <v>144000</v>
      </c>
    </row>
    <row r="674" spans="1:16" ht="14.25" customHeight="1" x14ac:dyDescent="0.25">
      <c r="A674" s="23" t="str">
        <f t="shared" ca="1" si="20"/>
        <v>ID_1946</v>
      </c>
      <c r="B674" s="22">
        <v>45729</v>
      </c>
      <c r="C674" s="23" t="str">
        <f>TEXT('Working Sheet'!$B674,"mmm")</f>
        <v>Mar</v>
      </c>
      <c r="D674" s="23" t="s">
        <v>25</v>
      </c>
      <c r="E674" s="23" t="s">
        <v>12</v>
      </c>
      <c r="F674" s="23" t="s">
        <v>23</v>
      </c>
      <c r="G674" s="23" t="s">
        <v>14</v>
      </c>
      <c r="H674" s="23" t="s">
        <v>33</v>
      </c>
      <c r="I674" s="23" t="s">
        <v>22</v>
      </c>
      <c r="J674" s="24">
        <v>180000</v>
      </c>
      <c r="K674" s="23">
        <v>2</v>
      </c>
      <c r="L674" s="23" t="s">
        <v>28</v>
      </c>
      <c r="M674" s="25">
        <f t="shared" si="21"/>
        <v>144000</v>
      </c>
      <c r="N674" s="25">
        <f>'Working Sheet'!$J674*'Working Sheet'!$K674</f>
        <v>360000</v>
      </c>
      <c r="O674" s="26">
        <f>'Working Sheet'!$M674*'Working Sheet'!$K674</f>
        <v>288000</v>
      </c>
      <c r="P674" s="25">
        <f>'Working Sheet'!$N674-'Working Sheet'!$O674</f>
        <v>72000</v>
      </c>
    </row>
    <row r="675" spans="1:16" ht="14.25" customHeight="1" x14ac:dyDescent="0.25">
      <c r="A675" s="18" t="str">
        <f t="shared" ca="1" si="20"/>
        <v>ID_1647</v>
      </c>
      <c r="B675" s="17">
        <v>45700</v>
      </c>
      <c r="C675" s="18" t="str">
        <f>TEXT('Working Sheet'!$B675,"mmm")</f>
        <v>Feb</v>
      </c>
      <c r="D675" s="18" t="s">
        <v>11</v>
      </c>
      <c r="E675" s="18" t="s">
        <v>26</v>
      </c>
      <c r="F675" s="18" t="s">
        <v>23</v>
      </c>
      <c r="G675" s="18" t="s">
        <v>14</v>
      </c>
      <c r="H675" s="18" t="s">
        <v>41</v>
      </c>
      <c r="I675" s="18" t="s">
        <v>22</v>
      </c>
      <c r="J675" s="19">
        <v>220000</v>
      </c>
      <c r="K675" s="18">
        <v>2</v>
      </c>
      <c r="L675" s="18" t="s">
        <v>37</v>
      </c>
      <c r="M675" s="20">
        <f t="shared" si="21"/>
        <v>176000</v>
      </c>
      <c r="N675" s="20">
        <f>'Working Sheet'!$J675*'Working Sheet'!$K675</f>
        <v>440000</v>
      </c>
      <c r="O675" s="21">
        <f>'Working Sheet'!$M675*'Working Sheet'!$K675</f>
        <v>352000</v>
      </c>
      <c r="P675" s="20">
        <f>'Working Sheet'!$N675-'Working Sheet'!$O675</f>
        <v>88000</v>
      </c>
    </row>
    <row r="676" spans="1:16" ht="14.25" customHeight="1" x14ac:dyDescent="0.25">
      <c r="A676" s="23" t="str">
        <f t="shared" ca="1" si="20"/>
        <v>ID_1498</v>
      </c>
      <c r="B676" s="22">
        <v>45750</v>
      </c>
      <c r="C676" s="23" t="str">
        <f>TEXT('Working Sheet'!$B676,"mmm")</f>
        <v>Apr</v>
      </c>
      <c r="D676" s="23" t="s">
        <v>11</v>
      </c>
      <c r="E676" s="23" t="s">
        <v>19</v>
      </c>
      <c r="F676" s="23" t="s">
        <v>23</v>
      </c>
      <c r="G676" s="23" t="s">
        <v>20</v>
      </c>
      <c r="H676" s="23" t="s">
        <v>27</v>
      </c>
      <c r="I676" s="23" t="s">
        <v>22</v>
      </c>
      <c r="J676" s="24">
        <v>60000</v>
      </c>
      <c r="K676" s="23">
        <v>10</v>
      </c>
      <c r="L676" s="23" t="s">
        <v>37</v>
      </c>
      <c r="M676" s="25">
        <f t="shared" si="21"/>
        <v>48000</v>
      </c>
      <c r="N676" s="25">
        <f>'Working Sheet'!$J676*'Working Sheet'!$K676</f>
        <v>600000</v>
      </c>
      <c r="O676" s="26">
        <f>'Working Sheet'!$M676*'Working Sheet'!$K676</f>
        <v>480000</v>
      </c>
      <c r="P676" s="25">
        <f>'Working Sheet'!$N676-'Working Sheet'!$O676</f>
        <v>120000</v>
      </c>
    </row>
    <row r="677" spans="1:16" ht="14.25" customHeight="1" x14ac:dyDescent="0.25">
      <c r="A677" s="18" t="str">
        <f t="shared" ca="1" si="20"/>
        <v>ID_779</v>
      </c>
      <c r="B677" s="17">
        <v>45707</v>
      </c>
      <c r="C677" s="18" t="str">
        <f>TEXT('Working Sheet'!$B677,"mmm")</f>
        <v>Feb</v>
      </c>
      <c r="D677" s="18" t="s">
        <v>29</v>
      </c>
      <c r="E677" s="18" t="s">
        <v>12</v>
      </c>
      <c r="F677" s="18" t="s">
        <v>13</v>
      </c>
      <c r="G677" s="18" t="s">
        <v>20</v>
      </c>
      <c r="H677" s="18" t="s">
        <v>21</v>
      </c>
      <c r="I677" s="18" t="s">
        <v>22</v>
      </c>
      <c r="J677" s="19">
        <v>30000</v>
      </c>
      <c r="K677" s="18">
        <v>2</v>
      </c>
      <c r="L677" s="18" t="s">
        <v>39</v>
      </c>
      <c r="M677" s="20">
        <f t="shared" si="21"/>
        <v>24000</v>
      </c>
      <c r="N677" s="20">
        <f>'Working Sheet'!$J677*'Working Sheet'!$K677</f>
        <v>60000</v>
      </c>
      <c r="O677" s="21">
        <f>'Working Sheet'!$M677*'Working Sheet'!$K677</f>
        <v>48000</v>
      </c>
      <c r="P677" s="20">
        <f>'Working Sheet'!$N677-'Working Sheet'!$O677</f>
        <v>12000</v>
      </c>
    </row>
    <row r="678" spans="1:16" ht="14.25" customHeight="1" x14ac:dyDescent="0.25">
      <c r="A678" s="23" t="str">
        <f t="shared" ca="1" si="20"/>
        <v>ID_767</v>
      </c>
      <c r="B678" s="22">
        <v>45668</v>
      </c>
      <c r="C678" s="23" t="str">
        <f>TEXT('Working Sheet'!$B678,"mmm")</f>
        <v>Jan</v>
      </c>
      <c r="D678" s="23" t="s">
        <v>18</v>
      </c>
      <c r="E678" s="23" t="s">
        <v>19</v>
      </c>
      <c r="F678" s="23" t="s">
        <v>23</v>
      </c>
      <c r="G678" s="23" t="s">
        <v>14</v>
      </c>
      <c r="H678" s="23" t="s">
        <v>30</v>
      </c>
      <c r="I678" s="23" t="s">
        <v>31</v>
      </c>
      <c r="J678" s="24">
        <v>300000</v>
      </c>
      <c r="K678" s="23">
        <v>3</v>
      </c>
      <c r="L678" s="23" t="s">
        <v>24</v>
      </c>
      <c r="M678" s="25">
        <f t="shared" si="21"/>
        <v>240000</v>
      </c>
      <c r="N678" s="25">
        <f>'Working Sheet'!$J678*'Working Sheet'!$K678</f>
        <v>900000</v>
      </c>
      <c r="O678" s="26">
        <f>'Working Sheet'!$M678*'Working Sheet'!$K678</f>
        <v>720000</v>
      </c>
      <c r="P678" s="25">
        <f>'Working Sheet'!$N678-'Working Sheet'!$O678</f>
        <v>180000</v>
      </c>
    </row>
    <row r="679" spans="1:16" ht="14.25" customHeight="1" x14ac:dyDescent="0.25">
      <c r="A679" s="18" t="str">
        <f t="shared" ca="1" si="20"/>
        <v>ID_864</v>
      </c>
      <c r="B679" s="17">
        <v>45729</v>
      </c>
      <c r="C679" s="18" t="str">
        <f>TEXT('Working Sheet'!$B679,"mmm")</f>
        <v>Mar</v>
      </c>
      <c r="D679" s="18" t="s">
        <v>25</v>
      </c>
      <c r="E679" s="18" t="s">
        <v>26</v>
      </c>
      <c r="F679" s="18" t="s">
        <v>13</v>
      </c>
      <c r="G679" s="18" t="s">
        <v>20</v>
      </c>
      <c r="H679" s="18" t="s">
        <v>21</v>
      </c>
      <c r="I679" s="18" t="s">
        <v>22</v>
      </c>
      <c r="J679" s="19">
        <v>30000</v>
      </c>
      <c r="K679" s="18">
        <v>8</v>
      </c>
      <c r="L679" s="18" t="s">
        <v>17</v>
      </c>
      <c r="M679" s="20">
        <f t="shared" si="21"/>
        <v>24000</v>
      </c>
      <c r="N679" s="20">
        <f>'Working Sheet'!$J679*'Working Sheet'!$K679</f>
        <v>240000</v>
      </c>
      <c r="O679" s="21">
        <f>'Working Sheet'!$M679*'Working Sheet'!$K679</f>
        <v>192000</v>
      </c>
      <c r="P679" s="20">
        <f>'Working Sheet'!$N679-'Working Sheet'!$O679</f>
        <v>48000</v>
      </c>
    </row>
    <row r="680" spans="1:16" ht="14.25" customHeight="1" x14ac:dyDescent="0.25">
      <c r="A680" s="23" t="str">
        <f t="shared" ca="1" si="20"/>
        <v>ID_2033</v>
      </c>
      <c r="B680" s="22">
        <v>45719</v>
      </c>
      <c r="C680" s="23" t="str">
        <f>TEXT('Working Sheet'!$B680,"mmm")</f>
        <v>Mar</v>
      </c>
      <c r="D680" s="23" t="s">
        <v>29</v>
      </c>
      <c r="E680" s="23" t="s">
        <v>12</v>
      </c>
      <c r="F680" s="23" t="s">
        <v>13</v>
      </c>
      <c r="G680" s="23" t="s">
        <v>14</v>
      </c>
      <c r="H680" s="23" t="s">
        <v>30</v>
      </c>
      <c r="I680" s="23" t="s">
        <v>31</v>
      </c>
      <c r="J680" s="24">
        <v>300000</v>
      </c>
      <c r="K680" s="23">
        <v>7</v>
      </c>
      <c r="L680" s="23" t="s">
        <v>17</v>
      </c>
      <c r="M680" s="25">
        <f t="shared" si="21"/>
        <v>240000</v>
      </c>
      <c r="N680" s="25">
        <f>'Working Sheet'!$J680*'Working Sheet'!$K680</f>
        <v>2100000</v>
      </c>
      <c r="O680" s="26">
        <f>'Working Sheet'!$M680*'Working Sheet'!$K680</f>
        <v>1680000</v>
      </c>
      <c r="P680" s="25">
        <f>'Working Sheet'!$N680-'Working Sheet'!$O680</f>
        <v>420000</v>
      </c>
    </row>
    <row r="681" spans="1:16" ht="14.25" customHeight="1" x14ac:dyDescent="0.25">
      <c r="A681" s="18" t="str">
        <f t="shared" ca="1" si="20"/>
        <v>ID_290</v>
      </c>
      <c r="B681" s="17">
        <v>45752</v>
      </c>
      <c r="C681" s="18" t="str">
        <f>TEXT('Working Sheet'!$B681,"mmm")</f>
        <v>Apr</v>
      </c>
      <c r="D681" s="18" t="s">
        <v>18</v>
      </c>
      <c r="E681" s="18" t="s">
        <v>12</v>
      </c>
      <c r="F681" s="18" t="s">
        <v>13</v>
      </c>
      <c r="G681" s="18" t="s">
        <v>14</v>
      </c>
      <c r="H681" s="18" t="s">
        <v>21</v>
      </c>
      <c r="I681" s="18" t="s">
        <v>22</v>
      </c>
      <c r="J681" s="19">
        <v>30000</v>
      </c>
      <c r="K681" s="18">
        <v>2</v>
      </c>
      <c r="L681" s="18" t="s">
        <v>35</v>
      </c>
      <c r="M681" s="20">
        <f t="shared" si="21"/>
        <v>24000</v>
      </c>
      <c r="N681" s="20">
        <f>'Working Sheet'!$J681*'Working Sheet'!$K681</f>
        <v>60000</v>
      </c>
      <c r="O681" s="21">
        <f>'Working Sheet'!$M681*'Working Sheet'!$K681</f>
        <v>48000</v>
      </c>
      <c r="P681" s="20">
        <f>'Working Sheet'!$N681-'Working Sheet'!$O681</f>
        <v>12000</v>
      </c>
    </row>
    <row r="682" spans="1:16" ht="14.25" customHeight="1" x14ac:dyDescent="0.25">
      <c r="A682" s="23" t="str">
        <f t="shared" ca="1" si="20"/>
        <v>ID_1332</v>
      </c>
      <c r="B682" s="22">
        <v>45723</v>
      </c>
      <c r="C682" s="23" t="str">
        <f>TEXT('Working Sheet'!$B682,"mmm")</f>
        <v>Mar</v>
      </c>
      <c r="D682" s="23" t="s">
        <v>18</v>
      </c>
      <c r="E682" s="23" t="s">
        <v>12</v>
      </c>
      <c r="F682" s="23" t="s">
        <v>23</v>
      </c>
      <c r="G682" s="23" t="s">
        <v>20</v>
      </c>
      <c r="H682" s="23" t="s">
        <v>41</v>
      </c>
      <c r="I682" s="23" t="s">
        <v>22</v>
      </c>
      <c r="J682" s="24">
        <v>220000</v>
      </c>
      <c r="K682" s="23">
        <v>8</v>
      </c>
      <c r="L682" s="23" t="s">
        <v>28</v>
      </c>
      <c r="M682" s="25">
        <f t="shared" si="21"/>
        <v>176000</v>
      </c>
      <c r="N682" s="25">
        <f>'Working Sheet'!$J682*'Working Sheet'!$K682</f>
        <v>1760000</v>
      </c>
      <c r="O682" s="26">
        <f>'Working Sheet'!$M682*'Working Sheet'!$K682</f>
        <v>1408000</v>
      </c>
      <c r="P682" s="25">
        <f>'Working Sheet'!$N682-'Working Sheet'!$O682</f>
        <v>352000</v>
      </c>
    </row>
    <row r="683" spans="1:16" ht="14.25" customHeight="1" x14ac:dyDescent="0.25">
      <c r="A683" s="18" t="str">
        <f t="shared" ca="1" si="20"/>
        <v>ID_1577</v>
      </c>
      <c r="B683" s="17">
        <v>45767</v>
      </c>
      <c r="C683" s="18" t="str">
        <f>TEXT('Working Sheet'!$B683,"mmm")</f>
        <v>Apr</v>
      </c>
      <c r="D683" s="18" t="s">
        <v>11</v>
      </c>
      <c r="E683" s="18" t="s">
        <v>26</v>
      </c>
      <c r="F683" s="18" t="s">
        <v>13</v>
      </c>
      <c r="G683" s="18" t="s">
        <v>14</v>
      </c>
      <c r="H683" s="18" t="s">
        <v>27</v>
      </c>
      <c r="I683" s="18" t="s">
        <v>22</v>
      </c>
      <c r="J683" s="19">
        <v>60000</v>
      </c>
      <c r="K683" s="18">
        <v>1</v>
      </c>
      <c r="L683" s="18" t="s">
        <v>17</v>
      </c>
      <c r="M683" s="20">
        <f t="shared" si="21"/>
        <v>48000</v>
      </c>
      <c r="N683" s="20">
        <f>'Working Sheet'!$J683*'Working Sheet'!$K683</f>
        <v>60000</v>
      </c>
      <c r="O683" s="21">
        <f>'Working Sheet'!$M683*'Working Sheet'!$K683</f>
        <v>48000</v>
      </c>
      <c r="P683" s="20">
        <f>'Working Sheet'!$N683-'Working Sheet'!$O683</f>
        <v>12000</v>
      </c>
    </row>
    <row r="684" spans="1:16" ht="14.25" customHeight="1" x14ac:dyDescent="0.25">
      <c r="A684" s="23" t="str">
        <f t="shared" ca="1" si="20"/>
        <v>ID_1062</v>
      </c>
      <c r="B684" s="22">
        <v>45717</v>
      </c>
      <c r="C684" s="23" t="str">
        <f>TEXT('Working Sheet'!$B684,"mmm")</f>
        <v>Mar</v>
      </c>
      <c r="D684" s="23" t="s">
        <v>25</v>
      </c>
      <c r="E684" s="23" t="s">
        <v>26</v>
      </c>
      <c r="F684" s="23" t="s">
        <v>23</v>
      </c>
      <c r="G684" s="23" t="s">
        <v>14</v>
      </c>
      <c r="H684" s="23" t="s">
        <v>15</v>
      </c>
      <c r="I684" s="23" t="s">
        <v>16</v>
      </c>
      <c r="J684" s="24">
        <v>85000</v>
      </c>
      <c r="K684" s="23">
        <v>9</v>
      </c>
      <c r="L684" s="23" t="s">
        <v>37</v>
      </c>
      <c r="M684" s="25">
        <f t="shared" si="21"/>
        <v>68000</v>
      </c>
      <c r="N684" s="25">
        <f>'Working Sheet'!$J684*'Working Sheet'!$K684</f>
        <v>765000</v>
      </c>
      <c r="O684" s="26">
        <f>'Working Sheet'!$M684*'Working Sheet'!$K684</f>
        <v>612000</v>
      </c>
      <c r="P684" s="25">
        <f>'Working Sheet'!$N684-'Working Sheet'!$O684</f>
        <v>153000</v>
      </c>
    </row>
    <row r="685" spans="1:16" ht="14.25" customHeight="1" x14ac:dyDescent="0.25">
      <c r="A685" s="18" t="str">
        <f t="shared" ca="1" si="20"/>
        <v>ID_377</v>
      </c>
      <c r="B685" s="17">
        <v>45714</v>
      </c>
      <c r="C685" s="18" t="str">
        <f>TEXT('Working Sheet'!$B685,"mmm")</f>
        <v>Feb</v>
      </c>
      <c r="D685" s="18" t="s">
        <v>18</v>
      </c>
      <c r="E685" s="18" t="s">
        <v>19</v>
      </c>
      <c r="F685" s="18" t="s">
        <v>13</v>
      </c>
      <c r="G685" s="18" t="s">
        <v>20</v>
      </c>
      <c r="H685" s="18" t="s">
        <v>15</v>
      </c>
      <c r="I685" s="18" t="s">
        <v>16</v>
      </c>
      <c r="J685" s="19">
        <v>85000</v>
      </c>
      <c r="K685" s="18">
        <v>4</v>
      </c>
      <c r="L685" s="18" t="s">
        <v>35</v>
      </c>
      <c r="M685" s="20">
        <f t="shared" si="21"/>
        <v>68000</v>
      </c>
      <c r="N685" s="20">
        <f>'Working Sheet'!$J685*'Working Sheet'!$K685</f>
        <v>340000</v>
      </c>
      <c r="O685" s="21">
        <f>'Working Sheet'!$M685*'Working Sheet'!$K685</f>
        <v>272000</v>
      </c>
      <c r="P685" s="20">
        <f>'Working Sheet'!$N685-'Working Sheet'!$O685</f>
        <v>68000</v>
      </c>
    </row>
    <row r="686" spans="1:16" ht="14.25" customHeight="1" x14ac:dyDescent="0.25">
      <c r="A686" s="23" t="str">
        <f t="shared" ca="1" si="20"/>
        <v>ID_6</v>
      </c>
      <c r="B686" s="22">
        <v>45688</v>
      </c>
      <c r="C686" s="23" t="str">
        <f>TEXT('Working Sheet'!$B686,"mmm")</f>
        <v>Jan</v>
      </c>
      <c r="D686" s="23" t="s">
        <v>18</v>
      </c>
      <c r="E686" s="23" t="s">
        <v>32</v>
      </c>
      <c r="F686" s="23" t="s">
        <v>23</v>
      </c>
      <c r="G686" s="23" t="s">
        <v>20</v>
      </c>
      <c r="H686" s="23" t="s">
        <v>33</v>
      </c>
      <c r="I686" s="23" t="s">
        <v>22</v>
      </c>
      <c r="J686" s="24">
        <v>180000</v>
      </c>
      <c r="K686" s="23">
        <v>6</v>
      </c>
      <c r="L686" s="23" t="s">
        <v>17</v>
      </c>
      <c r="M686" s="25">
        <f t="shared" si="21"/>
        <v>144000</v>
      </c>
      <c r="N686" s="25">
        <f>'Working Sheet'!$J686*'Working Sheet'!$K686</f>
        <v>1080000</v>
      </c>
      <c r="O686" s="26">
        <f>'Working Sheet'!$M686*'Working Sheet'!$K686</f>
        <v>864000</v>
      </c>
      <c r="P686" s="25">
        <f>'Working Sheet'!$N686-'Working Sheet'!$O686</f>
        <v>216000</v>
      </c>
    </row>
    <row r="687" spans="1:16" ht="14.25" customHeight="1" x14ac:dyDescent="0.25">
      <c r="A687" s="18" t="str">
        <f t="shared" ca="1" si="20"/>
        <v>ID_656</v>
      </c>
      <c r="B687" s="17">
        <v>45746</v>
      </c>
      <c r="C687" s="18" t="str">
        <f>TEXT('Working Sheet'!$B687,"mmm")</f>
        <v>Mar</v>
      </c>
      <c r="D687" s="18" t="s">
        <v>11</v>
      </c>
      <c r="E687" s="18" t="s">
        <v>32</v>
      </c>
      <c r="F687" s="18" t="s">
        <v>13</v>
      </c>
      <c r="G687" s="18" t="s">
        <v>14</v>
      </c>
      <c r="H687" s="18" t="s">
        <v>33</v>
      </c>
      <c r="I687" s="18" t="s">
        <v>22</v>
      </c>
      <c r="J687" s="19">
        <v>180000</v>
      </c>
      <c r="K687" s="18">
        <v>2</v>
      </c>
      <c r="L687" s="18" t="s">
        <v>39</v>
      </c>
      <c r="M687" s="20">
        <f t="shared" si="21"/>
        <v>144000</v>
      </c>
      <c r="N687" s="20">
        <f>'Working Sheet'!$J687*'Working Sheet'!$K687</f>
        <v>360000</v>
      </c>
      <c r="O687" s="21">
        <f>'Working Sheet'!$M687*'Working Sheet'!$K687</f>
        <v>288000</v>
      </c>
      <c r="P687" s="20">
        <f>'Working Sheet'!$N687-'Working Sheet'!$O687</f>
        <v>72000</v>
      </c>
    </row>
    <row r="688" spans="1:16" ht="14.25" customHeight="1" x14ac:dyDescent="0.25">
      <c r="A688" s="23" t="str">
        <f t="shared" ca="1" si="20"/>
        <v>ID_1249</v>
      </c>
      <c r="B688" s="22">
        <v>45664</v>
      </c>
      <c r="C688" s="23" t="str">
        <f>TEXT('Working Sheet'!$B688,"mmm")</f>
        <v>Jan</v>
      </c>
      <c r="D688" s="23" t="s">
        <v>29</v>
      </c>
      <c r="E688" s="23" t="s">
        <v>12</v>
      </c>
      <c r="F688" s="23" t="s">
        <v>13</v>
      </c>
      <c r="G688" s="23" t="s">
        <v>14</v>
      </c>
      <c r="H688" s="23" t="s">
        <v>27</v>
      </c>
      <c r="I688" s="23" t="s">
        <v>22</v>
      </c>
      <c r="J688" s="24">
        <v>60000</v>
      </c>
      <c r="K688" s="23">
        <v>8</v>
      </c>
      <c r="L688" s="23" t="s">
        <v>28</v>
      </c>
      <c r="M688" s="25">
        <f t="shared" si="21"/>
        <v>48000</v>
      </c>
      <c r="N688" s="25">
        <f>'Working Sheet'!$J688*'Working Sheet'!$K688</f>
        <v>480000</v>
      </c>
      <c r="O688" s="26">
        <f>'Working Sheet'!$M688*'Working Sheet'!$K688</f>
        <v>384000</v>
      </c>
      <c r="P688" s="25">
        <f>'Working Sheet'!$N688-'Working Sheet'!$O688</f>
        <v>96000</v>
      </c>
    </row>
    <row r="689" spans="1:16" ht="14.25" customHeight="1" x14ac:dyDescent="0.25">
      <c r="A689" s="18" t="str">
        <f t="shared" ca="1" si="20"/>
        <v>ID_60</v>
      </c>
      <c r="B689" s="17">
        <v>45658</v>
      </c>
      <c r="C689" s="18" t="str">
        <f>TEXT('Working Sheet'!$B689,"mmm")</f>
        <v>Jan</v>
      </c>
      <c r="D689" s="18" t="s">
        <v>29</v>
      </c>
      <c r="E689" s="18" t="s">
        <v>32</v>
      </c>
      <c r="F689" s="18" t="s">
        <v>13</v>
      </c>
      <c r="G689" s="18" t="s">
        <v>14</v>
      </c>
      <c r="H689" s="18" t="s">
        <v>34</v>
      </c>
      <c r="I689" s="18" t="s">
        <v>16</v>
      </c>
      <c r="J689" s="19">
        <v>320000</v>
      </c>
      <c r="K689" s="18">
        <v>4</v>
      </c>
      <c r="L689" s="18" t="s">
        <v>35</v>
      </c>
      <c r="M689" s="20">
        <f t="shared" si="21"/>
        <v>256000</v>
      </c>
      <c r="N689" s="20">
        <f>'Working Sheet'!$J689*'Working Sheet'!$K689</f>
        <v>1280000</v>
      </c>
      <c r="O689" s="21">
        <f>'Working Sheet'!$M689*'Working Sheet'!$K689</f>
        <v>1024000</v>
      </c>
      <c r="P689" s="20">
        <f>'Working Sheet'!$N689-'Working Sheet'!$O689</f>
        <v>256000</v>
      </c>
    </row>
    <row r="690" spans="1:16" ht="14.25" customHeight="1" x14ac:dyDescent="0.25">
      <c r="A690" s="23" t="str">
        <f t="shared" ca="1" si="20"/>
        <v>ID_989</v>
      </c>
      <c r="B690" s="22">
        <v>45749</v>
      </c>
      <c r="C690" s="23" t="str">
        <f>TEXT('Working Sheet'!$B690,"mmm")</f>
        <v>Apr</v>
      </c>
      <c r="D690" s="23" t="s">
        <v>18</v>
      </c>
      <c r="E690" s="23" t="s">
        <v>19</v>
      </c>
      <c r="F690" s="23" t="s">
        <v>23</v>
      </c>
      <c r="G690" s="23" t="s">
        <v>14</v>
      </c>
      <c r="H690" s="23" t="s">
        <v>33</v>
      </c>
      <c r="I690" s="23" t="s">
        <v>22</v>
      </c>
      <c r="J690" s="24">
        <v>180000</v>
      </c>
      <c r="K690" s="23">
        <v>3</v>
      </c>
      <c r="L690" s="23" t="s">
        <v>24</v>
      </c>
      <c r="M690" s="25">
        <f t="shared" si="21"/>
        <v>144000</v>
      </c>
      <c r="N690" s="25">
        <f>'Working Sheet'!$J690*'Working Sheet'!$K690</f>
        <v>540000</v>
      </c>
      <c r="O690" s="26">
        <f>'Working Sheet'!$M690*'Working Sheet'!$K690</f>
        <v>432000</v>
      </c>
      <c r="P690" s="25">
        <f>'Working Sheet'!$N690-'Working Sheet'!$O690</f>
        <v>108000</v>
      </c>
    </row>
    <row r="691" spans="1:16" ht="14.25" customHeight="1" x14ac:dyDescent="0.25">
      <c r="A691" s="18" t="str">
        <f t="shared" ca="1" si="20"/>
        <v>ID_919</v>
      </c>
      <c r="B691" s="17">
        <v>45736</v>
      </c>
      <c r="C691" s="18" t="str">
        <f>TEXT('Working Sheet'!$B691,"mmm")</f>
        <v>Mar</v>
      </c>
      <c r="D691" s="18" t="s">
        <v>18</v>
      </c>
      <c r="E691" s="18" t="s">
        <v>12</v>
      </c>
      <c r="F691" s="18" t="s">
        <v>13</v>
      </c>
      <c r="G691" s="18" t="s">
        <v>20</v>
      </c>
      <c r="H691" s="18" t="s">
        <v>36</v>
      </c>
      <c r="I691" s="18" t="s">
        <v>31</v>
      </c>
      <c r="J691" s="19">
        <v>150000</v>
      </c>
      <c r="K691" s="18">
        <v>9</v>
      </c>
      <c r="L691" s="18" t="s">
        <v>28</v>
      </c>
      <c r="M691" s="20">
        <f t="shared" si="21"/>
        <v>120000</v>
      </c>
      <c r="N691" s="20">
        <f>'Working Sheet'!$J691*'Working Sheet'!$K691</f>
        <v>1350000</v>
      </c>
      <c r="O691" s="21">
        <f>'Working Sheet'!$M691*'Working Sheet'!$K691</f>
        <v>1080000</v>
      </c>
      <c r="P691" s="20">
        <f>'Working Sheet'!$N691-'Working Sheet'!$O691</f>
        <v>270000</v>
      </c>
    </row>
    <row r="692" spans="1:16" ht="14.25" customHeight="1" x14ac:dyDescent="0.25">
      <c r="A692" s="23" t="str">
        <f t="shared" ca="1" si="20"/>
        <v>ID_859</v>
      </c>
      <c r="B692" s="22">
        <v>45764</v>
      </c>
      <c r="C692" s="23" t="str">
        <f>TEXT('Working Sheet'!$B692,"mmm")</f>
        <v>Apr</v>
      </c>
      <c r="D692" s="23" t="s">
        <v>18</v>
      </c>
      <c r="E692" s="23" t="s">
        <v>19</v>
      </c>
      <c r="F692" s="23" t="s">
        <v>23</v>
      </c>
      <c r="G692" s="23" t="s">
        <v>20</v>
      </c>
      <c r="H692" s="23" t="s">
        <v>15</v>
      </c>
      <c r="I692" s="23" t="s">
        <v>16</v>
      </c>
      <c r="J692" s="24">
        <v>85000</v>
      </c>
      <c r="K692" s="23">
        <v>4</v>
      </c>
      <c r="L692" s="23" t="s">
        <v>17</v>
      </c>
      <c r="M692" s="25">
        <f t="shared" si="21"/>
        <v>68000</v>
      </c>
      <c r="N692" s="25">
        <f>'Working Sheet'!$J692*'Working Sheet'!$K692</f>
        <v>340000</v>
      </c>
      <c r="O692" s="26">
        <f>'Working Sheet'!$M692*'Working Sheet'!$K692</f>
        <v>272000</v>
      </c>
      <c r="P692" s="25">
        <f>'Working Sheet'!$N692-'Working Sheet'!$O692</f>
        <v>68000</v>
      </c>
    </row>
    <row r="693" spans="1:16" ht="14.25" customHeight="1" x14ac:dyDescent="0.25">
      <c r="A693" s="18" t="str">
        <f t="shared" ca="1" si="20"/>
        <v>ID_383</v>
      </c>
      <c r="B693" s="17">
        <v>45750</v>
      </c>
      <c r="C693" s="18" t="str">
        <f>TEXT('Working Sheet'!$B693,"mmm")</f>
        <v>Apr</v>
      </c>
      <c r="D693" s="18" t="s">
        <v>25</v>
      </c>
      <c r="E693" s="18" t="s">
        <v>26</v>
      </c>
      <c r="F693" s="18" t="s">
        <v>13</v>
      </c>
      <c r="G693" s="18" t="s">
        <v>14</v>
      </c>
      <c r="H693" s="18" t="s">
        <v>41</v>
      </c>
      <c r="I693" s="18" t="s">
        <v>22</v>
      </c>
      <c r="J693" s="19">
        <v>220000</v>
      </c>
      <c r="K693" s="18">
        <v>4</v>
      </c>
      <c r="L693" s="18" t="s">
        <v>17</v>
      </c>
      <c r="M693" s="20">
        <f t="shared" si="21"/>
        <v>176000</v>
      </c>
      <c r="N693" s="20">
        <f>'Working Sheet'!$J693*'Working Sheet'!$K693</f>
        <v>880000</v>
      </c>
      <c r="O693" s="21">
        <f>'Working Sheet'!$M693*'Working Sheet'!$K693</f>
        <v>704000</v>
      </c>
      <c r="P693" s="20">
        <f>'Working Sheet'!$N693-'Working Sheet'!$O693</f>
        <v>176000</v>
      </c>
    </row>
    <row r="694" spans="1:16" ht="14.25" customHeight="1" x14ac:dyDescent="0.25">
      <c r="A694" s="23" t="str">
        <f t="shared" ca="1" si="20"/>
        <v>ID_1966</v>
      </c>
      <c r="B694" s="22">
        <v>45706</v>
      </c>
      <c r="C694" s="23" t="str">
        <f>TEXT('Working Sheet'!$B694,"mmm")</f>
        <v>Feb</v>
      </c>
      <c r="D694" s="23" t="s">
        <v>29</v>
      </c>
      <c r="E694" s="23" t="s">
        <v>12</v>
      </c>
      <c r="F694" s="23" t="s">
        <v>13</v>
      </c>
      <c r="G694" s="23" t="s">
        <v>14</v>
      </c>
      <c r="H694" s="23" t="s">
        <v>21</v>
      </c>
      <c r="I694" s="23" t="s">
        <v>22</v>
      </c>
      <c r="J694" s="24">
        <v>30000</v>
      </c>
      <c r="K694" s="23">
        <v>8</v>
      </c>
      <c r="L694" s="23" t="s">
        <v>37</v>
      </c>
      <c r="M694" s="25">
        <f t="shared" si="21"/>
        <v>24000</v>
      </c>
      <c r="N694" s="25">
        <f>'Working Sheet'!$J694*'Working Sheet'!$K694</f>
        <v>240000</v>
      </c>
      <c r="O694" s="26">
        <f>'Working Sheet'!$M694*'Working Sheet'!$K694</f>
        <v>192000</v>
      </c>
      <c r="P694" s="25">
        <f>'Working Sheet'!$N694-'Working Sheet'!$O694</f>
        <v>48000</v>
      </c>
    </row>
    <row r="695" spans="1:16" ht="14.25" customHeight="1" x14ac:dyDescent="0.25">
      <c r="A695" s="18" t="str">
        <f t="shared" ca="1" si="20"/>
        <v>ID_615</v>
      </c>
      <c r="B695" s="17">
        <v>45668</v>
      </c>
      <c r="C695" s="18" t="str">
        <f>TEXT('Working Sheet'!$B695,"mmm")</f>
        <v>Jan</v>
      </c>
      <c r="D695" s="18" t="s">
        <v>25</v>
      </c>
      <c r="E695" s="18" t="s">
        <v>12</v>
      </c>
      <c r="F695" s="18" t="s">
        <v>13</v>
      </c>
      <c r="G695" s="18" t="s">
        <v>14</v>
      </c>
      <c r="H695" s="18" t="s">
        <v>15</v>
      </c>
      <c r="I695" s="18" t="s">
        <v>16</v>
      </c>
      <c r="J695" s="19">
        <v>85000</v>
      </c>
      <c r="K695" s="18">
        <v>4</v>
      </c>
      <c r="L695" s="18" t="s">
        <v>17</v>
      </c>
      <c r="M695" s="20">
        <f t="shared" si="21"/>
        <v>68000</v>
      </c>
      <c r="N695" s="20">
        <f>'Working Sheet'!$J695*'Working Sheet'!$K695</f>
        <v>340000</v>
      </c>
      <c r="O695" s="21">
        <f>'Working Sheet'!$M695*'Working Sheet'!$K695</f>
        <v>272000</v>
      </c>
      <c r="P695" s="20">
        <f>'Working Sheet'!$N695-'Working Sheet'!$O695</f>
        <v>68000</v>
      </c>
    </row>
    <row r="696" spans="1:16" ht="14.25" customHeight="1" x14ac:dyDescent="0.25">
      <c r="A696" s="23" t="str">
        <f t="shared" ca="1" si="20"/>
        <v>ID_1180</v>
      </c>
      <c r="B696" s="22">
        <v>45692</v>
      </c>
      <c r="C696" s="23" t="str">
        <f>TEXT('Working Sheet'!$B696,"mmm")</f>
        <v>Feb</v>
      </c>
      <c r="D696" s="23" t="s">
        <v>29</v>
      </c>
      <c r="E696" s="23" t="s">
        <v>12</v>
      </c>
      <c r="F696" s="23" t="s">
        <v>13</v>
      </c>
      <c r="G696" s="23" t="s">
        <v>14</v>
      </c>
      <c r="H696" s="23" t="s">
        <v>30</v>
      </c>
      <c r="I696" s="23" t="s">
        <v>31</v>
      </c>
      <c r="J696" s="24">
        <v>300000</v>
      </c>
      <c r="K696" s="23">
        <v>2</v>
      </c>
      <c r="L696" s="23" t="s">
        <v>28</v>
      </c>
      <c r="M696" s="25">
        <f t="shared" si="21"/>
        <v>240000</v>
      </c>
      <c r="N696" s="25">
        <f>'Working Sheet'!$J696*'Working Sheet'!$K696</f>
        <v>600000</v>
      </c>
      <c r="O696" s="26">
        <f>'Working Sheet'!$M696*'Working Sheet'!$K696</f>
        <v>480000</v>
      </c>
      <c r="P696" s="25">
        <f>'Working Sheet'!$N696-'Working Sheet'!$O696</f>
        <v>120000</v>
      </c>
    </row>
    <row r="697" spans="1:16" ht="14.25" customHeight="1" x14ac:dyDescent="0.25">
      <c r="A697" s="18" t="str">
        <f t="shared" ca="1" si="20"/>
        <v>ID_163</v>
      </c>
      <c r="B697" s="17">
        <v>45738</v>
      </c>
      <c r="C697" s="18" t="str">
        <f>TEXT('Working Sheet'!$B697,"mmm")</f>
        <v>Mar</v>
      </c>
      <c r="D697" s="18" t="s">
        <v>11</v>
      </c>
      <c r="E697" s="18" t="s">
        <v>26</v>
      </c>
      <c r="F697" s="18" t="s">
        <v>23</v>
      </c>
      <c r="G697" s="18" t="s">
        <v>20</v>
      </c>
      <c r="H697" s="18" t="s">
        <v>15</v>
      </c>
      <c r="I697" s="18" t="s">
        <v>16</v>
      </c>
      <c r="J697" s="19">
        <v>85000</v>
      </c>
      <c r="K697" s="18">
        <v>2</v>
      </c>
      <c r="L697" s="18" t="s">
        <v>37</v>
      </c>
      <c r="M697" s="20">
        <f t="shared" si="21"/>
        <v>68000</v>
      </c>
      <c r="N697" s="20">
        <f>'Working Sheet'!$J697*'Working Sheet'!$K697</f>
        <v>170000</v>
      </c>
      <c r="O697" s="21">
        <f>'Working Sheet'!$M697*'Working Sheet'!$K697</f>
        <v>136000</v>
      </c>
      <c r="P697" s="20">
        <f>'Working Sheet'!$N697-'Working Sheet'!$O697</f>
        <v>34000</v>
      </c>
    </row>
    <row r="698" spans="1:16" ht="14.25" customHeight="1" x14ac:dyDescent="0.25">
      <c r="A698" s="23" t="str">
        <f t="shared" ca="1" si="20"/>
        <v>ID_503</v>
      </c>
      <c r="B698" s="22">
        <v>45772</v>
      </c>
      <c r="C698" s="23" t="str">
        <f>TEXT('Working Sheet'!$B698,"mmm")</f>
        <v>Apr</v>
      </c>
      <c r="D698" s="23" t="s">
        <v>11</v>
      </c>
      <c r="E698" s="23" t="s">
        <v>12</v>
      </c>
      <c r="F698" s="23" t="s">
        <v>23</v>
      </c>
      <c r="G698" s="23" t="s">
        <v>14</v>
      </c>
      <c r="H698" s="23" t="s">
        <v>38</v>
      </c>
      <c r="I698" s="23" t="s">
        <v>31</v>
      </c>
      <c r="J698" s="24">
        <v>420000</v>
      </c>
      <c r="K698" s="23">
        <v>5</v>
      </c>
      <c r="L698" s="23" t="s">
        <v>17</v>
      </c>
      <c r="M698" s="25">
        <f t="shared" si="21"/>
        <v>336000</v>
      </c>
      <c r="N698" s="25">
        <f>'Working Sheet'!$J698*'Working Sheet'!$K698</f>
        <v>2100000</v>
      </c>
      <c r="O698" s="26">
        <f>'Working Sheet'!$M698*'Working Sheet'!$K698</f>
        <v>1680000</v>
      </c>
      <c r="P698" s="25">
        <f>'Working Sheet'!$N698-'Working Sheet'!$O698</f>
        <v>420000</v>
      </c>
    </row>
    <row r="699" spans="1:16" ht="14.25" customHeight="1" x14ac:dyDescent="0.25">
      <c r="A699" s="18" t="str">
        <f t="shared" ca="1" si="20"/>
        <v>ID_497</v>
      </c>
      <c r="B699" s="17">
        <v>45754</v>
      </c>
      <c r="C699" s="18" t="str">
        <f>TEXT('Working Sheet'!$B699,"mmm")</f>
        <v>Apr</v>
      </c>
      <c r="D699" s="18" t="s">
        <v>25</v>
      </c>
      <c r="E699" s="18" t="s">
        <v>26</v>
      </c>
      <c r="F699" s="18" t="s">
        <v>23</v>
      </c>
      <c r="G699" s="18" t="s">
        <v>14</v>
      </c>
      <c r="H699" s="18" t="s">
        <v>30</v>
      </c>
      <c r="I699" s="18" t="s">
        <v>31</v>
      </c>
      <c r="J699" s="19">
        <v>300000</v>
      </c>
      <c r="K699" s="18">
        <v>8</v>
      </c>
      <c r="L699" s="18" t="s">
        <v>24</v>
      </c>
      <c r="M699" s="20">
        <f t="shared" si="21"/>
        <v>240000</v>
      </c>
      <c r="N699" s="20">
        <f>'Working Sheet'!$J699*'Working Sheet'!$K699</f>
        <v>2400000</v>
      </c>
      <c r="O699" s="21">
        <f>'Working Sheet'!$M699*'Working Sheet'!$K699</f>
        <v>1920000</v>
      </c>
      <c r="P699" s="20">
        <f>'Working Sheet'!$N699-'Working Sheet'!$O699</f>
        <v>480000</v>
      </c>
    </row>
    <row r="700" spans="1:16" ht="14.25" customHeight="1" x14ac:dyDescent="0.25">
      <c r="A700" s="23" t="str">
        <f t="shared" ca="1" si="20"/>
        <v>ID_797</v>
      </c>
      <c r="B700" s="22">
        <v>45750</v>
      </c>
      <c r="C700" s="23" t="str">
        <f>TEXT('Working Sheet'!$B700,"mmm")</f>
        <v>Apr</v>
      </c>
      <c r="D700" s="23" t="s">
        <v>11</v>
      </c>
      <c r="E700" s="23" t="s">
        <v>19</v>
      </c>
      <c r="F700" s="23" t="s">
        <v>23</v>
      </c>
      <c r="G700" s="23" t="s">
        <v>20</v>
      </c>
      <c r="H700" s="23" t="s">
        <v>27</v>
      </c>
      <c r="I700" s="23" t="s">
        <v>22</v>
      </c>
      <c r="J700" s="24">
        <v>60000</v>
      </c>
      <c r="K700" s="23">
        <v>1</v>
      </c>
      <c r="L700" s="23" t="s">
        <v>17</v>
      </c>
      <c r="M700" s="25">
        <f t="shared" si="21"/>
        <v>48000</v>
      </c>
      <c r="N700" s="25">
        <f>'Working Sheet'!$J700*'Working Sheet'!$K700</f>
        <v>60000</v>
      </c>
      <c r="O700" s="26">
        <f>'Working Sheet'!$M700*'Working Sheet'!$K700</f>
        <v>48000</v>
      </c>
      <c r="P700" s="25">
        <f>'Working Sheet'!$N700-'Working Sheet'!$O700</f>
        <v>12000</v>
      </c>
    </row>
    <row r="701" spans="1:16" ht="14.25" customHeight="1" x14ac:dyDescent="0.25">
      <c r="A701" s="18" t="str">
        <f t="shared" ca="1" si="20"/>
        <v>ID_2092</v>
      </c>
      <c r="B701" s="17">
        <v>45715</v>
      </c>
      <c r="C701" s="18" t="str">
        <f>TEXT('Working Sheet'!$B701,"mmm")</f>
        <v>Feb</v>
      </c>
      <c r="D701" s="18" t="s">
        <v>11</v>
      </c>
      <c r="E701" s="18" t="s">
        <v>26</v>
      </c>
      <c r="F701" s="18" t="s">
        <v>13</v>
      </c>
      <c r="G701" s="18" t="s">
        <v>14</v>
      </c>
      <c r="H701" s="18" t="s">
        <v>40</v>
      </c>
      <c r="I701" s="18" t="s">
        <v>31</v>
      </c>
      <c r="J701" s="19">
        <v>250000</v>
      </c>
      <c r="K701" s="18">
        <v>8</v>
      </c>
      <c r="L701" s="18" t="s">
        <v>17</v>
      </c>
      <c r="M701" s="20">
        <f t="shared" si="21"/>
        <v>200000</v>
      </c>
      <c r="N701" s="20">
        <f>'Working Sheet'!$J701*'Working Sheet'!$K701</f>
        <v>2000000</v>
      </c>
      <c r="O701" s="21">
        <f>'Working Sheet'!$M701*'Working Sheet'!$K701</f>
        <v>1600000</v>
      </c>
      <c r="P701" s="20">
        <f>'Working Sheet'!$N701-'Working Sheet'!$O701</f>
        <v>400000</v>
      </c>
    </row>
    <row r="702" spans="1:16" ht="14.25" customHeight="1" x14ac:dyDescent="0.25">
      <c r="A702" s="23" t="str">
        <f t="shared" ca="1" si="20"/>
        <v>ID_1558</v>
      </c>
      <c r="B702" s="22">
        <v>45761</v>
      </c>
      <c r="C702" s="23" t="str">
        <f>TEXT('Working Sheet'!$B702,"mmm")</f>
        <v>Apr</v>
      </c>
      <c r="D702" s="23" t="s">
        <v>11</v>
      </c>
      <c r="E702" s="23" t="s">
        <v>19</v>
      </c>
      <c r="F702" s="23" t="s">
        <v>23</v>
      </c>
      <c r="G702" s="23" t="s">
        <v>14</v>
      </c>
      <c r="H702" s="23" t="s">
        <v>30</v>
      </c>
      <c r="I702" s="23" t="s">
        <v>31</v>
      </c>
      <c r="J702" s="24">
        <v>300000</v>
      </c>
      <c r="K702" s="23">
        <v>4</v>
      </c>
      <c r="L702" s="23" t="s">
        <v>17</v>
      </c>
      <c r="M702" s="25">
        <f t="shared" si="21"/>
        <v>240000</v>
      </c>
      <c r="N702" s="25">
        <f>'Working Sheet'!$J702*'Working Sheet'!$K702</f>
        <v>1200000</v>
      </c>
      <c r="O702" s="26">
        <f>'Working Sheet'!$M702*'Working Sheet'!$K702</f>
        <v>960000</v>
      </c>
      <c r="P702" s="25">
        <f>'Working Sheet'!$N702-'Working Sheet'!$O702</f>
        <v>240000</v>
      </c>
    </row>
    <row r="703" spans="1:16" ht="14.25" customHeight="1" x14ac:dyDescent="0.25">
      <c r="A703" s="18" t="str">
        <f t="shared" ca="1" si="20"/>
        <v>ID_657</v>
      </c>
      <c r="B703" s="17">
        <v>45689</v>
      </c>
      <c r="C703" s="18" t="str">
        <f>TEXT('Working Sheet'!$B703,"mmm")</f>
        <v>Feb</v>
      </c>
      <c r="D703" s="18" t="s">
        <v>18</v>
      </c>
      <c r="E703" s="18" t="s">
        <v>26</v>
      </c>
      <c r="F703" s="18" t="s">
        <v>23</v>
      </c>
      <c r="G703" s="18" t="s">
        <v>14</v>
      </c>
      <c r="H703" s="18" t="s">
        <v>30</v>
      </c>
      <c r="I703" s="18" t="s">
        <v>31</v>
      </c>
      <c r="J703" s="19">
        <v>300000</v>
      </c>
      <c r="K703" s="18">
        <v>10</v>
      </c>
      <c r="L703" s="18" t="s">
        <v>37</v>
      </c>
      <c r="M703" s="20">
        <f t="shared" si="21"/>
        <v>240000</v>
      </c>
      <c r="N703" s="20">
        <f>'Working Sheet'!$J703*'Working Sheet'!$K703</f>
        <v>3000000</v>
      </c>
      <c r="O703" s="21">
        <f>'Working Sheet'!$M703*'Working Sheet'!$K703</f>
        <v>2400000</v>
      </c>
      <c r="P703" s="20">
        <f>'Working Sheet'!$N703-'Working Sheet'!$O703</f>
        <v>600000</v>
      </c>
    </row>
    <row r="704" spans="1:16" ht="14.25" customHeight="1" x14ac:dyDescent="0.25">
      <c r="A704" s="23" t="str">
        <f t="shared" ca="1" si="20"/>
        <v>ID_352</v>
      </c>
      <c r="B704" s="22">
        <v>45664</v>
      </c>
      <c r="C704" s="23" t="str">
        <f>TEXT('Working Sheet'!$B704,"mmm")</f>
        <v>Jan</v>
      </c>
      <c r="D704" s="23" t="s">
        <v>25</v>
      </c>
      <c r="E704" s="23" t="s">
        <v>19</v>
      </c>
      <c r="F704" s="23" t="s">
        <v>13</v>
      </c>
      <c r="G704" s="23" t="s">
        <v>14</v>
      </c>
      <c r="H704" s="23" t="s">
        <v>30</v>
      </c>
      <c r="I704" s="23" t="s">
        <v>31</v>
      </c>
      <c r="J704" s="24">
        <v>300000</v>
      </c>
      <c r="K704" s="23">
        <v>2</v>
      </c>
      <c r="L704" s="23" t="s">
        <v>39</v>
      </c>
      <c r="M704" s="25">
        <f t="shared" si="21"/>
        <v>240000</v>
      </c>
      <c r="N704" s="25">
        <f>'Working Sheet'!$J704*'Working Sheet'!$K704</f>
        <v>600000</v>
      </c>
      <c r="O704" s="26">
        <f>'Working Sheet'!$M704*'Working Sheet'!$K704</f>
        <v>480000</v>
      </c>
      <c r="P704" s="25">
        <f>'Working Sheet'!$N704-'Working Sheet'!$O704</f>
        <v>120000</v>
      </c>
    </row>
    <row r="705" spans="1:16" ht="14.25" customHeight="1" x14ac:dyDescent="0.25">
      <c r="A705" s="18" t="str">
        <f t="shared" ca="1" si="20"/>
        <v>ID_1718</v>
      </c>
      <c r="B705" s="17">
        <v>45716</v>
      </c>
      <c r="C705" s="18" t="str">
        <f>TEXT('Working Sheet'!$B705,"mmm")</f>
        <v>Feb</v>
      </c>
      <c r="D705" s="18" t="s">
        <v>11</v>
      </c>
      <c r="E705" s="18" t="s">
        <v>32</v>
      </c>
      <c r="F705" s="18" t="s">
        <v>13</v>
      </c>
      <c r="G705" s="18" t="s">
        <v>20</v>
      </c>
      <c r="H705" s="18" t="s">
        <v>15</v>
      </c>
      <c r="I705" s="18" t="s">
        <v>16</v>
      </c>
      <c r="J705" s="19">
        <v>85000</v>
      </c>
      <c r="K705" s="18">
        <v>2</v>
      </c>
      <c r="L705" s="18" t="s">
        <v>35</v>
      </c>
      <c r="M705" s="20">
        <f t="shared" si="21"/>
        <v>68000</v>
      </c>
      <c r="N705" s="20">
        <f>'Working Sheet'!$J705*'Working Sheet'!$K705</f>
        <v>170000</v>
      </c>
      <c r="O705" s="21">
        <f>'Working Sheet'!$M705*'Working Sheet'!$K705</f>
        <v>136000</v>
      </c>
      <c r="P705" s="20">
        <f>'Working Sheet'!$N705-'Working Sheet'!$O705</f>
        <v>34000</v>
      </c>
    </row>
    <row r="706" spans="1:16" ht="14.25" customHeight="1" x14ac:dyDescent="0.25">
      <c r="A706" s="23" t="str">
        <f t="shared" ref="A706:A769" ca="1" si="22">"ID_"&amp; RANDBETWEEN(1,2098)</f>
        <v>ID_1266</v>
      </c>
      <c r="B706" s="22">
        <v>45753</v>
      </c>
      <c r="C706" s="23" t="str">
        <f>TEXT('Working Sheet'!$B706,"mmm")</f>
        <v>Apr</v>
      </c>
      <c r="D706" s="23" t="s">
        <v>29</v>
      </c>
      <c r="E706" s="23" t="s">
        <v>19</v>
      </c>
      <c r="F706" s="23" t="s">
        <v>13</v>
      </c>
      <c r="G706" s="23" t="s">
        <v>14</v>
      </c>
      <c r="H706" s="23" t="s">
        <v>34</v>
      </c>
      <c r="I706" s="23" t="s">
        <v>16</v>
      </c>
      <c r="J706" s="24">
        <v>320000</v>
      </c>
      <c r="K706" s="23">
        <v>3</v>
      </c>
      <c r="L706" s="23" t="s">
        <v>28</v>
      </c>
      <c r="M706" s="25">
        <f t="shared" ref="M706:M769" si="23">J706-J706*0.2</f>
        <v>256000</v>
      </c>
      <c r="N706" s="25">
        <f>'Working Sheet'!$J706*'Working Sheet'!$K706</f>
        <v>960000</v>
      </c>
      <c r="O706" s="26">
        <f>'Working Sheet'!$M706*'Working Sheet'!$K706</f>
        <v>768000</v>
      </c>
      <c r="P706" s="25">
        <f>'Working Sheet'!$N706-'Working Sheet'!$O706</f>
        <v>192000</v>
      </c>
    </row>
    <row r="707" spans="1:16" ht="14.25" customHeight="1" x14ac:dyDescent="0.25">
      <c r="A707" s="18" t="str">
        <f t="shared" ca="1" si="22"/>
        <v>ID_254</v>
      </c>
      <c r="B707" s="17">
        <v>45712</v>
      </c>
      <c r="C707" s="18" t="str">
        <f>TEXT('Working Sheet'!$B707,"mmm")</f>
        <v>Feb</v>
      </c>
      <c r="D707" s="18" t="s">
        <v>11</v>
      </c>
      <c r="E707" s="18" t="s">
        <v>26</v>
      </c>
      <c r="F707" s="18" t="s">
        <v>13</v>
      </c>
      <c r="G707" s="18" t="s">
        <v>20</v>
      </c>
      <c r="H707" s="18" t="s">
        <v>36</v>
      </c>
      <c r="I707" s="18" t="s">
        <v>31</v>
      </c>
      <c r="J707" s="19">
        <v>150000</v>
      </c>
      <c r="K707" s="18">
        <v>4</v>
      </c>
      <c r="L707" s="18" t="s">
        <v>17</v>
      </c>
      <c r="M707" s="20">
        <f t="shared" si="23"/>
        <v>120000</v>
      </c>
      <c r="N707" s="20">
        <f>'Working Sheet'!$J707*'Working Sheet'!$K707</f>
        <v>600000</v>
      </c>
      <c r="O707" s="21">
        <f>'Working Sheet'!$M707*'Working Sheet'!$K707</f>
        <v>480000</v>
      </c>
      <c r="P707" s="20">
        <f>'Working Sheet'!$N707-'Working Sheet'!$O707</f>
        <v>120000</v>
      </c>
    </row>
    <row r="708" spans="1:16" ht="14.25" customHeight="1" x14ac:dyDescent="0.25">
      <c r="A708" s="23" t="str">
        <f t="shared" ca="1" si="22"/>
        <v>ID_204</v>
      </c>
      <c r="B708" s="22">
        <v>45675</v>
      </c>
      <c r="C708" s="23" t="str">
        <f>TEXT('Working Sheet'!$B708,"mmm")</f>
        <v>Jan</v>
      </c>
      <c r="D708" s="23" t="s">
        <v>11</v>
      </c>
      <c r="E708" s="23" t="s">
        <v>26</v>
      </c>
      <c r="F708" s="23" t="s">
        <v>23</v>
      </c>
      <c r="G708" s="23" t="s">
        <v>20</v>
      </c>
      <c r="H708" s="23" t="s">
        <v>27</v>
      </c>
      <c r="I708" s="23" t="s">
        <v>22</v>
      </c>
      <c r="J708" s="24">
        <v>60000</v>
      </c>
      <c r="K708" s="23">
        <v>8</v>
      </c>
      <c r="L708" s="23" t="s">
        <v>28</v>
      </c>
      <c r="M708" s="25">
        <f t="shared" si="23"/>
        <v>48000</v>
      </c>
      <c r="N708" s="25">
        <f>'Working Sheet'!$J708*'Working Sheet'!$K708</f>
        <v>480000</v>
      </c>
      <c r="O708" s="26">
        <f>'Working Sheet'!$M708*'Working Sheet'!$K708</f>
        <v>384000</v>
      </c>
      <c r="P708" s="25">
        <f>'Working Sheet'!$N708-'Working Sheet'!$O708</f>
        <v>96000</v>
      </c>
    </row>
    <row r="709" spans="1:16" ht="14.25" customHeight="1" x14ac:dyDescent="0.25">
      <c r="A709" s="18" t="str">
        <f t="shared" ca="1" si="22"/>
        <v>ID_232</v>
      </c>
      <c r="B709" s="17">
        <v>45746</v>
      </c>
      <c r="C709" s="18" t="str">
        <f>TEXT('Working Sheet'!$B709,"mmm")</f>
        <v>Mar</v>
      </c>
      <c r="D709" s="18" t="s">
        <v>29</v>
      </c>
      <c r="E709" s="18" t="s">
        <v>12</v>
      </c>
      <c r="F709" s="18" t="s">
        <v>23</v>
      </c>
      <c r="G709" s="18" t="s">
        <v>20</v>
      </c>
      <c r="H709" s="18" t="s">
        <v>15</v>
      </c>
      <c r="I709" s="18" t="s">
        <v>16</v>
      </c>
      <c r="J709" s="19">
        <v>85000</v>
      </c>
      <c r="K709" s="18">
        <v>2</v>
      </c>
      <c r="L709" s="18" t="s">
        <v>17</v>
      </c>
      <c r="M709" s="20">
        <f t="shared" si="23"/>
        <v>68000</v>
      </c>
      <c r="N709" s="20">
        <f>'Working Sheet'!$J709*'Working Sheet'!$K709</f>
        <v>170000</v>
      </c>
      <c r="O709" s="21">
        <f>'Working Sheet'!$M709*'Working Sheet'!$K709</f>
        <v>136000</v>
      </c>
      <c r="P709" s="20">
        <f>'Working Sheet'!$N709-'Working Sheet'!$O709</f>
        <v>34000</v>
      </c>
    </row>
    <row r="710" spans="1:16" ht="14.25" customHeight="1" x14ac:dyDescent="0.25">
      <c r="A710" s="23" t="str">
        <f t="shared" ca="1" si="22"/>
        <v>ID_1705</v>
      </c>
      <c r="B710" s="22">
        <v>45776</v>
      </c>
      <c r="C710" s="23" t="str">
        <f>TEXT('Working Sheet'!$B710,"mmm")</f>
        <v>Apr</v>
      </c>
      <c r="D710" s="23" t="s">
        <v>29</v>
      </c>
      <c r="E710" s="23" t="s">
        <v>19</v>
      </c>
      <c r="F710" s="23" t="s">
        <v>23</v>
      </c>
      <c r="G710" s="23" t="s">
        <v>20</v>
      </c>
      <c r="H710" s="23" t="s">
        <v>30</v>
      </c>
      <c r="I710" s="23" t="s">
        <v>31</v>
      </c>
      <c r="J710" s="24">
        <v>300000</v>
      </c>
      <c r="K710" s="23">
        <v>8</v>
      </c>
      <c r="L710" s="23" t="s">
        <v>24</v>
      </c>
      <c r="M710" s="25">
        <f t="shared" si="23"/>
        <v>240000</v>
      </c>
      <c r="N710" s="25">
        <f>'Working Sheet'!$J710*'Working Sheet'!$K710</f>
        <v>2400000</v>
      </c>
      <c r="O710" s="26">
        <f>'Working Sheet'!$M710*'Working Sheet'!$K710</f>
        <v>1920000</v>
      </c>
      <c r="P710" s="25">
        <f>'Working Sheet'!$N710-'Working Sheet'!$O710</f>
        <v>480000</v>
      </c>
    </row>
    <row r="711" spans="1:16" ht="14.25" customHeight="1" x14ac:dyDescent="0.25">
      <c r="A711" s="18" t="str">
        <f t="shared" ca="1" si="22"/>
        <v>ID_1335</v>
      </c>
      <c r="B711" s="17">
        <v>45775</v>
      </c>
      <c r="C711" s="18" t="str">
        <f>TEXT('Working Sheet'!$B711,"mmm")</f>
        <v>Apr</v>
      </c>
      <c r="D711" s="18" t="s">
        <v>29</v>
      </c>
      <c r="E711" s="18" t="s">
        <v>12</v>
      </c>
      <c r="F711" s="18" t="s">
        <v>13</v>
      </c>
      <c r="G711" s="18" t="s">
        <v>14</v>
      </c>
      <c r="H711" s="18" t="s">
        <v>34</v>
      </c>
      <c r="I711" s="18" t="s">
        <v>16</v>
      </c>
      <c r="J711" s="19">
        <v>320000</v>
      </c>
      <c r="K711" s="18">
        <v>5</v>
      </c>
      <c r="L711" s="18" t="s">
        <v>37</v>
      </c>
      <c r="M711" s="20">
        <f t="shared" si="23"/>
        <v>256000</v>
      </c>
      <c r="N711" s="20">
        <f>'Working Sheet'!$J711*'Working Sheet'!$K711</f>
        <v>1600000</v>
      </c>
      <c r="O711" s="21">
        <f>'Working Sheet'!$M711*'Working Sheet'!$K711</f>
        <v>1280000</v>
      </c>
      <c r="P711" s="20">
        <f>'Working Sheet'!$N711-'Working Sheet'!$O711</f>
        <v>320000</v>
      </c>
    </row>
    <row r="712" spans="1:16" ht="14.25" customHeight="1" x14ac:dyDescent="0.25">
      <c r="A712" s="23" t="str">
        <f t="shared" ca="1" si="22"/>
        <v>ID_114</v>
      </c>
      <c r="B712" s="22">
        <v>45664</v>
      </c>
      <c r="C712" s="23" t="str">
        <f>TEXT('Working Sheet'!$B712,"mmm")</f>
        <v>Jan</v>
      </c>
      <c r="D712" s="23" t="s">
        <v>11</v>
      </c>
      <c r="E712" s="23" t="s">
        <v>19</v>
      </c>
      <c r="F712" s="23" t="s">
        <v>23</v>
      </c>
      <c r="G712" s="23" t="s">
        <v>20</v>
      </c>
      <c r="H712" s="23" t="s">
        <v>21</v>
      </c>
      <c r="I712" s="23" t="s">
        <v>22</v>
      </c>
      <c r="J712" s="24">
        <v>30000</v>
      </c>
      <c r="K712" s="23">
        <v>3</v>
      </c>
      <c r="L712" s="23" t="s">
        <v>24</v>
      </c>
      <c r="M712" s="25">
        <f t="shared" si="23"/>
        <v>24000</v>
      </c>
      <c r="N712" s="25">
        <f>'Working Sheet'!$J712*'Working Sheet'!$K712</f>
        <v>90000</v>
      </c>
      <c r="O712" s="26">
        <f>'Working Sheet'!$M712*'Working Sheet'!$K712</f>
        <v>72000</v>
      </c>
      <c r="P712" s="25">
        <f>'Working Sheet'!$N712-'Working Sheet'!$O712</f>
        <v>18000</v>
      </c>
    </row>
    <row r="713" spans="1:16" ht="14.25" customHeight="1" x14ac:dyDescent="0.25">
      <c r="A713" s="18" t="str">
        <f t="shared" ca="1" si="22"/>
        <v>ID_1661</v>
      </c>
      <c r="B713" s="17">
        <v>45778</v>
      </c>
      <c r="C713" s="18" t="str">
        <f>TEXT('Working Sheet'!$B713,"mmm")</f>
        <v>May</v>
      </c>
      <c r="D713" s="18" t="s">
        <v>25</v>
      </c>
      <c r="E713" s="18" t="s">
        <v>12</v>
      </c>
      <c r="F713" s="18" t="s">
        <v>13</v>
      </c>
      <c r="G713" s="18" t="s">
        <v>20</v>
      </c>
      <c r="H713" s="18" t="s">
        <v>21</v>
      </c>
      <c r="I713" s="18" t="s">
        <v>22</v>
      </c>
      <c r="J713" s="19">
        <v>30000</v>
      </c>
      <c r="K713" s="18">
        <v>1</v>
      </c>
      <c r="L713" s="18" t="s">
        <v>24</v>
      </c>
      <c r="M713" s="20">
        <f t="shared" si="23"/>
        <v>24000</v>
      </c>
      <c r="N713" s="20">
        <f>'Working Sheet'!$J713*'Working Sheet'!$K713</f>
        <v>30000</v>
      </c>
      <c r="O713" s="21">
        <f>'Working Sheet'!$M713*'Working Sheet'!$K713</f>
        <v>24000</v>
      </c>
      <c r="P713" s="20">
        <f>'Working Sheet'!$N713-'Working Sheet'!$O713</f>
        <v>6000</v>
      </c>
    </row>
    <row r="714" spans="1:16" ht="14.25" customHeight="1" x14ac:dyDescent="0.25">
      <c r="A714" s="23" t="str">
        <f t="shared" ca="1" si="22"/>
        <v>ID_229</v>
      </c>
      <c r="B714" s="22">
        <v>45729</v>
      </c>
      <c r="C714" s="23" t="str">
        <f>TEXT('Working Sheet'!$B714,"mmm")</f>
        <v>Mar</v>
      </c>
      <c r="D714" s="23" t="s">
        <v>25</v>
      </c>
      <c r="E714" s="23" t="s">
        <v>32</v>
      </c>
      <c r="F714" s="23" t="s">
        <v>23</v>
      </c>
      <c r="G714" s="23" t="s">
        <v>20</v>
      </c>
      <c r="H714" s="23" t="s">
        <v>36</v>
      </c>
      <c r="I714" s="23" t="s">
        <v>31</v>
      </c>
      <c r="J714" s="24">
        <v>150000</v>
      </c>
      <c r="K714" s="23">
        <v>3</v>
      </c>
      <c r="L714" s="23" t="s">
        <v>24</v>
      </c>
      <c r="M714" s="25">
        <f t="shared" si="23"/>
        <v>120000</v>
      </c>
      <c r="N714" s="25">
        <f>'Working Sheet'!$J714*'Working Sheet'!$K714</f>
        <v>450000</v>
      </c>
      <c r="O714" s="26">
        <f>'Working Sheet'!$M714*'Working Sheet'!$K714</f>
        <v>360000</v>
      </c>
      <c r="P714" s="25">
        <f>'Working Sheet'!$N714-'Working Sheet'!$O714</f>
        <v>90000</v>
      </c>
    </row>
    <row r="715" spans="1:16" ht="14.25" customHeight="1" x14ac:dyDescent="0.25">
      <c r="A715" s="18" t="str">
        <f t="shared" ca="1" si="22"/>
        <v>ID_1184</v>
      </c>
      <c r="B715" s="17">
        <v>45751</v>
      </c>
      <c r="C715" s="18" t="str">
        <f>TEXT('Working Sheet'!$B715,"mmm")</f>
        <v>Apr</v>
      </c>
      <c r="D715" s="18" t="s">
        <v>25</v>
      </c>
      <c r="E715" s="18" t="s">
        <v>26</v>
      </c>
      <c r="F715" s="18" t="s">
        <v>13</v>
      </c>
      <c r="G715" s="18" t="s">
        <v>14</v>
      </c>
      <c r="H715" s="18" t="s">
        <v>21</v>
      </c>
      <c r="I715" s="18" t="s">
        <v>22</v>
      </c>
      <c r="J715" s="19">
        <v>30000</v>
      </c>
      <c r="K715" s="18">
        <v>5</v>
      </c>
      <c r="L715" s="18" t="s">
        <v>35</v>
      </c>
      <c r="M715" s="20">
        <f t="shared" si="23"/>
        <v>24000</v>
      </c>
      <c r="N715" s="20">
        <f>'Working Sheet'!$J715*'Working Sheet'!$K715</f>
        <v>150000</v>
      </c>
      <c r="O715" s="21">
        <f>'Working Sheet'!$M715*'Working Sheet'!$K715</f>
        <v>120000</v>
      </c>
      <c r="P715" s="20">
        <f>'Working Sheet'!$N715-'Working Sheet'!$O715</f>
        <v>30000</v>
      </c>
    </row>
    <row r="716" spans="1:16" ht="14.25" customHeight="1" x14ac:dyDescent="0.25">
      <c r="A716" s="23" t="str">
        <f t="shared" ca="1" si="22"/>
        <v>ID_263</v>
      </c>
      <c r="B716" s="22">
        <v>45694</v>
      </c>
      <c r="C716" s="23" t="str">
        <f>TEXT('Working Sheet'!$B716,"mmm")</f>
        <v>Feb</v>
      </c>
      <c r="D716" s="23" t="s">
        <v>29</v>
      </c>
      <c r="E716" s="23" t="s">
        <v>32</v>
      </c>
      <c r="F716" s="23" t="s">
        <v>23</v>
      </c>
      <c r="G716" s="23" t="s">
        <v>20</v>
      </c>
      <c r="H716" s="23" t="s">
        <v>33</v>
      </c>
      <c r="I716" s="23" t="s">
        <v>22</v>
      </c>
      <c r="J716" s="24">
        <v>180000</v>
      </c>
      <c r="K716" s="23">
        <v>4</v>
      </c>
      <c r="L716" s="23" t="s">
        <v>24</v>
      </c>
      <c r="M716" s="25">
        <f t="shared" si="23"/>
        <v>144000</v>
      </c>
      <c r="N716" s="25">
        <f>'Working Sheet'!$J716*'Working Sheet'!$K716</f>
        <v>720000</v>
      </c>
      <c r="O716" s="26">
        <f>'Working Sheet'!$M716*'Working Sheet'!$K716</f>
        <v>576000</v>
      </c>
      <c r="P716" s="25">
        <f>'Working Sheet'!$N716-'Working Sheet'!$O716</f>
        <v>144000</v>
      </c>
    </row>
    <row r="717" spans="1:16" ht="14.25" customHeight="1" x14ac:dyDescent="0.25">
      <c r="A717" s="18" t="str">
        <f t="shared" ca="1" si="22"/>
        <v>ID_1949</v>
      </c>
      <c r="B717" s="17">
        <v>45661</v>
      </c>
      <c r="C717" s="18" t="str">
        <f>TEXT('Working Sheet'!$B717,"mmm")</f>
        <v>Jan</v>
      </c>
      <c r="D717" s="18" t="s">
        <v>25</v>
      </c>
      <c r="E717" s="18" t="s">
        <v>26</v>
      </c>
      <c r="F717" s="18" t="s">
        <v>23</v>
      </c>
      <c r="G717" s="18" t="s">
        <v>20</v>
      </c>
      <c r="H717" s="18" t="s">
        <v>33</v>
      </c>
      <c r="I717" s="18" t="s">
        <v>22</v>
      </c>
      <c r="J717" s="19">
        <v>180000</v>
      </c>
      <c r="K717" s="18">
        <v>3</v>
      </c>
      <c r="L717" s="18" t="s">
        <v>39</v>
      </c>
      <c r="M717" s="20">
        <f t="shared" si="23"/>
        <v>144000</v>
      </c>
      <c r="N717" s="20">
        <f>'Working Sheet'!$J717*'Working Sheet'!$K717</f>
        <v>540000</v>
      </c>
      <c r="O717" s="21">
        <f>'Working Sheet'!$M717*'Working Sheet'!$K717</f>
        <v>432000</v>
      </c>
      <c r="P717" s="20">
        <f>'Working Sheet'!$N717-'Working Sheet'!$O717</f>
        <v>108000</v>
      </c>
    </row>
    <row r="718" spans="1:16" ht="14.25" customHeight="1" x14ac:dyDescent="0.25">
      <c r="A718" s="23" t="str">
        <f t="shared" ca="1" si="22"/>
        <v>ID_1407</v>
      </c>
      <c r="B718" s="22">
        <v>45699</v>
      </c>
      <c r="C718" s="23" t="str">
        <f>TEXT('Working Sheet'!$B718,"mmm")</f>
        <v>Feb</v>
      </c>
      <c r="D718" s="23" t="s">
        <v>18</v>
      </c>
      <c r="E718" s="23" t="s">
        <v>19</v>
      </c>
      <c r="F718" s="23" t="s">
        <v>23</v>
      </c>
      <c r="G718" s="23" t="s">
        <v>20</v>
      </c>
      <c r="H718" s="23" t="s">
        <v>30</v>
      </c>
      <c r="I718" s="23" t="s">
        <v>31</v>
      </c>
      <c r="J718" s="24">
        <v>300000</v>
      </c>
      <c r="K718" s="23">
        <v>8</v>
      </c>
      <c r="L718" s="23" t="s">
        <v>17</v>
      </c>
      <c r="M718" s="25">
        <f t="shared" si="23"/>
        <v>240000</v>
      </c>
      <c r="N718" s="25">
        <f>'Working Sheet'!$J718*'Working Sheet'!$K718</f>
        <v>2400000</v>
      </c>
      <c r="O718" s="26">
        <f>'Working Sheet'!$M718*'Working Sheet'!$K718</f>
        <v>1920000</v>
      </c>
      <c r="P718" s="25">
        <f>'Working Sheet'!$N718-'Working Sheet'!$O718</f>
        <v>480000</v>
      </c>
    </row>
    <row r="719" spans="1:16" ht="14.25" customHeight="1" x14ac:dyDescent="0.25">
      <c r="A719" s="18" t="str">
        <f t="shared" ca="1" si="22"/>
        <v>ID_1284</v>
      </c>
      <c r="B719" s="17">
        <v>45714</v>
      </c>
      <c r="C719" s="18" t="str">
        <f>TEXT('Working Sheet'!$B719,"mmm")</f>
        <v>Feb</v>
      </c>
      <c r="D719" s="18" t="s">
        <v>18</v>
      </c>
      <c r="E719" s="18" t="s">
        <v>32</v>
      </c>
      <c r="F719" s="18" t="s">
        <v>23</v>
      </c>
      <c r="G719" s="18" t="s">
        <v>14</v>
      </c>
      <c r="H719" s="18" t="s">
        <v>15</v>
      </c>
      <c r="I719" s="18" t="s">
        <v>16</v>
      </c>
      <c r="J719" s="19">
        <v>85000</v>
      </c>
      <c r="K719" s="18">
        <v>8</v>
      </c>
      <c r="L719" s="18" t="s">
        <v>24</v>
      </c>
      <c r="M719" s="20">
        <f t="shared" si="23"/>
        <v>68000</v>
      </c>
      <c r="N719" s="20">
        <f>'Working Sheet'!$J719*'Working Sheet'!$K719</f>
        <v>680000</v>
      </c>
      <c r="O719" s="21">
        <f>'Working Sheet'!$M719*'Working Sheet'!$K719</f>
        <v>544000</v>
      </c>
      <c r="P719" s="20">
        <f>'Working Sheet'!$N719-'Working Sheet'!$O719</f>
        <v>136000</v>
      </c>
    </row>
    <row r="720" spans="1:16" ht="14.25" customHeight="1" x14ac:dyDescent="0.25">
      <c r="A720" s="23" t="str">
        <f t="shared" ca="1" si="22"/>
        <v>ID_535</v>
      </c>
      <c r="B720" s="22">
        <v>45706</v>
      </c>
      <c r="C720" s="23" t="str">
        <f>TEXT('Working Sheet'!$B720,"mmm")</f>
        <v>Feb</v>
      </c>
      <c r="D720" s="23" t="s">
        <v>29</v>
      </c>
      <c r="E720" s="23" t="s">
        <v>19</v>
      </c>
      <c r="F720" s="23" t="s">
        <v>13</v>
      </c>
      <c r="G720" s="23" t="s">
        <v>20</v>
      </c>
      <c r="H720" s="23" t="s">
        <v>33</v>
      </c>
      <c r="I720" s="23" t="s">
        <v>22</v>
      </c>
      <c r="J720" s="24">
        <v>180000</v>
      </c>
      <c r="K720" s="23">
        <v>1</v>
      </c>
      <c r="L720" s="23" t="s">
        <v>17</v>
      </c>
      <c r="M720" s="25">
        <f t="shared" si="23"/>
        <v>144000</v>
      </c>
      <c r="N720" s="25">
        <f>'Working Sheet'!$J720*'Working Sheet'!$K720</f>
        <v>180000</v>
      </c>
      <c r="O720" s="26">
        <f>'Working Sheet'!$M720*'Working Sheet'!$K720</f>
        <v>144000</v>
      </c>
      <c r="P720" s="25">
        <f>'Working Sheet'!$N720-'Working Sheet'!$O720</f>
        <v>36000</v>
      </c>
    </row>
    <row r="721" spans="1:16" ht="14.25" customHeight="1" x14ac:dyDescent="0.25">
      <c r="A721" s="18" t="str">
        <f t="shared" ca="1" si="22"/>
        <v>ID_1808</v>
      </c>
      <c r="B721" s="17">
        <v>45757</v>
      </c>
      <c r="C721" s="18" t="str">
        <f>TEXT('Working Sheet'!$B721,"mmm")</f>
        <v>Apr</v>
      </c>
      <c r="D721" s="18" t="s">
        <v>25</v>
      </c>
      <c r="E721" s="18" t="s">
        <v>12</v>
      </c>
      <c r="F721" s="18" t="s">
        <v>23</v>
      </c>
      <c r="G721" s="18" t="s">
        <v>14</v>
      </c>
      <c r="H721" s="18" t="s">
        <v>38</v>
      </c>
      <c r="I721" s="18" t="s">
        <v>31</v>
      </c>
      <c r="J721" s="19">
        <v>420000</v>
      </c>
      <c r="K721" s="18">
        <v>6</v>
      </c>
      <c r="L721" s="18" t="s">
        <v>24</v>
      </c>
      <c r="M721" s="20">
        <f t="shared" si="23"/>
        <v>336000</v>
      </c>
      <c r="N721" s="20">
        <f>'Working Sheet'!$J721*'Working Sheet'!$K721</f>
        <v>2520000</v>
      </c>
      <c r="O721" s="21">
        <f>'Working Sheet'!$M721*'Working Sheet'!$K721</f>
        <v>2016000</v>
      </c>
      <c r="P721" s="20">
        <f>'Working Sheet'!$N721-'Working Sheet'!$O721</f>
        <v>504000</v>
      </c>
    </row>
    <row r="722" spans="1:16" ht="14.25" customHeight="1" x14ac:dyDescent="0.25">
      <c r="A722" s="23" t="str">
        <f t="shared" ca="1" si="22"/>
        <v>ID_655</v>
      </c>
      <c r="B722" s="22">
        <v>45764</v>
      </c>
      <c r="C722" s="23" t="str">
        <f>TEXT('Working Sheet'!$B722,"mmm")</f>
        <v>Apr</v>
      </c>
      <c r="D722" s="23" t="s">
        <v>11</v>
      </c>
      <c r="E722" s="23" t="s">
        <v>32</v>
      </c>
      <c r="F722" s="23" t="s">
        <v>13</v>
      </c>
      <c r="G722" s="23" t="s">
        <v>20</v>
      </c>
      <c r="H722" s="23" t="s">
        <v>38</v>
      </c>
      <c r="I722" s="23" t="s">
        <v>31</v>
      </c>
      <c r="J722" s="24">
        <v>420000</v>
      </c>
      <c r="K722" s="23">
        <v>4</v>
      </c>
      <c r="L722" s="23" t="s">
        <v>37</v>
      </c>
      <c r="M722" s="25">
        <f t="shared" si="23"/>
        <v>336000</v>
      </c>
      <c r="N722" s="25">
        <f>'Working Sheet'!$J722*'Working Sheet'!$K722</f>
        <v>1680000</v>
      </c>
      <c r="O722" s="26">
        <f>'Working Sheet'!$M722*'Working Sheet'!$K722</f>
        <v>1344000</v>
      </c>
      <c r="P722" s="25">
        <f>'Working Sheet'!$N722-'Working Sheet'!$O722</f>
        <v>336000</v>
      </c>
    </row>
    <row r="723" spans="1:16" ht="14.25" customHeight="1" x14ac:dyDescent="0.25">
      <c r="A723" s="18" t="str">
        <f t="shared" ca="1" si="22"/>
        <v>ID_834</v>
      </c>
      <c r="B723" s="17">
        <v>45735</v>
      </c>
      <c r="C723" s="18" t="str">
        <f>TEXT('Working Sheet'!$B723,"mmm")</f>
        <v>Mar</v>
      </c>
      <c r="D723" s="18" t="s">
        <v>18</v>
      </c>
      <c r="E723" s="18" t="s">
        <v>32</v>
      </c>
      <c r="F723" s="18" t="s">
        <v>23</v>
      </c>
      <c r="G723" s="18" t="s">
        <v>20</v>
      </c>
      <c r="H723" s="18" t="s">
        <v>33</v>
      </c>
      <c r="I723" s="18" t="s">
        <v>22</v>
      </c>
      <c r="J723" s="19">
        <v>180000</v>
      </c>
      <c r="K723" s="18">
        <v>3</v>
      </c>
      <c r="L723" s="18" t="s">
        <v>24</v>
      </c>
      <c r="M723" s="20">
        <f t="shared" si="23"/>
        <v>144000</v>
      </c>
      <c r="N723" s="20">
        <f>'Working Sheet'!$J723*'Working Sheet'!$K723</f>
        <v>540000</v>
      </c>
      <c r="O723" s="21">
        <f>'Working Sheet'!$M723*'Working Sheet'!$K723</f>
        <v>432000</v>
      </c>
      <c r="P723" s="20">
        <f>'Working Sheet'!$N723-'Working Sheet'!$O723</f>
        <v>108000</v>
      </c>
    </row>
    <row r="724" spans="1:16" ht="14.25" customHeight="1" x14ac:dyDescent="0.25">
      <c r="A724" s="23" t="str">
        <f t="shared" ca="1" si="22"/>
        <v>ID_293</v>
      </c>
      <c r="B724" s="22">
        <v>45731</v>
      </c>
      <c r="C724" s="23" t="str">
        <f>TEXT('Working Sheet'!$B724,"mmm")</f>
        <v>Mar</v>
      </c>
      <c r="D724" s="23" t="s">
        <v>25</v>
      </c>
      <c r="E724" s="23" t="s">
        <v>19</v>
      </c>
      <c r="F724" s="23" t="s">
        <v>13</v>
      </c>
      <c r="G724" s="23" t="s">
        <v>14</v>
      </c>
      <c r="H724" s="23" t="s">
        <v>27</v>
      </c>
      <c r="I724" s="23" t="s">
        <v>22</v>
      </c>
      <c r="J724" s="24">
        <v>60000</v>
      </c>
      <c r="K724" s="23">
        <v>3</v>
      </c>
      <c r="L724" s="23" t="s">
        <v>24</v>
      </c>
      <c r="M724" s="25">
        <f t="shared" si="23"/>
        <v>48000</v>
      </c>
      <c r="N724" s="25">
        <f>'Working Sheet'!$J724*'Working Sheet'!$K724</f>
        <v>180000</v>
      </c>
      <c r="O724" s="26">
        <f>'Working Sheet'!$M724*'Working Sheet'!$K724</f>
        <v>144000</v>
      </c>
      <c r="P724" s="25">
        <f>'Working Sheet'!$N724-'Working Sheet'!$O724</f>
        <v>36000</v>
      </c>
    </row>
    <row r="725" spans="1:16" ht="14.25" customHeight="1" x14ac:dyDescent="0.25">
      <c r="A725" s="18" t="str">
        <f t="shared" ca="1" si="22"/>
        <v>ID_1409</v>
      </c>
      <c r="B725" s="17">
        <v>45674</v>
      </c>
      <c r="C725" s="18" t="str">
        <f>TEXT('Working Sheet'!$B725,"mmm")</f>
        <v>Jan</v>
      </c>
      <c r="D725" s="18" t="s">
        <v>18</v>
      </c>
      <c r="E725" s="18" t="s">
        <v>32</v>
      </c>
      <c r="F725" s="18" t="s">
        <v>13</v>
      </c>
      <c r="G725" s="18" t="s">
        <v>20</v>
      </c>
      <c r="H725" s="18" t="s">
        <v>36</v>
      </c>
      <c r="I725" s="18" t="s">
        <v>31</v>
      </c>
      <c r="J725" s="19">
        <v>150000</v>
      </c>
      <c r="K725" s="18">
        <v>1</v>
      </c>
      <c r="L725" s="18" t="s">
        <v>28</v>
      </c>
      <c r="M725" s="20">
        <f t="shared" si="23"/>
        <v>120000</v>
      </c>
      <c r="N725" s="20">
        <f>'Working Sheet'!$J725*'Working Sheet'!$K725</f>
        <v>150000</v>
      </c>
      <c r="O725" s="21">
        <f>'Working Sheet'!$M725*'Working Sheet'!$K725</f>
        <v>120000</v>
      </c>
      <c r="P725" s="20">
        <f>'Working Sheet'!$N725-'Working Sheet'!$O725</f>
        <v>30000</v>
      </c>
    </row>
    <row r="726" spans="1:16" ht="14.25" customHeight="1" x14ac:dyDescent="0.25">
      <c r="A726" s="23" t="str">
        <f t="shared" ca="1" si="22"/>
        <v>ID_964</v>
      </c>
      <c r="B726" s="22">
        <v>45686</v>
      </c>
      <c r="C726" s="23" t="str">
        <f>TEXT('Working Sheet'!$B726,"mmm")</f>
        <v>Jan</v>
      </c>
      <c r="D726" s="23" t="s">
        <v>25</v>
      </c>
      <c r="E726" s="23" t="s">
        <v>12</v>
      </c>
      <c r="F726" s="23" t="s">
        <v>23</v>
      </c>
      <c r="G726" s="23" t="s">
        <v>14</v>
      </c>
      <c r="H726" s="23" t="s">
        <v>38</v>
      </c>
      <c r="I726" s="23" t="s">
        <v>31</v>
      </c>
      <c r="J726" s="24">
        <v>420000</v>
      </c>
      <c r="K726" s="23">
        <v>4</v>
      </c>
      <c r="L726" s="23" t="s">
        <v>24</v>
      </c>
      <c r="M726" s="25">
        <f t="shared" si="23"/>
        <v>336000</v>
      </c>
      <c r="N726" s="25">
        <f>'Working Sheet'!$J726*'Working Sheet'!$K726</f>
        <v>1680000</v>
      </c>
      <c r="O726" s="26">
        <f>'Working Sheet'!$M726*'Working Sheet'!$K726</f>
        <v>1344000</v>
      </c>
      <c r="P726" s="25">
        <f>'Working Sheet'!$N726-'Working Sheet'!$O726</f>
        <v>336000</v>
      </c>
    </row>
    <row r="727" spans="1:16" ht="14.25" customHeight="1" x14ac:dyDescent="0.25">
      <c r="A727" s="18" t="str">
        <f t="shared" ca="1" si="22"/>
        <v>ID_1997</v>
      </c>
      <c r="B727" s="17">
        <v>45760</v>
      </c>
      <c r="C727" s="18" t="str">
        <f>TEXT('Working Sheet'!$B727,"mmm")</f>
        <v>Apr</v>
      </c>
      <c r="D727" s="18" t="s">
        <v>29</v>
      </c>
      <c r="E727" s="18" t="s">
        <v>19</v>
      </c>
      <c r="F727" s="18" t="s">
        <v>23</v>
      </c>
      <c r="G727" s="18" t="s">
        <v>14</v>
      </c>
      <c r="H727" s="18" t="s">
        <v>40</v>
      </c>
      <c r="I727" s="18" t="s">
        <v>31</v>
      </c>
      <c r="J727" s="19">
        <v>250000</v>
      </c>
      <c r="K727" s="18">
        <v>6</v>
      </c>
      <c r="L727" s="18" t="s">
        <v>28</v>
      </c>
      <c r="M727" s="20">
        <f t="shared" si="23"/>
        <v>200000</v>
      </c>
      <c r="N727" s="20">
        <f>'Working Sheet'!$J727*'Working Sheet'!$K727</f>
        <v>1500000</v>
      </c>
      <c r="O727" s="21">
        <f>'Working Sheet'!$M727*'Working Sheet'!$K727</f>
        <v>1200000</v>
      </c>
      <c r="P727" s="20">
        <f>'Working Sheet'!$N727-'Working Sheet'!$O727</f>
        <v>300000</v>
      </c>
    </row>
    <row r="728" spans="1:16" ht="14.25" customHeight="1" x14ac:dyDescent="0.25">
      <c r="A728" s="23" t="str">
        <f t="shared" ca="1" si="22"/>
        <v>ID_734</v>
      </c>
      <c r="B728" s="22">
        <v>45720</v>
      </c>
      <c r="C728" s="23" t="str">
        <f>TEXT('Working Sheet'!$B728,"mmm")</f>
        <v>Mar</v>
      </c>
      <c r="D728" s="23" t="s">
        <v>25</v>
      </c>
      <c r="E728" s="23" t="s">
        <v>12</v>
      </c>
      <c r="F728" s="23" t="s">
        <v>23</v>
      </c>
      <c r="G728" s="23" t="s">
        <v>20</v>
      </c>
      <c r="H728" s="23" t="s">
        <v>34</v>
      </c>
      <c r="I728" s="23" t="s">
        <v>16</v>
      </c>
      <c r="J728" s="24">
        <v>320000</v>
      </c>
      <c r="K728" s="23">
        <v>1</v>
      </c>
      <c r="L728" s="23" t="s">
        <v>35</v>
      </c>
      <c r="M728" s="25">
        <f t="shared" si="23"/>
        <v>256000</v>
      </c>
      <c r="N728" s="25">
        <f>'Working Sheet'!$J728*'Working Sheet'!$K728</f>
        <v>320000</v>
      </c>
      <c r="O728" s="26">
        <f>'Working Sheet'!$M728*'Working Sheet'!$K728</f>
        <v>256000</v>
      </c>
      <c r="P728" s="25">
        <f>'Working Sheet'!$N728-'Working Sheet'!$O728</f>
        <v>64000</v>
      </c>
    </row>
    <row r="729" spans="1:16" ht="14.25" customHeight="1" x14ac:dyDescent="0.25">
      <c r="A729" s="18" t="str">
        <f t="shared" ca="1" si="22"/>
        <v>ID_924</v>
      </c>
      <c r="B729" s="17">
        <v>45680</v>
      </c>
      <c r="C729" s="18" t="str">
        <f>TEXT('Working Sheet'!$B729,"mmm")</f>
        <v>Jan</v>
      </c>
      <c r="D729" s="18" t="s">
        <v>29</v>
      </c>
      <c r="E729" s="18" t="s">
        <v>32</v>
      </c>
      <c r="F729" s="18" t="s">
        <v>23</v>
      </c>
      <c r="G729" s="18" t="s">
        <v>20</v>
      </c>
      <c r="H729" s="18" t="s">
        <v>41</v>
      </c>
      <c r="I729" s="18" t="s">
        <v>22</v>
      </c>
      <c r="J729" s="19">
        <v>220000</v>
      </c>
      <c r="K729" s="18">
        <v>10</v>
      </c>
      <c r="L729" s="18" t="s">
        <v>39</v>
      </c>
      <c r="M729" s="20">
        <f t="shared" si="23"/>
        <v>176000</v>
      </c>
      <c r="N729" s="20">
        <f>'Working Sheet'!$J729*'Working Sheet'!$K729</f>
        <v>2200000</v>
      </c>
      <c r="O729" s="21">
        <f>'Working Sheet'!$M729*'Working Sheet'!$K729</f>
        <v>1760000</v>
      </c>
      <c r="P729" s="20">
        <f>'Working Sheet'!$N729-'Working Sheet'!$O729</f>
        <v>440000</v>
      </c>
    </row>
    <row r="730" spans="1:16" ht="14.25" customHeight="1" x14ac:dyDescent="0.25">
      <c r="A730" s="23" t="str">
        <f t="shared" ca="1" si="22"/>
        <v>ID_429</v>
      </c>
      <c r="B730" s="22">
        <v>45762</v>
      </c>
      <c r="C730" s="23" t="str">
        <f>TEXT('Working Sheet'!$B730,"mmm")</f>
        <v>Apr</v>
      </c>
      <c r="D730" s="23" t="s">
        <v>29</v>
      </c>
      <c r="E730" s="23" t="s">
        <v>19</v>
      </c>
      <c r="F730" s="23" t="s">
        <v>13</v>
      </c>
      <c r="G730" s="23" t="s">
        <v>14</v>
      </c>
      <c r="H730" s="23" t="s">
        <v>41</v>
      </c>
      <c r="I730" s="23" t="s">
        <v>22</v>
      </c>
      <c r="J730" s="24">
        <v>220000</v>
      </c>
      <c r="K730" s="23">
        <v>5</v>
      </c>
      <c r="L730" s="23" t="s">
        <v>24</v>
      </c>
      <c r="M730" s="25">
        <f t="shared" si="23"/>
        <v>176000</v>
      </c>
      <c r="N730" s="25">
        <f>'Working Sheet'!$J730*'Working Sheet'!$K730</f>
        <v>1100000</v>
      </c>
      <c r="O730" s="26">
        <f>'Working Sheet'!$M730*'Working Sheet'!$K730</f>
        <v>880000</v>
      </c>
      <c r="P730" s="25">
        <f>'Working Sheet'!$N730-'Working Sheet'!$O730</f>
        <v>220000</v>
      </c>
    </row>
    <row r="731" spans="1:16" ht="14.25" customHeight="1" x14ac:dyDescent="0.25">
      <c r="A731" s="18" t="str">
        <f t="shared" ca="1" si="22"/>
        <v>ID_1630</v>
      </c>
      <c r="B731" s="17">
        <v>45666</v>
      </c>
      <c r="C731" s="18" t="str">
        <f>TEXT('Working Sheet'!$B731,"mmm")</f>
        <v>Jan</v>
      </c>
      <c r="D731" s="18" t="s">
        <v>25</v>
      </c>
      <c r="E731" s="18" t="s">
        <v>26</v>
      </c>
      <c r="F731" s="18" t="s">
        <v>23</v>
      </c>
      <c r="G731" s="18" t="s">
        <v>20</v>
      </c>
      <c r="H731" s="18" t="s">
        <v>41</v>
      </c>
      <c r="I731" s="18" t="s">
        <v>22</v>
      </c>
      <c r="J731" s="19">
        <v>220000</v>
      </c>
      <c r="K731" s="18">
        <v>8</v>
      </c>
      <c r="L731" s="18" t="s">
        <v>39</v>
      </c>
      <c r="M731" s="20">
        <f t="shared" si="23"/>
        <v>176000</v>
      </c>
      <c r="N731" s="20">
        <f>'Working Sheet'!$J731*'Working Sheet'!$K731</f>
        <v>1760000</v>
      </c>
      <c r="O731" s="21">
        <f>'Working Sheet'!$M731*'Working Sheet'!$K731</f>
        <v>1408000</v>
      </c>
      <c r="P731" s="20">
        <f>'Working Sheet'!$N731-'Working Sheet'!$O731</f>
        <v>352000</v>
      </c>
    </row>
    <row r="732" spans="1:16" ht="14.25" customHeight="1" x14ac:dyDescent="0.25">
      <c r="A732" s="23" t="str">
        <f t="shared" ca="1" si="22"/>
        <v>ID_752</v>
      </c>
      <c r="B732" s="22">
        <v>45741</v>
      </c>
      <c r="C732" s="23" t="str">
        <f>TEXT('Working Sheet'!$B732,"mmm")</f>
        <v>Mar</v>
      </c>
      <c r="D732" s="23" t="s">
        <v>18</v>
      </c>
      <c r="E732" s="23" t="s">
        <v>12</v>
      </c>
      <c r="F732" s="23" t="s">
        <v>13</v>
      </c>
      <c r="G732" s="23" t="s">
        <v>14</v>
      </c>
      <c r="H732" s="23" t="s">
        <v>41</v>
      </c>
      <c r="I732" s="23" t="s">
        <v>22</v>
      </c>
      <c r="J732" s="24">
        <v>220000</v>
      </c>
      <c r="K732" s="23">
        <v>9</v>
      </c>
      <c r="L732" s="23" t="s">
        <v>28</v>
      </c>
      <c r="M732" s="25">
        <f t="shared" si="23"/>
        <v>176000</v>
      </c>
      <c r="N732" s="25">
        <f>'Working Sheet'!$J732*'Working Sheet'!$K732</f>
        <v>1980000</v>
      </c>
      <c r="O732" s="26">
        <f>'Working Sheet'!$M732*'Working Sheet'!$K732</f>
        <v>1584000</v>
      </c>
      <c r="P732" s="25">
        <f>'Working Sheet'!$N732-'Working Sheet'!$O732</f>
        <v>396000</v>
      </c>
    </row>
    <row r="733" spans="1:16" ht="14.25" customHeight="1" x14ac:dyDescent="0.25">
      <c r="A733" s="18" t="str">
        <f t="shared" ca="1" si="22"/>
        <v>ID_453</v>
      </c>
      <c r="B733" s="17">
        <v>45722</v>
      </c>
      <c r="C733" s="18" t="str">
        <f>TEXT('Working Sheet'!$B733,"mmm")</f>
        <v>Mar</v>
      </c>
      <c r="D733" s="18" t="s">
        <v>29</v>
      </c>
      <c r="E733" s="18" t="s">
        <v>26</v>
      </c>
      <c r="F733" s="18" t="s">
        <v>23</v>
      </c>
      <c r="G733" s="18" t="s">
        <v>14</v>
      </c>
      <c r="H733" s="18" t="s">
        <v>30</v>
      </c>
      <c r="I733" s="18" t="s">
        <v>31</v>
      </c>
      <c r="J733" s="19">
        <v>300000</v>
      </c>
      <c r="K733" s="18">
        <v>7</v>
      </c>
      <c r="L733" s="18" t="s">
        <v>39</v>
      </c>
      <c r="M733" s="20">
        <f t="shared" si="23"/>
        <v>240000</v>
      </c>
      <c r="N733" s="20">
        <f>'Working Sheet'!$J733*'Working Sheet'!$K733</f>
        <v>2100000</v>
      </c>
      <c r="O733" s="21">
        <f>'Working Sheet'!$M733*'Working Sheet'!$K733</f>
        <v>1680000</v>
      </c>
      <c r="P733" s="20">
        <f>'Working Sheet'!$N733-'Working Sheet'!$O733</f>
        <v>420000</v>
      </c>
    </row>
    <row r="734" spans="1:16" ht="14.25" customHeight="1" x14ac:dyDescent="0.25">
      <c r="A734" s="23" t="str">
        <f t="shared" ca="1" si="22"/>
        <v>ID_13</v>
      </c>
      <c r="B734" s="22">
        <v>45723</v>
      </c>
      <c r="C734" s="23" t="str">
        <f>TEXT('Working Sheet'!$B734,"mmm")</f>
        <v>Mar</v>
      </c>
      <c r="D734" s="23" t="s">
        <v>11</v>
      </c>
      <c r="E734" s="23" t="s">
        <v>32</v>
      </c>
      <c r="F734" s="23" t="s">
        <v>13</v>
      </c>
      <c r="G734" s="23" t="s">
        <v>14</v>
      </c>
      <c r="H734" s="23" t="s">
        <v>38</v>
      </c>
      <c r="I734" s="23" t="s">
        <v>31</v>
      </c>
      <c r="J734" s="24">
        <v>420000</v>
      </c>
      <c r="K734" s="23">
        <v>1</v>
      </c>
      <c r="L734" s="23" t="s">
        <v>28</v>
      </c>
      <c r="M734" s="25">
        <f t="shared" si="23"/>
        <v>336000</v>
      </c>
      <c r="N734" s="25">
        <f>'Working Sheet'!$J734*'Working Sheet'!$K734</f>
        <v>420000</v>
      </c>
      <c r="O734" s="26">
        <f>'Working Sheet'!$M734*'Working Sheet'!$K734</f>
        <v>336000</v>
      </c>
      <c r="P734" s="25">
        <f>'Working Sheet'!$N734-'Working Sheet'!$O734</f>
        <v>84000</v>
      </c>
    </row>
    <row r="735" spans="1:16" ht="14.25" customHeight="1" x14ac:dyDescent="0.25">
      <c r="A735" s="18" t="str">
        <f t="shared" ca="1" si="22"/>
        <v>ID_1834</v>
      </c>
      <c r="B735" s="17">
        <v>45692</v>
      </c>
      <c r="C735" s="18" t="str">
        <f>TEXT('Working Sheet'!$B735,"mmm")</f>
        <v>Feb</v>
      </c>
      <c r="D735" s="18" t="s">
        <v>11</v>
      </c>
      <c r="E735" s="18" t="s">
        <v>19</v>
      </c>
      <c r="F735" s="18" t="s">
        <v>23</v>
      </c>
      <c r="G735" s="18" t="s">
        <v>20</v>
      </c>
      <c r="H735" s="18" t="s">
        <v>33</v>
      </c>
      <c r="I735" s="18" t="s">
        <v>22</v>
      </c>
      <c r="J735" s="19">
        <v>180000</v>
      </c>
      <c r="K735" s="18">
        <v>6</v>
      </c>
      <c r="L735" s="18" t="s">
        <v>28</v>
      </c>
      <c r="M735" s="20">
        <f t="shared" si="23"/>
        <v>144000</v>
      </c>
      <c r="N735" s="20">
        <f>'Working Sheet'!$J735*'Working Sheet'!$K735</f>
        <v>1080000</v>
      </c>
      <c r="O735" s="21">
        <f>'Working Sheet'!$M735*'Working Sheet'!$K735</f>
        <v>864000</v>
      </c>
      <c r="P735" s="20">
        <f>'Working Sheet'!$N735-'Working Sheet'!$O735</f>
        <v>216000</v>
      </c>
    </row>
    <row r="736" spans="1:16" ht="14.25" customHeight="1" x14ac:dyDescent="0.25">
      <c r="A736" s="23" t="str">
        <f t="shared" ca="1" si="22"/>
        <v>ID_505</v>
      </c>
      <c r="B736" s="22">
        <v>45753</v>
      </c>
      <c r="C736" s="23" t="str">
        <f>TEXT('Working Sheet'!$B736,"mmm")</f>
        <v>Apr</v>
      </c>
      <c r="D736" s="23" t="s">
        <v>29</v>
      </c>
      <c r="E736" s="23" t="s">
        <v>12</v>
      </c>
      <c r="F736" s="23" t="s">
        <v>13</v>
      </c>
      <c r="G736" s="23" t="s">
        <v>14</v>
      </c>
      <c r="H736" s="23" t="s">
        <v>40</v>
      </c>
      <c r="I736" s="23" t="s">
        <v>31</v>
      </c>
      <c r="J736" s="24">
        <v>250000</v>
      </c>
      <c r="K736" s="23">
        <v>3</v>
      </c>
      <c r="L736" s="23" t="s">
        <v>28</v>
      </c>
      <c r="M736" s="25">
        <f t="shared" si="23"/>
        <v>200000</v>
      </c>
      <c r="N736" s="25">
        <f>'Working Sheet'!$J736*'Working Sheet'!$K736</f>
        <v>750000</v>
      </c>
      <c r="O736" s="26">
        <f>'Working Sheet'!$M736*'Working Sheet'!$K736</f>
        <v>600000</v>
      </c>
      <c r="P736" s="25">
        <f>'Working Sheet'!$N736-'Working Sheet'!$O736</f>
        <v>150000</v>
      </c>
    </row>
    <row r="737" spans="1:16" ht="14.25" customHeight="1" x14ac:dyDescent="0.25">
      <c r="A737" s="18" t="str">
        <f t="shared" ca="1" si="22"/>
        <v>ID_611</v>
      </c>
      <c r="B737" s="17">
        <v>45761</v>
      </c>
      <c r="C737" s="18" t="str">
        <f>TEXT('Working Sheet'!$B737,"mmm")</f>
        <v>Apr</v>
      </c>
      <c r="D737" s="18" t="s">
        <v>29</v>
      </c>
      <c r="E737" s="18" t="s">
        <v>32</v>
      </c>
      <c r="F737" s="18" t="s">
        <v>13</v>
      </c>
      <c r="G737" s="18" t="s">
        <v>14</v>
      </c>
      <c r="H737" s="18" t="s">
        <v>34</v>
      </c>
      <c r="I737" s="18" t="s">
        <v>16</v>
      </c>
      <c r="J737" s="19">
        <v>320000</v>
      </c>
      <c r="K737" s="18">
        <v>2</v>
      </c>
      <c r="L737" s="18" t="s">
        <v>17</v>
      </c>
      <c r="M737" s="20">
        <f t="shared" si="23"/>
        <v>256000</v>
      </c>
      <c r="N737" s="20">
        <f>'Working Sheet'!$J737*'Working Sheet'!$K737</f>
        <v>640000</v>
      </c>
      <c r="O737" s="21">
        <f>'Working Sheet'!$M737*'Working Sheet'!$K737</f>
        <v>512000</v>
      </c>
      <c r="P737" s="20">
        <f>'Working Sheet'!$N737-'Working Sheet'!$O737</f>
        <v>128000</v>
      </c>
    </row>
    <row r="738" spans="1:16" ht="14.25" customHeight="1" x14ac:dyDescent="0.25">
      <c r="A738" s="23" t="str">
        <f t="shared" ca="1" si="22"/>
        <v>ID_899</v>
      </c>
      <c r="B738" s="22">
        <v>45773</v>
      </c>
      <c r="C738" s="23" t="str">
        <f>TEXT('Working Sheet'!$B738,"mmm")</f>
        <v>Apr</v>
      </c>
      <c r="D738" s="23" t="s">
        <v>18</v>
      </c>
      <c r="E738" s="23" t="s">
        <v>19</v>
      </c>
      <c r="F738" s="23" t="s">
        <v>23</v>
      </c>
      <c r="G738" s="23" t="s">
        <v>14</v>
      </c>
      <c r="H738" s="23" t="s">
        <v>27</v>
      </c>
      <c r="I738" s="23" t="s">
        <v>22</v>
      </c>
      <c r="J738" s="24">
        <v>60000</v>
      </c>
      <c r="K738" s="23">
        <v>3</v>
      </c>
      <c r="L738" s="23" t="s">
        <v>24</v>
      </c>
      <c r="M738" s="25">
        <f t="shared" si="23"/>
        <v>48000</v>
      </c>
      <c r="N738" s="25">
        <f>'Working Sheet'!$J738*'Working Sheet'!$K738</f>
        <v>180000</v>
      </c>
      <c r="O738" s="26">
        <f>'Working Sheet'!$M738*'Working Sheet'!$K738</f>
        <v>144000</v>
      </c>
      <c r="P738" s="25">
        <f>'Working Sheet'!$N738-'Working Sheet'!$O738</f>
        <v>36000</v>
      </c>
    </row>
    <row r="739" spans="1:16" ht="14.25" customHeight="1" x14ac:dyDescent="0.25">
      <c r="A739" s="18" t="str">
        <f t="shared" ca="1" si="22"/>
        <v>ID_1857</v>
      </c>
      <c r="B739" s="17">
        <v>45750</v>
      </c>
      <c r="C739" s="18" t="str">
        <f>TEXT('Working Sheet'!$B739,"mmm")</f>
        <v>Apr</v>
      </c>
      <c r="D739" s="18" t="s">
        <v>25</v>
      </c>
      <c r="E739" s="18" t="s">
        <v>32</v>
      </c>
      <c r="F739" s="18" t="s">
        <v>23</v>
      </c>
      <c r="G739" s="18" t="s">
        <v>20</v>
      </c>
      <c r="H739" s="18" t="s">
        <v>21</v>
      </c>
      <c r="I739" s="18" t="s">
        <v>22</v>
      </c>
      <c r="J739" s="19">
        <v>30000</v>
      </c>
      <c r="K739" s="18">
        <v>9</v>
      </c>
      <c r="L739" s="18" t="s">
        <v>24</v>
      </c>
      <c r="M739" s="20">
        <f t="shared" si="23"/>
        <v>24000</v>
      </c>
      <c r="N739" s="20">
        <f>'Working Sheet'!$J739*'Working Sheet'!$K739</f>
        <v>270000</v>
      </c>
      <c r="O739" s="21">
        <f>'Working Sheet'!$M739*'Working Sheet'!$K739</f>
        <v>216000</v>
      </c>
      <c r="P739" s="20">
        <f>'Working Sheet'!$N739-'Working Sheet'!$O739</f>
        <v>54000</v>
      </c>
    </row>
    <row r="740" spans="1:16" ht="14.25" customHeight="1" x14ac:dyDescent="0.25">
      <c r="A740" s="23" t="str">
        <f t="shared" ca="1" si="22"/>
        <v>ID_757</v>
      </c>
      <c r="B740" s="22">
        <v>45694</v>
      </c>
      <c r="C740" s="23" t="str">
        <f>TEXT('Working Sheet'!$B740,"mmm")</f>
        <v>Feb</v>
      </c>
      <c r="D740" s="23" t="s">
        <v>18</v>
      </c>
      <c r="E740" s="23" t="s">
        <v>26</v>
      </c>
      <c r="F740" s="23" t="s">
        <v>23</v>
      </c>
      <c r="G740" s="23" t="s">
        <v>20</v>
      </c>
      <c r="H740" s="23" t="s">
        <v>33</v>
      </c>
      <c r="I740" s="23" t="s">
        <v>22</v>
      </c>
      <c r="J740" s="24">
        <v>180000</v>
      </c>
      <c r="K740" s="23">
        <v>6</v>
      </c>
      <c r="L740" s="23" t="s">
        <v>24</v>
      </c>
      <c r="M740" s="25">
        <f t="shared" si="23"/>
        <v>144000</v>
      </c>
      <c r="N740" s="25">
        <f>'Working Sheet'!$J740*'Working Sheet'!$K740</f>
        <v>1080000</v>
      </c>
      <c r="O740" s="26">
        <f>'Working Sheet'!$M740*'Working Sheet'!$K740</f>
        <v>864000</v>
      </c>
      <c r="P740" s="25">
        <f>'Working Sheet'!$N740-'Working Sheet'!$O740</f>
        <v>216000</v>
      </c>
    </row>
    <row r="741" spans="1:16" ht="14.25" customHeight="1" x14ac:dyDescent="0.25">
      <c r="A741" s="18" t="str">
        <f t="shared" ca="1" si="22"/>
        <v>ID_945</v>
      </c>
      <c r="B741" s="17">
        <v>45753</v>
      </c>
      <c r="C741" s="18" t="str">
        <f>TEXT('Working Sheet'!$B741,"mmm")</f>
        <v>Apr</v>
      </c>
      <c r="D741" s="18" t="s">
        <v>25</v>
      </c>
      <c r="E741" s="18" t="s">
        <v>26</v>
      </c>
      <c r="F741" s="18" t="s">
        <v>23</v>
      </c>
      <c r="G741" s="18" t="s">
        <v>14</v>
      </c>
      <c r="H741" s="18" t="s">
        <v>27</v>
      </c>
      <c r="I741" s="18" t="s">
        <v>22</v>
      </c>
      <c r="J741" s="19">
        <v>60000</v>
      </c>
      <c r="K741" s="18">
        <v>8</v>
      </c>
      <c r="L741" s="18" t="s">
        <v>37</v>
      </c>
      <c r="M741" s="20">
        <f t="shared" si="23"/>
        <v>48000</v>
      </c>
      <c r="N741" s="20">
        <f>'Working Sheet'!$J741*'Working Sheet'!$K741</f>
        <v>480000</v>
      </c>
      <c r="O741" s="21">
        <f>'Working Sheet'!$M741*'Working Sheet'!$K741</f>
        <v>384000</v>
      </c>
      <c r="P741" s="20">
        <f>'Working Sheet'!$N741-'Working Sheet'!$O741</f>
        <v>96000</v>
      </c>
    </row>
    <row r="742" spans="1:16" ht="14.25" customHeight="1" x14ac:dyDescent="0.25">
      <c r="A742" s="23" t="str">
        <f t="shared" ca="1" si="22"/>
        <v>ID_350</v>
      </c>
      <c r="B742" s="22">
        <v>45683</v>
      </c>
      <c r="C742" s="23" t="str">
        <f>TEXT('Working Sheet'!$B742,"mmm")</f>
        <v>Jan</v>
      </c>
      <c r="D742" s="23" t="s">
        <v>25</v>
      </c>
      <c r="E742" s="23" t="s">
        <v>26</v>
      </c>
      <c r="F742" s="23" t="s">
        <v>23</v>
      </c>
      <c r="G742" s="23" t="s">
        <v>14</v>
      </c>
      <c r="H742" s="23" t="s">
        <v>27</v>
      </c>
      <c r="I742" s="23" t="s">
        <v>22</v>
      </c>
      <c r="J742" s="24">
        <v>60000</v>
      </c>
      <c r="K742" s="23">
        <v>8</v>
      </c>
      <c r="L742" s="23" t="s">
        <v>39</v>
      </c>
      <c r="M742" s="25">
        <f t="shared" si="23"/>
        <v>48000</v>
      </c>
      <c r="N742" s="25">
        <f>'Working Sheet'!$J742*'Working Sheet'!$K742</f>
        <v>480000</v>
      </c>
      <c r="O742" s="26">
        <f>'Working Sheet'!$M742*'Working Sheet'!$K742</f>
        <v>384000</v>
      </c>
      <c r="P742" s="25">
        <f>'Working Sheet'!$N742-'Working Sheet'!$O742</f>
        <v>96000</v>
      </c>
    </row>
    <row r="743" spans="1:16" ht="14.25" customHeight="1" x14ac:dyDescent="0.25">
      <c r="A743" s="18" t="str">
        <f t="shared" ca="1" si="22"/>
        <v>ID_1259</v>
      </c>
      <c r="B743" s="17">
        <v>45763</v>
      </c>
      <c r="C743" s="18" t="str">
        <f>TEXT('Working Sheet'!$B743,"mmm")</f>
        <v>Apr</v>
      </c>
      <c r="D743" s="18" t="s">
        <v>25</v>
      </c>
      <c r="E743" s="18" t="s">
        <v>26</v>
      </c>
      <c r="F743" s="18" t="s">
        <v>23</v>
      </c>
      <c r="G743" s="18" t="s">
        <v>20</v>
      </c>
      <c r="H743" s="18" t="s">
        <v>40</v>
      </c>
      <c r="I743" s="18" t="s">
        <v>31</v>
      </c>
      <c r="J743" s="19">
        <v>250000</v>
      </c>
      <c r="K743" s="18">
        <v>3</v>
      </c>
      <c r="L743" s="18" t="s">
        <v>35</v>
      </c>
      <c r="M743" s="20">
        <f t="shared" si="23"/>
        <v>200000</v>
      </c>
      <c r="N743" s="20">
        <f>'Working Sheet'!$J743*'Working Sheet'!$K743</f>
        <v>750000</v>
      </c>
      <c r="O743" s="21">
        <f>'Working Sheet'!$M743*'Working Sheet'!$K743</f>
        <v>600000</v>
      </c>
      <c r="P743" s="20">
        <f>'Working Sheet'!$N743-'Working Sheet'!$O743</f>
        <v>150000</v>
      </c>
    </row>
    <row r="744" spans="1:16" ht="14.25" customHeight="1" x14ac:dyDescent="0.25">
      <c r="A744" s="23" t="str">
        <f t="shared" ca="1" si="22"/>
        <v>ID_1561</v>
      </c>
      <c r="B744" s="22">
        <v>45686</v>
      </c>
      <c r="C744" s="23" t="str">
        <f>TEXT('Working Sheet'!$B744,"mmm")</f>
        <v>Jan</v>
      </c>
      <c r="D744" s="23" t="s">
        <v>29</v>
      </c>
      <c r="E744" s="23" t="s">
        <v>26</v>
      </c>
      <c r="F744" s="23" t="s">
        <v>23</v>
      </c>
      <c r="G744" s="23" t="s">
        <v>20</v>
      </c>
      <c r="H744" s="23" t="s">
        <v>15</v>
      </c>
      <c r="I744" s="23" t="s">
        <v>16</v>
      </c>
      <c r="J744" s="24">
        <v>85000</v>
      </c>
      <c r="K744" s="23">
        <v>6</v>
      </c>
      <c r="L744" s="23" t="s">
        <v>37</v>
      </c>
      <c r="M744" s="25">
        <f t="shared" si="23"/>
        <v>68000</v>
      </c>
      <c r="N744" s="25">
        <f>'Working Sheet'!$J744*'Working Sheet'!$K744</f>
        <v>510000</v>
      </c>
      <c r="O744" s="26">
        <f>'Working Sheet'!$M744*'Working Sheet'!$K744</f>
        <v>408000</v>
      </c>
      <c r="P744" s="25">
        <f>'Working Sheet'!$N744-'Working Sheet'!$O744</f>
        <v>102000</v>
      </c>
    </row>
    <row r="745" spans="1:16" ht="14.25" customHeight="1" x14ac:dyDescent="0.25">
      <c r="A745" s="18" t="str">
        <f t="shared" ca="1" si="22"/>
        <v>ID_416</v>
      </c>
      <c r="B745" s="17">
        <v>45672</v>
      </c>
      <c r="C745" s="18" t="str">
        <f>TEXT('Working Sheet'!$B745,"mmm")</f>
        <v>Jan</v>
      </c>
      <c r="D745" s="18" t="s">
        <v>18</v>
      </c>
      <c r="E745" s="18" t="s">
        <v>32</v>
      </c>
      <c r="F745" s="18" t="s">
        <v>23</v>
      </c>
      <c r="G745" s="18" t="s">
        <v>14</v>
      </c>
      <c r="H745" s="18" t="s">
        <v>41</v>
      </c>
      <c r="I745" s="18" t="s">
        <v>22</v>
      </c>
      <c r="J745" s="19">
        <v>220000</v>
      </c>
      <c r="K745" s="18">
        <v>9</v>
      </c>
      <c r="L745" s="18" t="s">
        <v>28</v>
      </c>
      <c r="M745" s="20">
        <f t="shared" si="23"/>
        <v>176000</v>
      </c>
      <c r="N745" s="20">
        <f>'Working Sheet'!$J745*'Working Sheet'!$K745</f>
        <v>1980000</v>
      </c>
      <c r="O745" s="21">
        <f>'Working Sheet'!$M745*'Working Sheet'!$K745</f>
        <v>1584000</v>
      </c>
      <c r="P745" s="20">
        <f>'Working Sheet'!$N745-'Working Sheet'!$O745</f>
        <v>396000</v>
      </c>
    </row>
    <row r="746" spans="1:16" ht="14.25" customHeight="1" x14ac:dyDescent="0.25">
      <c r="A746" s="23" t="str">
        <f t="shared" ca="1" si="22"/>
        <v>ID_2083</v>
      </c>
      <c r="B746" s="22">
        <v>45660</v>
      </c>
      <c r="C746" s="23" t="str">
        <f>TEXT('Working Sheet'!$B746,"mmm")</f>
        <v>Jan</v>
      </c>
      <c r="D746" s="23" t="s">
        <v>29</v>
      </c>
      <c r="E746" s="23" t="s">
        <v>32</v>
      </c>
      <c r="F746" s="23" t="s">
        <v>23</v>
      </c>
      <c r="G746" s="23" t="s">
        <v>20</v>
      </c>
      <c r="H746" s="23" t="s">
        <v>40</v>
      </c>
      <c r="I746" s="23" t="s">
        <v>31</v>
      </c>
      <c r="J746" s="24">
        <v>250000</v>
      </c>
      <c r="K746" s="23">
        <v>4</v>
      </c>
      <c r="L746" s="23" t="s">
        <v>28</v>
      </c>
      <c r="M746" s="25">
        <f t="shared" si="23"/>
        <v>200000</v>
      </c>
      <c r="N746" s="25">
        <f>'Working Sheet'!$J746*'Working Sheet'!$K746</f>
        <v>1000000</v>
      </c>
      <c r="O746" s="26">
        <f>'Working Sheet'!$M746*'Working Sheet'!$K746</f>
        <v>800000</v>
      </c>
      <c r="P746" s="25">
        <f>'Working Sheet'!$N746-'Working Sheet'!$O746</f>
        <v>200000</v>
      </c>
    </row>
    <row r="747" spans="1:16" ht="14.25" customHeight="1" x14ac:dyDescent="0.25">
      <c r="A747" s="18" t="str">
        <f t="shared" ca="1" si="22"/>
        <v>ID_1597</v>
      </c>
      <c r="B747" s="17">
        <v>45733</v>
      </c>
      <c r="C747" s="18" t="str">
        <f>TEXT('Working Sheet'!$B747,"mmm")</f>
        <v>Mar</v>
      </c>
      <c r="D747" s="18" t="s">
        <v>25</v>
      </c>
      <c r="E747" s="18" t="s">
        <v>26</v>
      </c>
      <c r="F747" s="18" t="s">
        <v>23</v>
      </c>
      <c r="G747" s="18" t="s">
        <v>20</v>
      </c>
      <c r="H747" s="18" t="s">
        <v>40</v>
      </c>
      <c r="I747" s="18" t="s">
        <v>31</v>
      </c>
      <c r="J747" s="19">
        <v>250000</v>
      </c>
      <c r="K747" s="18">
        <v>3</v>
      </c>
      <c r="L747" s="18" t="s">
        <v>17</v>
      </c>
      <c r="M747" s="20">
        <f t="shared" si="23"/>
        <v>200000</v>
      </c>
      <c r="N747" s="20">
        <f>'Working Sheet'!$J747*'Working Sheet'!$K747</f>
        <v>750000</v>
      </c>
      <c r="O747" s="21">
        <f>'Working Sheet'!$M747*'Working Sheet'!$K747</f>
        <v>600000</v>
      </c>
      <c r="P747" s="20">
        <f>'Working Sheet'!$N747-'Working Sheet'!$O747</f>
        <v>150000</v>
      </c>
    </row>
    <row r="748" spans="1:16" ht="14.25" customHeight="1" x14ac:dyDescent="0.25">
      <c r="A748" s="23" t="str">
        <f t="shared" ca="1" si="22"/>
        <v>ID_449</v>
      </c>
      <c r="B748" s="22">
        <v>45681</v>
      </c>
      <c r="C748" s="23" t="str">
        <f>TEXT('Working Sheet'!$B748,"mmm")</f>
        <v>Jan</v>
      </c>
      <c r="D748" s="23" t="s">
        <v>25</v>
      </c>
      <c r="E748" s="23" t="s">
        <v>32</v>
      </c>
      <c r="F748" s="23" t="s">
        <v>23</v>
      </c>
      <c r="G748" s="23" t="s">
        <v>20</v>
      </c>
      <c r="H748" s="23" t="s">
        <v>21</v>
      </c>
      <c r="I748" s="23" t="s">
        <v>22</v>
      </c>
      <c r="J748" s="24">
        <v>30000</v>
      </c>
      <c r="K748" s="23">
        <v>10</v>
      </c>
      <c r="L748" s="23" t="s">
        <v>17</v>
      </c>
      <c r="M748" s="25">
        <f t="shared" si="23"/>
        <v>24000</v>
      </c>
      <c r="N748" s="25">
        <f>'Working Sheet'!$J748*'Working Sheet'!$K748</f>
        <v>300000</v>
      </c>
      <c r="O748" s="26">
        <f>'Working Sheet'!$M748*'Working Sheet'!$K748</f>
        <v>240000</v>
      </c>
      <c r="P748" s="25">
        <f>'Working Sheet'!$N748-'Working Sheet'!$O748</f>
        <v>60000</v>
      </c>
    </row>
    <row r="749" spans="1:16" ht="14.25" customHeight="1" x14ac:dyDescent="0.25">
      <c r="A749" s="18" t="str">
        <f t="shared" ca="1" si="22"/>
        <v>ID_1536</v>
      </c>
      <c r="B749" s="17">
        <v>45778</v>
      </c>
      <c r="C749" s="18" t="str">
        <f>TEXT('Working Sheet'!$B749,"mmm")</f>
        <v>May</v>
      </c>
      <c r="D749" s="18" t="s">
        <v>29</v>
      </c>
      <c r="E749" s="18" t="s">
        <v>26</v>
      </c>
      <c r="F749" s="18" t="s">
        <v>23</v>
      </c>
      <c r="G749" s="18" t="s">
        <v>20</v>
      </c>
      <c r="H749" s="18" t="s">
        <v>30</v>
      </c>
      <c r="I749" s="18" t="s">
        <v>31</v>
      </c>
      <c r="J749" s="19">
        <v>300000</v>
      </c>
      <c r="K749" s="18">
        <v>4</v>
      </c>
      <c r="L749" s="18" t="s">
        <v>39</v>
      </c>
      <c r="M749" s="20">
        <f t="shared" si="23"/>
        <v>240000</v>
      </c>
      <c r="N749" s="20">
        <f>'Working Sheet'!$J749*'Working Sheet'!$K749</f>
        <v>1200000</v>
      </c>
      <c r="O749" s="21">
        <f>'Working Sheet'!$M749*'Working Sheet'!$K749</f>
        <v>960000</v>
      </c>
      <c r="P749" s="20">
        <f>'Working Sheet'!$N749-'Working Sheet'!$O749</f>
        <v>240000</v>
      </c>
    </row>
    <row r="750" spans="1:16" ht="14.25" customHeight="1" x14ac:dyDescent="0.25">
      <c r="A750" s="23" t="str">
        <f t="shared" ca="1" si="22"/>
        <v>ID_1345</v>
      </c>
      <c r="B750" s="22">
        <v>45763</v>
      </c>
      <c r="C750" s="23" t="str">
        <f>TEXT('Working Sheet'!$B750,"mmm")</f>
        <v>Apr</v>
      </c>
      <c r="D750" s="23" t="s">
        <v>25</v>
      </c>
      <c r="E750" s="23" t="s">
        <v>12</v>
      </c>
      <c r="F750" s="23" t="s">
        <v>23</v>
      </c>
      <c r="G750" s="23" t="s">
        <v>20</v>
      </c>
      <c r="H750" s="23" t="s">
        <v>34</v>
      </c>
      <c r="I750" s="23" t="s">
        <v>16</v>
      </c>
      <c r="J750" s="24">
        <v>320000</v>
      </c>
      <c r="K750" s="23">
        <v>2</v>
      </c>
      <c r="L750" s="23" t="s">
        <v>35</v>
      </c>
      <c r="M750" s="25">
        <f t="shared" si="23"/>
        <v>256000</v>
      </c>
      <c r="N750" s="25">
        <f>'Working Sheet'!$J750*'Working Sheet'!$K750</f>
        <v>640000</v>
      </c>
      <c r="O750" s="26">
        <f>'Working Sheet'!$M750*'Working Sheet'!$K750</f>
        <v>512000</v>
      </c>
      <c r="P750" s="25">
        <f>'Working Sheet'!$N750-'Working Sheet'!$O750</f>
        <v>128000</v>
      </c>
    </row>
    <row r="751" spans="1:16" ht="14.25" customHeight="1" x14ac:dyDescent="0.25">
      <c r="A751" s="18" t="str">
        <f t="shared" ca="1" si="22"/>
        <v>ID_1952</v>
      </c>
      <c r="B751" s="17">
        <v>45663</v>
      </c>
      <c r="C751" s="18" t="str">
        <f>TEXT('Working Sheet'!$B751,"mmm")</f>
        <v>Jan</v>
      </c>
      <c r="D751" s="18" t="s">
        <v>25</v>
      </c>
      <c r="E751" s="18" t="s">
        <v>32</v>
      </c>
      <c r="F751" s="18" t="s">
        <v>23</v>
      </c>
      <c r="G751" s="18" t="s">
        <v>20</v>
      </c>
      <c r="H751" s="18" t="s">
        <v>38</v>
      </c>
      <c r="I751" s="18" t="s">
        <v>31</v>
      </c>
      <c r="J751" s="19">
        <v>420000</v>
      </c>
      <c r="K751" s="18">
        <v>8</v>
      </c>
      <c r="L751" s="18" t="s">
        <v>39</v>
      </c>
      <c r="M751" s="20">
        <f t="shared" si="23"/>
        <v>336000</v>
      </c>
      <c r="N751" s="20">
        <f>'Working Sheet'!$J751*'Working Sheet'!$K751</f>
        <v>3360000</v>
      </c>
      <c r="O751" s="21">
        <f>'Working Sheet'!$M751*'Working Sheet'!$K751</f>
        <v>2688000</v>
      </c>
      <c r="P751" s="20">
        <f>'Working Sheet'!$N751-'Working Sheet'!$O751</f>
        <v>672000</v>
      </c>
    </row>
    <row r="752" spans="1:16" ht="14.25" customHeight="1" x14ac:dyDescent="0.25">
      <c r="A752" s="23" t="str">
        <f t="shared" ca="1" si="22"/>
        <v>ID_940</v>
      </c>
      <c r="B752" s="22">
        <v>45712</v>
      </c>
      <c r="C752" s="23" t="str">
        <f>TEXT('Working Sheet'!$B752,"mmm")</f>
        <v>Feb</v>
      </c>
      <c r="D752" s="23" t="s">
        <v>25</v>
      </c>
      <c r="E752" s="23" t="s">
        <v>32</v>
      </c>
      <c r="F752" s="23" t="s">
        <v>23</v>
      </c>
      <c r="G752" s="23" t="s">
        <v>20</v>
      </c>
      <c r="H752" s="23" t="s">
        <v>21</v>
      </c>
      <c r="I752" s="23" t="s">
        <v>22</v>
      </c>
      <c r="J752" s="24">
        <v>30000</v>
      </c>
      <c r="K752" s="23">
        <v>2</v>
      </c>
      <c r="L752" s="23" t="s">
        <v>24</v>
      </c>
      <c r="M752" s="25">
        <f t="shared" si="23"/>
        <v>24000</v>
      </c>
      <c r="N752" s="25">
        <f>'Working Sheet'!$J752*'Working Sheet'!$K752</f>
        <v>60000</v>
      </c>
      <c r="O752" s="26">
        <f>'Working Sheet'!$M752*'Working Sheet'!$K752</f>
        <v>48000</v>
      </c>
      <c r="P752" s="25">
        <f>'Working Sheet'!$N752-'Working Sheet'!$O752</f>
        <v>12000</v>
      </c>
    </row>
    <row r="753" spans="1:16" ht="14.25" customHeight="1" x14ac:dyDescent="0.25">
      <c r="A753" s="18" t="str">
        <f t="shared" ca="1" si="22"/>
        <v>ID_1462</v>
      </c>
      <c r="B753" s="17">
        <v>45691</v>
      </c>
      <c r="C753" s="18" t="str">
        <f>TEXT('Working Sheet'!$B753,"mmm")</f>
        <v>Feb</v>
      </c>
      <c r="D753" s="18" t="s">
        <v>29</v>
      </c>
      <c r="E753" s="18" t="s">
        <v>32</v>
      </c>
      <c r="F753" s="18" t="s">
        <v>23</v>
      </c>
      <c r="G753" s="18" t="s">
        <v>20</v>
      </c>
      <c r="H753" s="18" t="s">
        <v>36</v>
      </c>
      <c r="I753" s="18" t="s">
        <v>31</v>
      </c>
      <c r="J753" s="19">
        <v>150000</v>
      </c>
      <c r="K753" s="18">
        <v>3</v>
      </c>
      <c r="L753" s="18" t="s">
        <v>17</v>
      </c>
      <c r="M753" s="20">
        <f t="shared" si="23"/>
        <v>120000</v>
      </c>
      <c r="N753" s="20">
        <f>'Working Sheet'!$J753*'Working Sheet'!$K753</f>
        <v>450000</v>
      </c>
      <c r="O753" s="21">
        <f>'Working Sheet'!$M753*'Working Sheet'!$K753</f>
        <v>360000</v>
      </c>
      <c r="P753" s="20">
        <f>'Working Sheet'!$N753-'Working Sheet'!$O753</f>
        <v>90000</v>
      </c>
    </row>
    <row r="754" spans="1:16" ht="14.25" customHeight="1" x14ac:dyDescent="0.25">
      <c r="A754" s="23" t="str">
        <f t="shared" ca="1" si="22"/>
        <v>ID_1592</v>
      </c>
      <c r="B754" s="22">
        <v>45720</v>
      </c>
      <c r="C754" s="23" t="str">
        <f>TEXT('Working Sheet'!$B754,"mmm")</f>
        <v>Mar</v>
      </c>
      <c r="D754" s="23" t="s">
        <v>25</v>
      </c>
      <c r="E754" s="23" t="s">
        <v>19</v>
      </c>
      <c r="F754" s="23" t="s">
        <v>23</v>
      </c>
      <c r="G754" s="23" t="s">
        <v>20</v>
      </c>
      <c r="H754" s="23" t="s">
        <v>41</v>
      </c>
      <c r="I754" s="23" t="s">
        <v>22</v>
      </c>
      <c r="J754" s="24">
        <v>220000</v>
      </c>
      <c r="K754" s="23">
        <v>6</v>
      </c>
      <c r="L754" s="23" t="s">
        <v>24</v>
      </c>
      <c r="M754" s="25">
        <f t="shared" si="23"/>
        <v>176000</v>
      </c>
      <c r="N754" s="25">
        <f>'Working Sheet'!$J754*'Working Sheet'!$K754</f>
        <v>1320000</v>
      </c>
      <c r="O754" s="26">
        <f>'Working Sheet'!$M754*'Working Sheet'!$K754</f>
        <v>1056000</v>
      </c>
      <c r="P754" s="25">
        <f>'Working Sheet'!$N754-'Working Sheet'!$O754</f>
        <v>264000</v>
      </c>
    </row>
    <row r="755" spans="1:16" ht="14.25" customHeight="1" x14ac:dyDescent="0.25">
      <c r="A755" s="18" t="str">
        <f t="shared" ca="1" si="22"/>
        <v>ID_533</v>
      </c>
      <c r="B755" s="17">
        <v>45753</v>
      </c>
      <c r="C755" s="18" t="str">
        <f>TEXT('Working Sheet'!$B755,"mmm")</f>
        <v>Apr</v>
      </c>
      <c r="D755" s="18" t="s">
        <v>11</v>
      </c>
      <c r="E755" s="18" t="s">
        <v>12</v>
      </c>
      <c r="F755" s="18" t="s">
        <v>23</v>
      </c>
      <c r="G755" s="18" t="s">
        <v>14</v>
      </c>
      <c r="H755" s="18" t="s">
        <v>27</v>
      </c>
      <c r="I755" s="18" t="s">
        <v>22</v>
      </c>
      <c r="J755" s="19">
        <v>60000</v>
      </c>
      <c r="K755" s="18">
        <v>7</v>
      </c>
      <c r="L755" s="18" t="s">
        <v>35</v>
      </c>
      <c r="M755" s="20">
        <f t="shared" si="23"/>
        <v>48000</v>
      </c>
      <c r="N755" s="20">
        <f>'Working Sheet'!$J755*'Working Sheet'!$K755</f>
        <v>420000</v>
      </c>
      <c r="O755" s="21">
        <f>'Working Sheet'!$M755*'Working Sheet'!$K755</f>
        <v>336000</v>
      </c>
      <c r="P755" s="20">
        <f>'Working Sheet'!$N755-'Working Sheet'!$O755</f>
        <v>84000</v>
      </c>
    </row>
    <row r="756" spans="1:16" ht="14.25" customHeight="1" x14ac:dyDescent="0.25">
      <c r="A756" s="23" t="str">
        <f t="shared" ca="1" si="22"/>
        <v>ID_1083</v>
      </c>
      <c r="B756" s="22">
        <v>45690</v>
      </c>
      <c r="C756" s="23" t="str">
        <f>TEXT('Working Sheet'!$B756,"mmm")</f>
        <v>Feb</v>
      </c>
      <c r="D756" s="23" t="s">
        <v>25</v>
      </c>
      <c r="E756" s="23" t="s">
        <v>12</v>
      </c>
      <c r="F756" s="23" t="s">
        <v>13</v>
      </c>
      <c r="G756" s="23" t="s">
        <v>14</v>
      </c>
      <c r="H756" s="23" t="s">
        <v>15</v>
      </c>
      <c r="I756" s="23" t="s">
        <v>16</v>
      </c>
      <c r="J756" s="24">
        <v>85000</v>
      </c>
      <c r="K756" s="23">
        <v>7</v>
      </c>
      <c r="L756" s="23" t="s">
        <v>35</v>
      </c>
      <c r="M756" s="25">
        <f t="shared" si="23"/>
        <v>68000</v>
      </c>
      <c r="N756" s="25">
        <f>'Working Sheet'!$J756*'Working Sheet'!$K756</f>
        <v>595000</v>
      </c>
      <c r="O756" s="26">
        <f>'Working Sheet'!$M756*'Working Sheet'!$K756</f>
        <v>476000</v>
      </c>
      <c r="P756" s="25">
        <f>'Working Sheet'!$N756-'Working Sheet'!$O756</f>
        <v>119000</v>
      </c>
    </row>
    <row r="757" spans="1:16" ht="14.25" customHeight="1" x14ac:dyDescent="0.25">
      <c r="A757" s="18" t="str">
        <f t="shared" ca="1" si="22"/>
        <v>ID_738</v>
      </c>
      <c r="B757" s="17">
        <v>45671</v>
      </c>
      <c r="C757" s="18" t="str">
        <f>TEXT('Working Sheet'!$B757,"mmm")</f>
        <v>Jan</v>
      </c>
      <c r="D757" s="18" t="s">
        <v>11</v>
      </c>
      <c r="E757" s="18" t="s">
        <v>19</v>
      </c>
      <c r="F757" s="18" t="s">
        <v>13</v>
      </c>
      <c r="G757" s="18" t="s">
        <v>14</v>
      </c>
      <c r="H757" s="18" t="s">
        <v>38</v>
      </c>
      <c r="I757" s="18" t="s">
        <v>31</v>
      </c>
      <c r="J757" s="19">
        <v>420000</v>
      </c>
      <c r="K757" s="18">
        <v>6</v>
      </c>
      <c r="L757" s="18" t="s">
        <v>17</v>
      </c>
      <c r="M757" s="20">
        <f t="shared" si="23"/>
        <v>336000</v>
      </c>
      <c r="N757" s="20">
        <f>'Working Sheet'!$J757*'Working Sheet'!$K757</f>
        <v>2520000</v>
      </c>
      <c r="O757" s="21">
        <f>'Working Sheet'!$M757*'Working Sheet'!$K757</f>
        <v>2016000</v>
      </c>
      <c r="P757" s="20">
        <f>'Working Sheet'!$N757-'Working Sheet'!$O757</f>
        <v>504000</v>
      </c>
    </row>
    <row r="758" spans="1:16" ht="14.25" customHeight="1" x14ac:dyDescent="0.25">
      <c r="A758" s="23" t="str">
        <f t="shared" ca="1" si="22"/>
        <v>ID_101</v>
      </c>
      <c r="B758" s="22">
        <v>45762</v>
      </c>
      <c r="C758" s="23" t="str">
        <f>TEXT('Working Sheet'!$B758,"mmm")</f>
        <v>Apr</v>
      </c>
      <c r="D758" s="23" t="s">
        <v>11</v>
      </c>
      <c r="E758" s="23" t="s">
        <v>12</v>
      </c>
      <c r="F758" s="23" t="s">
        <v>13</v>
      </c>
      <c r="G758" s="23" t="s">
        <v>20</v>
      </c>
      <c r="H758" s="23" t="s">
        <v>30</v>
      </c>
      <c r="I758" s="23" t="s">
        <v>31</v>
      </c>
      <c r="J758" s="24">
        <v>300000</v>
      </c>
      <c r="K758" s="23">
        <v>3</v>
      </c>
      <c r="L758" s="23" t="s">
        <v>28</v>
      </c>
      <c r="M758" s="25">
        <f t="shared" si="23"/>
        <v>240000</v>
      </c>
      <c r="N758" s="25">
        <f>'Working Sheet'!$J758*'Working Sheet'!$K758</f>
        <v>900000</v>
      </c>
      <c r="O758" s="26">
        <f>'Working Sheet'!$M758*'Working Sheet'!$K758</f>
        <v>720000</v>
      </c>
      <c r="P758" s="25">
        <f>'Working Sheet'!$N758-'Working Sheet'!$O758</f>
        <v>180000</v>
      </c>
    </row>
    <row r="759" spans="1:16" ht="14.25" customHeight="1" x14ac:dyDescent="0.25">
      <c r="A759" s="18" t="str">
        <f t="shared" ca="1" si="22"/>
        <v>ID_92</v>
      </c>
      <c r="B759" s="17">
        <v>45682</v>
      </c>
      <c r="C759" s="18" t="str">
        <f>TEXT('Working Sheet'!$B759,"mmm")</f>
        <v>Jan</v>
      </c>
      <c r="D759" s="18" t="s">
        <v>29</v>
      </c>
      <c r="E759" s="18" t="s">
        <v>32</v>
      </c>
      <c r="F759" s="18" t="s">
        <v>13</v>
      </c>
      <c r="G759" s="18" t="s">
        <v>14</v>
      </c>
      <c r="H759" s="18" t="s">
        <v>41</v>
      </c>
      <c r="I759" s="18" t="s">
        <v>22</v>
      </c>
      <c r="J759" s="19">
        <v>220000</v>
      </c>
      <c r="K759" s="18">
        <v>10</v>
      </c>
      <c r="L759" s="18" t="s">
        <v>17</v>
      </c>
      <c r="M759" s="20">
        <f t="shared" si="23"/>
        <v>176000</v>
      </c>
      <c r="N759" s="20">
        <f>'Working Sheet'!$J759*'Working Sheet'!$K759</f>
        <v>2200000</v>
      </c>
      <c r="O759" s="21">
        <f>'Working Sheet'!$M759*'Working Sheet'!$K759</f>
        <v>1760000</v>
      </c>
      <c r="P759" s="20">
        <f>'Working Sheet'!$N759-'Working Sheet'!$O759</f>
        <v>440000</v>
      </c>
    </row>
    <row r="760" spans="1:16" ht="14.25" customHeight="1" x14ac:dyDescent="0.25">
      <c r="A760" s="23" t="str">
        <f t="shared" ca="1" si="22"/>
        <v>ID_1468</v>
      </c>
      <c r="B760" s="22">
        <v>45715</v>
      </c>
      <c r="C760" s="23" t="str">
        <f>TEXT('Working Sheet'!$B760,"mmm")</f>
        <v>Feb</v>
      </c>
      <c r="D760" s="23" t="s">
        <v>29</v>
      </c>
      <c r="E760" s="23" t="s">
        <v>12</v>
      </c>
      <c r="F760" s="23" t="s">
        <v>23</v>
      </c>
      <c r="G760" s="23" t="s">
        <v>20</v>
      </c>
      <c r="H760" s="23" t="s">
        <v>15</v>
      </c>
      <c r="I760" s="23" t="s">
        <v>16</v>
      </c>
      <c r="J760" s="24">
        <v>85000</v>
      </c>
      <c r="K760" s="23">
        <v>4</v>
      </c>
      <c r="L760" s="23" t="s">
        <v>35</v>
      </c>
      <c r="M760" s="25">
        <f t="shared" si="23"/>
        <v>68000</v>
      </c>
      <c r="N760" s="25">
        <f>'Working Sheet'!$J760*'Working Sheet'!$K760</f>
        <v>340000</v>
      </c>
      <c r="O760" s="26">
        <f>'Working Sheet'!$M760*'Working Sheet'!$K760</f>
        <v>272000</v>
      </c>
      <c r="P760" s="25">
        <f>'Working Sheet'!$N760-'Working Sheet'!$O760</f>
        <v>68000</v>
      </c>
    </row>
    <row r="761" spans="1:16" ht="14.25" customHeight="1" x14ac:dyDescent="0.25">
      <c r="A761" s="18" t="str">
        <f t="shared" ca="1" si="22"/>
        <v>ID_837</v>
      </c>
      <c r="B761" s="17">
        <v>45726</v>
      </c>
      <c r="C761" s="18" t="str">
        <f>TEXT('Working Sheet'!$B761,"mmm")</f>
        <v>Mar</v>
      </c>
      <c r="D761" s="18" t="s">
        <v>29</v>
      </c>
      <c r="E761" s="18" t="s">
        <v>19</v>
      </c>
      <c r="F761" s="18" t="s">
        <v>13</v>
      </c>
      <c r="G761" s="18" t="s">
        <v>20</v>
      </c>
      <c r="H761" s="18" t="s">
        <v>34</v>
      </c>
      <c r="I761" s="18" t="s">
        <v>16</v>
      </c>
      <c r="J761" s="19">
        <v>320000</v>
      </c>
      <c r="K761" s="18">
        <v>4</v>
      </c>
      <c r="L761" s="18" t="s">
        <v>39</v>
      </c>
      <c r="M761" s="20">
        <f t="shared" si="23"/>
        <v>256000</v>
      </c>
      <c r="N761" s="20">
        <f>'Working Sheet'!$J761*'Working Sheet'!$K761</f>
        <v>1280000</v>
      </c>
      <c r="O761" s="21">
        <f>'Working Sheet'!$M761*'Working Sheet'!$K761</f>
        <v>1024000</v>
      </c>
      <c r="P761" s="20">
        <f>'Working Sheet'!$N761-'Working Sheet'!$O761</f>
        <v>256000</v>
      </c>
    </row>
    <row r="762" spans="1:16" ht="14.25" customHeight="1" x14ac:dyDescent="0.25">
      <c r="A762" s="23" t="str">
        <f t="shared" ca="1" si="22"/>
        <v>ID_1323</v>
      </c>
      <c r="B762" s="22">
        <v>45684</v>
      </c>
      <c r="C762" s="23" t="str">
        <f>TEXT('Working Sheet'!$B762,"mmm")</f>
        <v>Jan</v>
      </c>
      <c r="D762" s="23" t="s">
        <v>25</v>
      </c>
      <c r="E762" s="23" t="s">
        <v>32</v>
      </c>
      <c r="F762" s="23" t="s">
        <v>13</v>
      </c>
      <c r="G762" s="23" t="s">
        <v>20</v>
      </c>
      <c r="H762" s="23" t="s">
        <v>36</v>
      </c>
      <c r="I762" s="23" t="s">
        <v>31</v>
      </c>
      <c r="J762" s="24">
        <v>150000</v>
      </c>
      <c r="K762" s="23">
        <v>6</v>
      </c>
      <c r="L762" s="23" t="s">
        <v>39</v>
      </c>
      <c r="M762" s="25">
        <f t="shared" si="23"/>
        <v>120000</v>
      </c>
      <c r="N762" s="25">
        <f>'Working Sheet'!$J762*'Working Sheet'!$K762</f>
        <v>900000</v>
      </c>
      <c r="O762" s="26">
        <f>'Working Sheet'!$M762*'Working Sheet'!$K762</f>
        <v>720000</v>
      </c>
      <c r="P762" s="25">
        <f>'Working Sheet'!$N762-'Working Sheet'!$O762</f>
        <v>180000</v>
      </c>
    </row>
    <row r="763" spans="1:16" ht="14.25" customHeight="1" x14ac:dyDescent="0.25">
      <c r="A763" s="18" t="str">
        <f t="shared" ca="1" si="22"/>
        <v>ID_609</v>
      </c>
      <c r="B763" s="17">
        <v>45684</v>
      </c>
      <c r="C763" s="18" t="str">
        <f>TEXT('Working Sheet'!$B763,"mmm")</f>
        <v>Jan</v>
      </c>
      <c r="D763" s="18" t="s">
        <v>11</v>
      </c>
      <c r="E763" s="18" t="s">
        <v>19</v>
      </c>
      <c r="F763" s="18" t="s">
        <v>13</v>
      </c>
      <c r="G763" s="18" t="s">
        <v>20</v>
      </c>
      <c r="H763" s="18" t="s">
        <v>34</v>
      </c>
      <c r="I763" s="18" t="s">
        <v>16</v>
      </c>
      <c r="J763" s="19">
        <v>320000</v>
      </c>
      <c r="K763" s="18">
        <v>2</v>
      </c>
      <c r="L763" s="18" t="s">
        <v>39</v>
      </c>
      <c r="M763" s="20">
        <f t="shared" si="23"/>
        <v>256000</v>
      </c>
      <c r="N763" s="20">
        <f>'Working Sheet'!$J763*'Working Sheet'!$K763</f>
        <v>640000</v>
      </c>
      <c r="O763" s="21">
        <f>'Working Sheet'!$M763*'Working Sheet'!$K763</f>
        <v>512000</v>
      </c>
      <c r="P763" s="20">
        <f>'Working Sheet'!$N763-'Working Sheet'!$O763</f>
        <v>128000</v>
      </c>
    </row>
    <row r="764" spans="1:16" ht="14.25" customHeight="1" x14ac:dyDescent="0.25">
      <c r="A764" s="23" t="str">
        <f t="shared" ca="1" si="22"/>
        <v>ID_114</v>
      </c>
      <c r="B764" s="22">
        <v>45711</v>
      </c>
      <c r="C764" s="23" t="str">
        <f>TEXT('Working Sheet'!$B764,"mmm")</f>
        <v>Feb</v>
      </c>
      <c r="D764" s="23" t="s">
        <v>29</v>
      </c>
      <c r="E764" s="23" t="s">
        <v>26</v>
      </c>
      <c r="F764" s="23" t="s">
        <v>13</v>
      </c>
      <c r="G764" s="23" t="s">
        <v>14</v>
      </c>
      <c r="H764" s="23" t="s">
        <v>34</v>
      </c>
      <c r="I764" s="23" t="s">
        <v>16</v>
      </c>
      <c r="J764" s="24">
        <v>320000</v>
      </c>
      <c r="K764" s="23">
        <v>10</v>
      </c>
      <c r="L764" s="23" t="s">
        <v>39</v>
      </c>
      <c r="M764" s="25">
        <f t="shared" si="23"/>
        <v>256000</v>
      </c>
      <c r="N764" s="25">
        <f>'Working Sheet'!$J764*'Working Sheet'!$K764</f>
        <v>3200000</v>
      </c>
      <c r="O764" s="26">
        <f>'Working Sheet'!$M764*'Working Sheet'!$K764</f>
        <v>2560000</v>
      </c>
      <c r="P764" s="25">
        <f>'Working Sheet'!$N764-'Working Sheet'!$O764</f>
        <v>640000</v>
      </c>
    </row>
    <row r="765" spans="1:16" ht="14.25" customHeight="1" x14ac:dyDescent="0.25">
      <c r="A765" s="18" t="str">
        <f t="shared" ca="1" si="22"/>
        <v>ID_581</v>
      </c>
      <c r="B765" s="17">
        <v>45702</v>
      </c>
      <c r="C765" s="18" t="str">
        <f>TEXT('Working Sheet'!$B765,"mmm")</f>
        <v>Feb</v>
      </c>
      <c r="D765" s="18" t="s">
        <v>25</v>
      </c>
      <c r="E765" s="18" t="s">
        <v>19</v>
      </c>
      <c r="F765" s="18" t="s">
        <v>23</v>
      </c>
      <c r="G765" s="18" t="s">
        <v>14</v>
      </c>
      <c r="H765" s="18" t="s">
        <v>38</v>
      </c>
      <c r="I765" s="18" t="s">
        <v>31</v>
      </c>
      <c r="J765" s="19">
        <v>420000</v>
      </c>
      <c r="K765" s="18">
        <v>8</v>
      </c>
      <c r="L765" s="18" t="s">
        <v>17</v>
      </c>
      <c r="M765" s="20">
        <f t="shared" si="23"/>
        <v>336000</v>
      </c>
      <c r="N765" s="20">
        <f>'Working Sheet'!$J765*'Working Sheet'!$K765</f>
        <v>3360000</v>
      </c>
      <c r="O765" s="21">
        <f>'Working Sheet'!$M765*'Working Sheet'!$K765</f>
        <v>2688000</v>
      </c>
      <c r="P765" s="20">
        <f>'Working Sheet'!$N765-'Working Sheet'!$O765</f>
        <v>672000</v>
      </c>
    </row>
    <row r="766" spans="1:16" ht="14.25" customHeight="1" x14ac:dyDescent="0.25">
      <c r="A766" s="23" t="str">
        <f t="shared" ca="1" si="22"/>
        <v>ID_1637</v>
      </c>
      <c r="B766" s="22">
        <v>45717</v>
      </c>
      <c r="C766" s="23" t="str">
        <f>TEXT('Working Sheet'!$B766,"mmm")</f>
        <v>Mar</v>
      </c>
      <c r="D766" s="23" t="s">
        <v>29</v>
      </c>
      <c r="E766" s="23" t="s">
        <v>12</v>
      </c>
      <c r="F766" s="23" t="s">
        <v>23</v>
      </c>
      <c r="G766" s="23" t="s">
        <v>14</v>
      </c>
      <c r="H766" s="23" t="s">
        <v>36</v>
      </c>
      <c r="I766" s="23" t="s">
        <v>31</v>
      </c>
      <c r="J766" s="24">
        <v>150000</v>
      </c>
      <c r="K766" s="23">
        <v>5</v>
      </c>
      <c r="L766" s="23" t="s">
        <v>37</v>
      </c>
      <c r="M766" s="25">
        <f t="shared" si="23"/>
        <v>120000</v>
      </c>
      <c r="N766" s="25">
        <f>'Working Sheet'!$J766*'Working Sheet'!$K766</f>
        <v>750000</v>
      </c>
      <c r="O766" s="26">
        <f>'Working Sheet'!$M766*'Working Sheet'!$K766</f>
        <v>600000</v>
      </c>
      <c r="P766" s="25">
        <f>'Working Sheet'!$N766-'Working Sheet'!$O766</f>
        <v>150000</v>
      </c>
    </row>
    <row r="767" spans="1:16" ht="14.25" customHeight="1" x14ac:dyDescent="0.25">
      <c r="A767" s="18" t="str">
        <f t="shared" ca="1" si="22"/>
        <v>ID_1758</v>
      </c>
      <c r="B767" s="17">
        <v>45760</v>
      </c>
      <c r="C767" s="18" t="str">
        <f>TEXT('Working Sheet'!$B767,"mmm")</f>
        <v>Apr</v>
      </c>
      <c r="D767" s="18" t="s">
        <v>11</v>
      </c>
      <c r="E767" s="18" t="s">
        <v>26</v>
      </c>
      <c r="F767" s="18" t="s">
        <v>23</v>
      </c>
      <c r="G767" s="18" t="s">
        <v>20</v>
      </c>
      <c r="H767" s="18" t="s">
        <v>15</v>
      </c>
      <c r="I767" s="18" t="s">
        <v>16</v>
      </c>
      <c r="J767" s="19">
        <v>85000</v>
      </c>
      <c r="K767" s="18">
        <v>1</v>
      </c>
      <c r="L767" s="18" t="s">
        <v>37</v>
      </c>
      <c r="M767" s="20">
        <f t="shared" si="23"/>
        <v>68000</v>
      </c>
      <c r="N767" s="20">
        <f>'Working Sheet'!$J767*'Working Sheet'!$K767</f>
        <v>85000</v>
      </c>
      <c r="O767" s="21">
        <f>'Working Sheet'!$M767*'Working Sheet'!$K767</f>
        <v>68000</v>
      </c>
      <c r="P767" s="20">
        <f>'Working Sheet'!$N767-'Working Sheet'!$O767</f>
        <v>17000</v>
      </c>
    </row>
    <row r="768" spans="1:16" ht="14.25" customHeight="1" x14ac:dyDescent="0.25">
      <c r="A768" s="23" t="str">
        <f t="shared" ca="1" si="22"/>
        <v>ID_631</v>
      </c>
      <c r="B768" s="22">
        <v>45768</v>
      </c>
      <c r="C768" s="23" t="str">
        <f>TEXT('Working Sheet'!$B768,"mmm")</f>
        <v>Apr</v>
      </c>
      <c r="D768" s="23" t="s">
        <v>18</v>
      </c>
      <c r="E768" s="23" t="s">
        <v>32</v>
      </c>
      <c r="F768" s="23" t="s">
        <v>23</v>
      </c>
      <c r="G768" s="23" t="s">
        <v>20</v>
      </c>
      <c r="H768" s="23" t="s">
        <v>38</v>
      </c>
      <c r="I768" s="23" t="s">
        <v>31</v>
      </c>
      <c r="J768" s="24">
        <v>420000</v>
      </c>
      <c r="K768" s="23">
        <v>2</v>
      </c>
      <c r="L768" s="23" t="s">
        <v>39</v>
      </c>
      <c r="M768" s="25">
        <f t="shared" si="23"/>
        <v>336000</v>
      </c>
      <c r="N768" s="25">
        <f>'Working Sheet'!$J768*'Working Sheet'!$K768</f>
        <v>840000</v>
      </c>
      <c r="O768" s="26">
        <f>'Working Sheet'!$M768*'Working Sheet'!$K768</f>
        <v>672000</v>
      </c>
      <c r="P768" s="25">
        <f>'Working Sheet'!$N768-'Working Sheet'!$O768</f>
        <v>168000</v>
      </c>
    </row>
    <row r="769" spans="1:16" ht="14.25" customHeight="1" x14ac:dyDescent="0.25">
      <c r="A769" s="18" t="str">
        <f t="shared" ca="1" si="22"/>
        <v>ID_1957</v>
      </c>
      <c r="B769" s="17">
        <v>45680</v>
      </c>
      <c r="C769" s="18" t="str">
        <f>TEXT('Working Sheet'!$B769,"mmm")</f>
        <v>Jan</v>
      </c>
      <c r="D769" s="18" t="s">
        <v>18</v>
      </c>
      <c r="E769" s="18" t="s">
        <v>32</v>
      </c>
      <c r="F769" s="18" t="s">
        <v>13</v>
      </c>
      <c r="G769" s="18" t="s">
        <v>20</v>
      </c>
      <c r="H769" s="18" t="s">
        <v>33</v>
      </c>
      <c r="I769" s="18" t="s">
        <v>22</v>
      </c>
      <c r="J769" s="19">
        <v>180000</v>
      </c>
      <c r="K769" s="18">
        <v>6</v>
      </c>
      <c r="L769" s="18" t="s">
        <v>39</v>
      </c>
      <c r="M769" s="20">
        <f t="shared" si="23"/>
        <v>144000</v>
      </c>
      <c r="N769" s="20">
        <f>'Working Sheet'!$J769*'Working Sheet'!$K769</f>
        <v>1080000</v>
      </c>
      <c r="O769" s="21">
        <f>'Working Sheet'!$M769*'Working Sheet'!$K769</f>
        <v>864000</v>
      </c>
      <c r="P769" s="20">
        <f>'Working Sheet'!$N769-'Working Sheet'!$O769</f>
        <v>216000</v>
      </c>
    </row>
    <row r="770" spans="1:16" ht="14.25" customHeight="1" x14ac:dyDescent="0.25">
      <c r="A770" s="23" t="str">
        <f t="shared" ref="A770:A833" ca="1" si="24">"ID_"&amp; RANDBETWEEN(1,2098)</f>
        <v>ID_1897</v>
      </c>
      <c r="B770" s="22">
        <v>45703</v>
      </c>
      <c r="C770" s="23" t="str">
        <f>TEXT('Working Sheet'!$B770,"mmm")</f>
        <v>Feb</v>
      </c>
      <c r="D770" s="23" t="s">
        <v>18</v>
      </c>
      <c r="E770" s="23" t="s">
        <v>12</v>
      </c>
      <c r="F770" s="23" t="s">
        <v>13</v>
      </c>
      <c r="G770" s="23" t="s">
        <v>20</v>
      </c>
      <c r="H770" s="23" t="s">
        <v>41</v>
      </c>
      <c r="I770" s="23" t="s">
        <v>22</v>
      </c>
      <c r="J770" s="24">
        <v>220000</v>
      </c>
      <c r="K770" s="23">
        <v>7</v>
      </c>
      <c r="L770" s="23" t="s">
        <v>17</v>
      </c>
      <c r="M770" s="25">
        <f t="shared" ref="M770:M833" si="25">J770-J770*0.2</f>
        <v>176000</v>
      </c>
      <c r="N770" s="25">
        <f>'Working Sheet'!$J770*'Working Sheet'!$K770</f>
        <v>1540000</v>
      </c>
      <c r="O770" s="26">
        <f>'Working Sheet'!$M770*'Working Sheet'!$K770</f>
        <v>1232000</v>
      </c>
      <c r="P770" s="25">
        <f>'Working Sheet'!$N770-'Working Sheet'!$O770</f>
        <v>308000</v>
      </c>
    </row>
    <row r="771" spans="1:16" ht="14.25" customHeight="1" x14ac:dyDescent="0.25">
      <c r="A771" s="18" t="str">
        <f t="shared" ca="1" si="24"/>
        <v>ID_141</v>
      </c>
      <c r="B771" s="17">
        <v>45774</v>
      </c>
      <c r="C771" s="18" t="str">
        <f>TEXT('Working Sheet'!$B771,"mmm")</f>
        <v>Apr</v>
      </c>
      <c r="D771" s="18" t="s">
        <v>18</v>
      </c>
      <c r="E771" s="18" t="s">
        <v>12</v>
      </c>
      <c r="F771" s="18" t="s">
        <v>13</v>
      </c>
      <c r="G771" s="18" t="s">
        <v>14</v>
      </c>
      <c r="H771" s="18" t="s">
        <v>41</v>
      </c>
      <c r="I771" s="18" t="s">
        <v>22</v>
      </c>
      <c r="J771" s="19">
        <v>220000</v>
      </c>
      <c r="K771" s="18">
        <v>5</v>
      </c>
      <c r="L771" s="18" t="s">
        <v>24</v>
      </c>
      <c r="M771" s="20">
        <f t="shared" si="25"/>
        <v>176000</v>
      </c>
      <c r="N771" s="20">
        <f>'Working Sheet'!$J771*'Working Sheet'!$K771</f>
        <v>1100000</v>
      </c>
      <c r="O771" s="21">
        <f>'Working Sheet'!$M771*'Working Sheet'!$K771</f>
        <v>880000</v>
      </c>
      <c r="P771" s="20">
        <f>'Working Sheet'!$N771-'Working Sheet'!$O771</f>
        <v>220000</v>
      </c>
    </row>
    <row r="772" spans="1:16" ht="14.25" customHeight="1" x14ac:dyDescent="0.25">
      <c r="A772" s="23" t="str">
        <f t="shared" ca="1" si="24"/>
        <v>ID_799</v>
      </c>
      <c r="B772" s="22">
        <v>45733</v>
      </c>
      <c r="C772" s="23" t="str">
        <f>TEXT('Working Sheet'!$B772,"mmm")</f>
        <v>Mar</v>
      </c>
      <c r="D772" s="23" t="s">
        <v>29</v>
      </c>
      <c r="E772" s="23" t="s">
        <v>12</v>
      </c>
      <c r="F772" s="23" t="s">
        <v>13</v>
      </c>
      <c r="G772" s="23" t="s">
        <v>20</v>
      </c>
      <c r="H772" s="23" t="s">
        <v>30</v>
      </c>
      <c r="I772" s="23" t="s">
        <v>31</v>
      </c>
      <c r="J772" s="24">
        <v>300000</v>
      </c>
      <c r="K772" s="23">
        <v>6</v>
      </c>
      <c r="L772" s="23" t="s">
        <v>28</v>
      </c>
      <c r="M772" s="25">
        <f t="shared" si="25"/>
        <v>240000</v>
      </c>
      <c r="N772" s="25">
        <f>'Working Sheet'!$J772*'Working Sheet'!$K772</f>
        <v>1800000</v>
      </c>
      <c r="O772" s="26">
        <f>'Working Sheet'!$M772*'Working Sheet'!$K772</f>
        <v>1440000</v>
      </c>
      <c r="P772" s="25">
        <f>'Working Sheet'!$N772-'Working Sheet'!$O772</f>
        <v>360000</v>
      </c>
    </row>
    <row r="773" spans="1:16" ht="14.25" customHeight="1" x14ac:dyDescent="0.25">
      <c r="A773" s="18" t="str">
        <f t="shared" ca="1" si="24"/>
        <v>ID_2043</v>
      </c>
      <c r="B773" s="17">
        <v>45771</v>
      </c>
      <c r="C773" s="18" t="str">
        <f>TEXT('Working Sheet'!$B773,"mmm")</f>
        <v>Apr</v>
      </c>
      <c r="D773" s="18" t="s">
        <v>11</v>
      </c>
      <c r="E773" s="18" t="s">
        <v>26</v>
      </c>
      <c r="F773" s="18" t="s">
        <v>13</v>
      </c>
      <c r="G773" s="18" t="s">
        <v>20</v>
      </c>
      <c r="H773" s="18" t="s">
        <v>40</v>
      </c>
      <c r="I773" s="18" t="s">
        <v>31</v>
      </c>
      <c r="J773" s="19">
        <v>250000</v>
      </c>
      <c r="K773" s="18">
        <v>4</v>
      </c>
      <c r="L773" s="18" t="s">
        <v>28</v>
      </c>
      <c r="M773" s="20">
        <f t="shared" si="25"/>
        <v>200000</v>
      </c>
      <c r="N773" s="20">
        <f>'Working Sheet'!$J773*'Working Sheet'!$K773</f>
        <v>1000000</v>
      </c>
      <c r="O773" s="21">
        <f>'Working Sheet'!$M773*'Working Sheet'!$K773</f>
        <v>800000</v>
      </c>
      <c r="P773" s="20">
        <f>'Working Sheet'!$N773-'Working Sheet'!$O773</f>
        <v>200000</v>
      </c>
    </row>
    <row r="774" spans="1:16" ht="14.25" customHeight="1" x14ac:dyDescent="0.25">
      <c r="A774" s="23" t="str">
        <f t="shared" ca="1" si="24"/>
        <v>ID_1394</v>
      </c>
      <c r="B774" s="22">
        <v>45753</v>
      </c>
      <c r="C774" s="23" t="str">
        <f>TEXT('Working Sheet'!$B774,"mmm")</f>
        <v>Apr</v>
      </c>
      <c r="D774" s="23" t="s">
        <v>29</v>
      </c>
      <c r="E774" s="23" t="s">
        <v>19</v>
      </c>
      <c r="F774" s="23" t="s">
        <v>23</v>
      </c>
      <c r="G774" s="23" t="s">
        <v>14</v>
      </c>
      <c r="H774" s="23" t="s">
        <v>34</v>
      </c>
      <c r="I774" s="23" t="s">
        <v>16</v>
      </c>
      <c r="J774" s="24">
        <v>320000</v>
      </c>
      <c r="K774" s="23">
        <v>5</v>
      </c>
      <c r="L774" s="23" t="s">
        <v>24</v>
      </c>
      <c r="M774" s="25">
        <f t="shared" si="25"/>
        <v>256000</v>
      </c>
      <c r="N774" s="25">
        <f>'Working Sheet'!$J774*'Working Sheet'!$K774</f>
        <v>1600000</v>
      </c>
      <c r="O774" s="26">
        <f>'Working Sheet'!$M774*'Working Sheet'!$K774</f>
        <v>1280000</v>
      </c>
      <c r="P774" s="25">
        <f>'Working Sheet'!$N774-'Working Sheet'!$O774</f>
        <v>320000</v>
      </c>
    </row>
    <row r="775" spans="1:16" ht="14.25" customHeight="1" x14ac:dyDescent="0.25">
      <c r="A775" s="18" t="str">
        <f t="shared" ca="1" si="24"/>
        <v>ID_1144</v>
      </c>
      <c r="B775" s="17">
        <v>45741</v>
      </c>
      <c r="C775" s="18" t="str">
        <f>TEXT('Working Sheet'!$B775,"mmm")</f>
        <v>Mar</v>
      </c>
      <c r="D775" s="18" t="s">
        <v>29</v>
      </c>
      <c r="E775" s="18" t="s">
        <v>12</v>
      </c>
      <c r="F775" s="18" t="s">
        <v>13</v>
      </c>
      <c r="G775" s="18" t="s">
        <v>20</v>
      </c>
      <c r="H775" s="18" t="s">
        <v>30</v>
      </c>
      <c r="I775" s="18" t="s">
        <v>31</v>
      </c>
      <c r="J775" s="19">
        <v>300000</v>
      </c>
      <c r="K775" s="18">
        <v>10</v>
      </c>
      <c r="L775" s="18" t="s">
        <v>39</v>
      </c>
      <c r="M775" s="20">
        <f t="shared" si="25"/>
        <v>240000</v>
      </c>
      <c r="N775" s="20">
        <f>'Working Sheet'!$J775*'Working Sheet'!$K775</f>
        <v>3000000</v>
      </c>
      <c r="O775" s="21">
        <f>'Working Sheet'!$M775*'Working Sheet'!$K775</f>
        <v>2400000</v>
      </c>
      <c r="P775" s="20">
        <f>'Working Sheet'!$N775-'Working Sheet'!$O775</f>
        <v>600000</v>
      </c>
    </row>
    <row r="776" spans="1:16" ht="14.25" customHeight="1" x14ac:dyDescent="0.25">
      <c r="A776" s="23" t="str">
        <f t="shared" ca="1" si="24"/>
        <v>ID_273</v>
      </c>
      <c r="B776" s="22">
        <v>45729</v>
      </c>
      <c r="C776" s="23" t="str">
        <f>TEXT('Working Sheet'!$B776,"mmm")</f>
        <v>Mar</v>
      </c>
      <c r="D776" s="23" t="s">
        <v>29</v>
      </c>
      <c r="E776" s="23" t="s">
        <v>12</v>
      </c>
      <c r="F776" s="23" t="s">
        <v>13</v>
      </c>
      <c r="G776" s="23" t="s">
        <v>20</v>
      </c>
      <c r="H776" s="23" t="s">
        <v>27</v>
      </c>
      <c r="I776" s="23" t="s">
        <v>22</v>
      </c>
      <c r="J776" s="24">
        <v>60000</v>
      </c>
      <c r="K776" s="23">
        <v>5</v>
      </c>
      <c r="L776" s="23" t="s">
        <v>37</v>
      </c>
      <c r="M776" s="25">
        <f t="shared" si="25"/>
        <v>48000</v>
      </c>
      <c r="N776" s="25">
        <f>'Working Sheet'!$J776*'Working Sheet'!$K776</f>
        <v>300000</v>
      </c>
      <c r="O776" s="26">
        <f>'Working Sheet'!$M776*'Working Sheet'!$K776</f>
        <v>240000</v>
      </c>
      <c r="P776" s="25">
        <f>'Working Sheet'!$N776-'Working Sheet'!$O776</f>
        <v>60000</v>
      </c>
    </row>
    <row r="777" spans="1:16" ht="14.25" customHeight="1" x14ac:dyDescent="0.25">
      <c r="A777" s="18" t="str">
        <f t="shared" ca="1" si="24"/>
        <v>ID_888</v>
      </c>
      <c r="B777" s="17">
        <v>45749</v>
      </c>
      <c r="C777" s="18" t="str">
        <f>TEXT('Working Sheet'!$B777,"mmm")</f>
        <v>Apr</v>
      </c>
      <c r="D777" s="18" t="s">
        <v>29</v>
      </c>
      <c r="E777" s="18" t="s">
        <v>26</v>
      </c>
      <c r="F777" s="18" t="s">
        <v>13</v>
      </c>
      <c r="G777" s="18" t="s">
        <v>14</v>
      </c>
      <c r="H777" s="18" t="s">
        <v>38</v>
      </c>
      <c r="I777" s="18" t="s">
        <v>31</v>
      </c>
      <c r="J777" s="19">
        <v>420000</v>
      </c>
      <c r="K777" s="18">
        <v>8</v>
      </c>
      <c r="L777" s="18" t="s">
        <v>35</v>
      </c>
      <c r="M777" s="20">
        <f t="shared" si="25"/>
        <v>336000</v>
      </c>
      <c r="N777" s="20">
        <f>'Working Sheet'!$J777*'Working Sheet'!$K777</f>
        <v>3360000</v>
      </c>
      <c r="O777" s="21">
        <f>'Working Sheet'!$M777*'Working Sheet'!$K777</f>
        <v>2688000</v>
      </c>
      <c r="P777" s="20">
        <f>'Working Sheet'!$N777-'Working Sheet'!$O777</f>
        <v>672000</v>
      </c>
    </row>
    <row r="778" spans="1:16" ht="14.25" customHeight="1" x14ac:dyDescent="0.25">
      <c r="A778" s="23" t="str">
        <f t="shared" ca="1" si="24"/>
        <v>ID_56</v>
      </c>
      <c r="B778" s="22">
        <v>45680</v>
      </c>
      <c r="C778" s="23" t="str">
        <f>TEXT('Working Sheet'!$B778,"mmm")</f>
        <v>Jan</v>
      </c>
      <c r="D778" s="23" t="s">
        <v>11</v>
      </c>
      <c r="E778" s="23" t="s">
        <v>32</v>
      </c>
      <c r="F778" s="23" t="s">
        <v>23</v>
      </c>
      <c r="G778" s="23" t="s">
        <v>14</v>
      </c>
      <c r="H778" s="23" t="s">
        <v>30</v>
      </c>
      <c r="I778" s="23" t="s">
        <v>31</v>
      </c>
      <c r="J778" s="24">
        <v>300000</v>
      </c>
      <c r="K778" s="23">
        <v>1</v>
      </c>
      <c r="L778" s="23" t="s">
        <v>24</v>
      </c>
      <c r="M778" s="25">
        <f t="shared" si="25"/>
        <v>240000</v>
      </c>
      <c r="N778" s="25">
        <f>'Working Sheet'!$J778*'Working Sheet'!$K778</f>
        <v>300000</v>
      </c>
      <c r="O778" s="26">
        <f>'Working Sheet'!$M778*'Working Sheet'!$K778</f>
        <v>240000</v>
      </c>
      <c r="P778" s="25">
        <f>'Working Sheet'!$N778-'Working Sheet'!$O778</f>
        <v>60000</v>
      </c>
    </row>
    <row r="779" spans="1:16" ht="14.25" customHeight="1" x14ac:dyDescent="0.25">
      <c r="A779" s="18" t="str">
        <f t="shared" ca="1" si="24"/>
        <v>ID_900</v>
      </c>
      <c r="B779" s="17">
        <v>45729</v>
      </c>
      <c r="C779" s="18" t="str">
        <f>TEXT('Working Sheet'!$B779,"mmm")</f>
        <v>Mar</v>
      </c>
      <c r="D779" s="18" t="s">
        <v>11</v>
      </c>
      <c r="E779" s="18" t="s">
        <v>26</v>
      </c>
      <c r="F779" s="18" t="s">
        <v>23</v>
      </c>
      <c r="G779" s="18" t="s">
        <v>20</v>
      </c>
      <c r="H779" s="18" t="s">
        <v>38</v>
      </c>
      <c r="I779" s="18" t="s">
        <v>31</v>
      </c>
      <c r="J779" s="19">
        <v>420000</v>
      </c>
      <c r="K779" s="18">
        <v>2</v>
      </c>
      <c r="L779" s="18" t="s">
        <v>37</v>
      </c>
      <c r="M779" s="20">
        <f t="shared" si="25"/>
        <v>336000</v>
      </c>
      <c r="N779" s="20">
        <f>'Working Sheet'!$J779*'Working Sheet'!$K779</f>
        <v>840000</v>
      </c>
      <c r="O779" s="21">
        <f>'Working Sheet'!$M779*'Working Sheet'!$K779</f>
        <v>672000</v>
      </c>
      <c r="P779" s="20">
        <f>'Working Sheet'!$N779-'Working Sheet'!$O779</f>
        <v>168000</v>
      </c>
    </row>
    <row r="780" spans="1:16" ht="14.25" customHeight="1" x14ac:dyDescent="0.25">
      <c r="A780" s="23" t="str">
        <f t="shared" ca="1" si="24"/>
        <v>ID_1962</v>
      </c>
      <c r="B780" s="22">
        <v>45682</v>
      </c>
      <c r="C780" s="23" t="str">
        <f>TEXT('Working Sheet'!$B780,"mmm")</f>
        <v>Jan</v>
      </c>
      <c r="D780" s="23" t="s">
        <v>25</v>
      </c>
      <c r="E780" s="23" t="s">
        <v>19</v>
      </c>
      <c r="F780" s="23" t="s">
        <v>23</v>
      </c>
      <c r="G780" s="23" t="s">
        <v>14</v>
      </c>
      <c r="H780" s="23" t="s">
        <v>38</v>
      </c>
      <c r="I780" s="23" t="s">
        <v>31</v>
      </c>
      <c r="J780" s="24">
        <v>420000</v>
      </c>
      <c r="K780" s="23">
        <v>7</v>
      </c>
      <c r="L780" s="23" t="s">
        <v>35</v>
      </c>
      <c r="M780" s="25">
        <f t="shared" si="25"/>
        <v>336000</v>
      </c>
      <c r="N780" s="25">
        <f>'Working Sheet'!$J780*'Working Sheet'!$K780</f>
        <v>2940000</v>
      </c>
      <c r="O780" s="26">
        <f>'Working Sheet'!$M780*'Working Sheet'!$K780</f>
        <v>2352000</v>
      </c>
      <c r="P780" s="25">
        <f>'Working Sheet'!$N780-'Working Sheet'!$O780</f>
        <v>588000</v>
      </c>
    </row>
    <row r="781" spans="1:16" ht="14.25" customHeight="1" x14ac:dyDescent="0.25">
      <c r="A781" s="18" t="str">
        <f t="shared" ca="1" si="24"/>
        <v>ID_367</v>
      </c>
      <c r="B781" s="17">
        <v>45688</v>
      </c>
      <c r="C781" s="18" t="str">
        <f>TEXT('Working Sheet'!$B781,"mmm")</f>
        <v>Jan</v>
      </c>
      <c r="D781" s="18" t="s">
        <v>11</v>
      </c>
      <c r="E781" s="18" t="s">
        <v>26</v>
      </c>
      <c r="F781" s="18" t="s">
        <v>23</v>
      </c>
      <c r="G781" s="18" t="s">
        <v>14</v>
      </c>
      <c r="H781" s="18" t="s">
        <v>33</v>
      </c>
      <c r="I781" s="18" t="s">
        <v>22</v>
      </c>
      <c r="J781" s="19">
        <v>180000</v>
      </c>
      <c r="K781" s="18">
        <v>8</v>
      </c>
      <c r="L781" s="18" t="s">
        <v>28</v>
      </c>
      <c r="M781" s="20">
        <f t="shared" si="25"/>
        <v>144000</v>
      </c>
      <c r="N781" s="20">
        <f>'Working Sheet'!$J781*'Working Sheet'!$K781</f>
        <v>1440000</v>
      </c>
      <c r="O781" s="21">
        <f>'Working Sheet'!$M781*'Working Sheet'!$K781</f>
        <v>1152000</v>
      </c>
      <c r="P781" s="20">
        <f>'Working Sheet'!$N781-'Working Sheet'!$O781</f>
        <v>288000</v>
      </c>
    </row>
    <row r="782" spans="1:16" ht="14.25" customHeight="1" x14ac:dyDescent="0.25">
      <c r="A782" s="23" t="str">
        <f t="shared" ca="1" si="24"/>
        <v>ID_1666</v>
      </c>
      <c r="B782" s="22">
        <v>45679</v>
      </c>
      <c r="C782" s="23" t="str">
        <f>TEXT('Working Sheet'!$B782,"mmm")</f>
        <v>Jan</v>
      </c>
      <c r="D782" s="23" t="s">
        <v>11</v>
      </c>
      <c r="E782" s="23" t="s">
        <v>26</v>
      </c>
      <c r="F782" s="23" t="s">
        <v>13</v>
      </c>
      <c r="G782" s="23" t="s">
        <v>14</v>
      </c>
      <c r="H782" s="23" t="s">
        <v>27</v>
      </c>
      <c r="I782" s="23" t="s">
        <v>22</v>
      </c>
      <c r="J782" s="24">
        <v>60000</v>
      </c>
      <c r="K782" s="23">
        <v>7</v>
      </c>
      <c r="L782" s="23" t="s">
        <v>28</v>
      </c>
      <c r="M782" s="25">
        <f t="shared" si="25"/>
        <v>48000</v>
      </c>
      <c r="N782" s="25">
        <f>'Working Sheet'!$J782*'Working Sheet'!$K782</f>
        <v>420000</v>
      </c>
      <c r="O782" s="26">
        <f>'Working Sheet'!$M782*'Working Sheet'!$K782</f>
        <v>336000</v>
      </c>
      <c r="P782" s="25">
        <f>'Working Sheet'!$N782-'Working Sheet'!$O782</f>
        <v>84000</v>
      </c>
    </row>
    <row r="783" spans="1:16" ht="14.25" customHeight="1" x14ac:dyDescent="0.25">
      <c r="A783" s="18" t="str">
        <f t="shared" ca="1" si="24"/>
        <v>ID_1036</v>
      </c>
      <c r="B783" s="17">
        <v>45765</v>
      </c>
      <c r="C783" s="18" t="str">
        <f>TEXT('Working Sheet'!$B783,"mmm")</f>
        <v>Apr</v>
      </c>
      <c r="D783" s="18" t="s">
        <v>18</v>
      </c>
      <c r="E783" s="18" t="s">
        <v>19</v>
      </c>
      <c r="F783" s="18" t="s">
        <v>23</v>
      </c>
      <c r="G783" s="18" t="s">
        <v>14</v>
      </c>
      <c r="H783" s="18" t="s">
        <v>38</v>
      </c>
      <c r="I783" s="18" t="s">
        <v>31</v>
      </c>
      <c r="J783" s="19">
        <v>420000</v>
      </c>
      <c r="K783" s="18">
        <v>7</v>
      </c>
      <c r="L783" s="18" t="s">
        <v>28</v>
      </c>
      <c r="M783" s="20">
        <f t="shared" si="25"/>
        <v>336000</v>
      </c>
      <c r="N783" s="20">
        <f>'Working Sheet'!$J783*'Working Sheet'!$K783</f>
        <v>2940000</v>
      </c>
      <c r="O783" s="21">
        <f>'Working Sheet'!$M783*'Working Sheet'!$K783</f>
        <v>2352000</v>
      </c>
      <c r="P783" s="20">
        <f>'Working Sheet'!$N783-'Working Sheet'!$O783</f>
        <v>588000</v>
      </c>
    </row>
    <row r="784" spans="1:16" ht="14.25" customHeight="1" x14ac:dyDescent="0.25">
      <c r="A784" s="23" t="str">
        <f t="shared" ca="1" si="24"/>
        <v>ID_1082</v>
      </c>
      <c r="B784" s="22">
        <v>45706</v>
      </c>
      <c r="C784" s="23" t="str">
        <f>TEXT('Working Sheet'!$B784,"mmm")</f>
        <v>Feb</v>
      </c>
      <c r="D784" s="23" t="s">
        <v>18</v>
      </c>
      <c r="E784" s="23" t="s">
        <v>12</v>
      </c>
      <c r="F784" s="23" t="s">
        <v>13</v>
      </c>
      <c r="G784" s="23" t="s">
        <v>14</v>
      </c>
      <c r="H784" s="23" t="s">
        <v>33</v>
      </c>
      <c r="I784" s="23" t="s">
        <v>22</v>
      </c>
      <c r="J784" s="24">
        <v>180000</v>
      </c>
      <c r="K784" s="23">
        <v>5</v>
      </c>
      <c r="L784" s="23" t="s">
        <v>39</v>
      </c>
      <c r="M784" s="25">
        <f t="shared" si="25"/>
        <v>144000</v>
      </c>
      <c r="N784" s="25">
        <f>'Working Sheet'!$J784*'Working Sheet'!$K784</f>
        <v>900000</v>
      </c>
      <c r="O784" s="26">
        <f>'Working Sheet'!$M784*'Working Sheet'!$K784</f>
        <v>720000</v>
      </c>
      <c r="P784" s="25">
        <f>'Working Sheet'!$N784-'Working Sheet'!$O784</f>
        <v>180000</v>
      </c>
    </row>
    <row r="785" spans="1:16" ht="14.25" customHeight="1" x14ac:dyDescent="0.25">
      <c r="A785" s="18" t="str">
        <f t="shared" ca="1" si="24"/>
        <v>ID_1081</v>
      </c>
      <c r="B785" s="17">
        <v>45743</v>
      </c>
      <c r="C785" s="18" t="str">
        <f>TEXT('Working Sheet'!$B785,"mmm")</f>
        <v>Mar</v>
      </c>
      <c r="D785" s="18" t="s">
        <v>18</v>
      </c>
      <c r="E785" s="18" t="s">
        <v>26</v>
      </c>
      <c r="F785" s="18" t="s">
        <v>23</v>
      </c>
      <c r="G785" s="18" t="s">
        <v>20</v>
      </c>
      <c r="H785" s="18" t="s">
        <v>38</v>
      </c>
      <c r="I785" s="18" t="s">
        <v>31</v>
      </c>
      <c r="J785" s="19">
        <v>420000</v>
      </c>
      <c r="K785" s="18">
        <v>9</v>
      </c>
      <c r="L785" s="18" t="s">
        <v>39</v>
      </c>
      <c r="M785" s="20">
        <f t="shared" si="25"/>
        <v>336000</v>
      </c>
      <c r="N785" s="20">
        <f>'Working Sheet'!$J785*'Working Sheet'!$K785</f>
        <v>3780000</v>
      </c>
      <c r="O785" s="21">
        <f>'Working Sheet'!$M785*'Working Sheet'!$K785</f>
        <v>3024000</v>
      </c>
      <c r="P785" s="20">
        <f>'Working Sheet'!$N785-'Working Sheet'!$O785</f>
        <v>756000</v>
      </c>
    </row>
    <row r="786" spans="1:16" ht="14.25" customHeight="1" x14ac:dyDescent="0.25">
      <c r="A786" s="23" t="str">
        <f t="shared" ca="1" si="24"/>
        <v>ID_656</v>
      </c>
      <c r="B786" s="22">
        <v>45698</v>
      </c>
      <c r="C786" s="23" t="str">
        <f>TEXT('Working Sheet'!$B786,"mmm")</f>
        <v>Feb</v>
      </c>
      <c r="D786" s="23" t="s">
        <v>18</v>
      </c>
      <c r="E786" s="23" t="s">
        <v>26</v>
      </c>
      <c r="F786" s="23" t="s">
        <v>23</v>
      </c>
      <c r="G786" s="23" t="s">
        <v>20</v>
      </c>
      <c r="H786" s="23" t="s">
        <v>30</v>
      </c>
      <c r="I786" s="23" t="s">
        <v>31</v>
      </c>
      <c r="J786" s="24">
        <v>300000</v>
      </c>
      <c r="K786" s="23">
        <v>7</v>
      </c>
      <c r="L786" s="23" t="s">
        <v>35</v>
      </c>
      <c r="M786" s="25">
        <f t="shared" si="25"/>
        <v>240000</v>
      </c>
      <c r="N786" s="25">
        <f>'Working Sheet'!$J786*'Working Sheet'!$K786</f>
        <v>2100000</v>
      </c>
      <c r="O786" s="26">
        <f>'Working Sheet'!$M786*'Working Sheet'!$K786</f>
        <v>1680000</v>
      </c>
      <c r="P786" s="25">
        <f>'Working Sheet'!$N786-'Working Sheet'!$O786</f>
        <v>420000</v>
      </c>
    </row>
    <row r="787" spans="1:16" ht="14.25" customHeight="1" x14ac:dyDescent="0.25">
      <c r="A787" s="18" t="str">
        <f t="shared" ca="1" si="24"/>
        <v>ID_1564</v>
      </c>
      <c r="B787" s="17">
        <v>45762</v>
      </c>
      <c r="C787" s="18" t="str">
        <f>TEXT('Working Sheet'!$B787,"mmm")</f>
        <v>Apr</v>
      </c>
      <c r="D787" s="18" t="s">
        <v>11</v>
      </c>
      <c r="E787" s="18" t="s">
        <v>32</v>
      </c>
      <c r="F787" s="18" t="s">
        <v>13</v>
      </c>
      <c r="G787" s="18" t="s">
        <v>20</v>
      </c>
      <c r="H787" s="18" t="s">
        <v>36</v>
      </c>
      <c r="I787" s="18" t="s">
        <v>31</v>
      </c>
      <c r="J787" s="19">
        <v>150000</v>
      </c>
      <c r="K787" s="18">
        <v>3</v>
      </c>
      <c r="L787" s="18" t="s">
        <v>24</v>
      </c>
      <c r="M787" s="20">
        <f t="shared" si="25"/>
        <v>120000</v>
      </c>
      <c r="N787" s="20">
        <f>'Working Sheet'!$J787*'Working Sheet'!$K787</f>
        <v>450000</v>
      </c>
      <c r="O787" s="21">
        <f>'Working Sheet'!$M787*'Working Sheet'!$K787</f>
        <v>360000</v>
      </c>
      <c r="P787" s="20">
        <f>'Working Sheet'!$N787-'Working Sheet'!$O787</f>
        <v>90000</v>
      </c>
    </row>
    <row r="788" spans="1:16" ht="14.25" customHeight="1" x14ac:dyDescent="0.25">
      <c r="A788" s="23" t="str">
        <f t="shared" ca="1" si="24"/>
        <v>ID_1569</v>
      </c>
      <c r="B788" s="22">
        <v>45678</v>
      </c>
      <c r="C788" s="23" t="str">
        <f>TEXT('Working Sheet'!$B788,"mmm")</f>
        <v>Jan</v>
      </c>
      <c r="D788" s="23" t="s">
        <v>11</v>
      </c>
      <c r="E788" s="23" t="s">
        <v>19</v>
      </c>
      <c r="F788" s="23" t="s">
        <v>13</v>
      </c>
      <c r="G788" s="23" t="s">
        <v>20</v>
      </c>
      <c r="H788" s="23" t="s">
        <v>30</v>
      </c>
      <c r="I788" s="23" t="s">
        <v>31</v>
      </c>
      <c r="J788" s="24">
        <v>300000</v>
      </c>
      <c r="K788" s="23">
        <v>10</v>
      </c>
      <c r="L788" s="23" t="s">
        <v>39</v>
      </c>
      <c r="M788" s="25">
        <f t="shared" si="25"/>
        <v>240000</v>
      </c>
      <c r="N788" s="25">
        <f>'Working Sheet'!$J788*'Working Sheet'!$K788</f>
        <v>3000000</v>
      </c>
      <c r="O788" s="26">
        <f>'Working Sheet'!$M788*'Working Sheet'!$K788</f>
        <v>2400000</v>
      </c>
      <c r="P788" s="25">
        <f>'Working Sheet'!$N788-'Working Sheet'!$O788</f>
        <v>600000</v>
      </c>
    </row>
    <row r="789" spans="1:16" ht="14.25" customHeight="1" x14ac:dyDescent="0.25">
      <c r="A789" s="18" t="str">
        <f t="shared" ca="1" si="24"/>
        <v>ID_496</v>
      </c>
      <c r="B789" s="17">
        <v>45707</v>
      </c>
      <c r="C789" s="18" t="str">
        <f>TEXT('Working Sheet'!$B789,"mmm")</f>
        <v>Feb</v>
      </c>
      <c r="D789" s="18" t="s">
        <v>18</v>
      </c>
      <c r="E789" s="18" t="s">
        <v>12</v>
      </c>
      <c r="F789" s="18" t="s">
        <v>13</v>
      </c>
      <c r="G789" s="18" t="s">
        <v>14</v>
      </c>
      <c r="H789" s="18" t="s">
        <v>38</v>
      </c>
      <c r="I789" s="18" t="s">
        <v>31</v>
      </c>
      <c r="J789" s="19">
        <v>420000</v>
      </c>
      <c r="K789" s="18">
        <v>8</v>
      </c>
      <c r="L789" s="18" t="s">
        <v>39</v>
      </c>
      <c r="M789" s="20">
        <f t="shared" si="25"/>
        <v>336000</v>
      </c>
      <c r="N789" s="20">
        <f>'Working Sheet'!$J789*'Working Sheet'!$K789</f>
        <v>3360000</v>
      </c>
      <c r="O789" s="21">
        <f>'Working Sheet'!$M789*'Working Sheet'!$K789</f>
        <v>2688000</v>
      </c>
      <c r="P789" s="20">
        <f>'Working Sheet'!$N789-'Working Sheet'!$O789</f>
        <v>672000</v>
      </c>
    </row>
    <row r="790" spans="1:16" ht="14.25" customHeight="1" x14ac:dyDescent="0.25">
      <c r="A790" s="23" t="str">
        <f t="shared" ca="1" si="24"/>
        <v>ID_2060</v>
      </c>
      <c r="B790" s="22">
        <v>45726</v>
      </c>
      <c r="C790" s="23" t="str">
        <f>TEXT('Working Sheet'!$B790,"mmm")</f>
        <v>Mar</v>
      </c>
      <c r="D790" s="23" t="s">
        <v>11</v>
      </c>
      <c r="E790" s="23" t="s">
        <v>26</v>
      </c>
      <c r="F790" s="23" t="s">
        <v>23</v>
      </c>
      <c r="G790" s="23" t="s">
        <v>20</v>
      </c>
      <c r="H790" s="23" t="s">
        <v>41</v>
      </c>
      <c r="I790" s="23" t="s">
        <v>22</v>
      </c>
      <c r="J790" s="24">
        <v>220000</v>
      </c>
      <c r="K790" s="23">
        <v>2</v>
      </c>
      <c r="L790" s="23" t="s">
        <v>28</v>
      </c>
      <c r="M790" s="25">
        <f t="shared" si="25"/>
        <v>176000</v>
      </c>
      <c r="N790" s="25">
        <f>'Working Sheet'!$J790*'Working Sheet'!$K790</f>
        <v>440000</v>
      </c>
      <c r="O790" s="26">
        <f>'Working Sheet'!$M790*'Working Sheet'!$K790</f>
        <v>352000</v>
      </c>
      <c r="P790" s="25">
        <f>'Working Sheet'!$N790-'Working Sheet'!$O790</f>
        <v>88000</v>
      </c>
    </row>
    <row r="791" spans="1:16" ht="14.25" customHeight="1" x14ac:dyDescent="0.25">
      <c r="A791" s="18" t="str">
        <f t="shared" ca="1" si="24"/>
        <v>ID_1479</v>
      </c>
      <c r="B791" s="17">
        <v>45711</v>
      </c>
      <c r="C791" s="18" t="str">
        <f>TEXT('Working Sheet'!$B791,"mmm")</f>
        <v>Feb</v>
      </c>
      <c r="D791" s="18" t="s">
        <v>11</v>
      </c>
      <c r="E791" s="18" t="s">
        <v>32</v>
      </c>
      <c r="F791" s="18" t="s">
        <v>13</v>
      </c>
      <c r="G791" s="18" t="s">
        <v>14</v>
      </c>
      <c r="H791" s="18" t="s">
        <v>36</v>
      </c>
      <c r="I791" s="18" t="s">
        <v>31</v>
      </c>
      <c r="J791" s="19">
        <v>150000</v>
      </c>
      <c r="K791" s="18">
        <v>4</v>
      </c>
      <c r="L791" s="18" t="s">
        <v>17</v>
      </c>
      <c r="M791" s="20">
        <f t="shared" si="25"/>
        <v>120000</v>
      </c>
      <c r="N791" s="20">
        <f>'Working Sheet'!$J791*'Working Sheet'!$K791</f>
        <v>600000</v>
      </c>
      <c r="O791" s="21">
        <f>'Working Sheet'!$M791*'Working Sheet'!$K791</f>
        <v>480000</v>
      </c>
      <c r="P791" s="20">
        <f>'Working Sheet'!$N791-'Working Sheet'!$O791</f>
        <v>120000</v>
      </c>
    </row>
    <row r="792" spans="1:16" ht="14.25" customHeight="1" x14ac:dyDescent="0.25">
      <c r="A792" s="23" t="str">
        <f t="shared" ca="1" si="24"/>
        <v>ID_751</v>
      </c>
      <c r="B792" s="22">
        <v>45686</v>
      </c>
      <c r="C792" s="23" t="str">
        <f>TEXT('Working Sheet'!$B792,"mmm")</f>
        <v>Jan</v>
      </c>
      <c r="D792" s="23" t="s">
        <v>11</v>
      </c>
      <c r="E792" s="23" t="s">
        <v>19</v>
      </c>
      <c r="F792" s="23" t="s">
        <v>13</v>
      </c>
      <c r="G792" s="23" t="s">
        <v>14</v>
      </c>
      <c r="H792" s="23" t="s">
        <v>21</v>
      </c>
      <c r="I792" s="23" t="s">
        <v>22</v>
      </c>
      <c r="J792" s="24">
        <v>30000</v>
      </c>
      <c r="K792" s="23">
        <v>8</v>
      </c>
      <c r="L792" s="23" t="s">
        <v>35</v>
      </c>
      <c r="M792" s="25">
        <f t="shared" si="25"/>
        <v>24000</v>
      </c>
      <c r="N792" s="25">
        <f>'Working Sheet'!$J792*'Working Sheet'!$K792</f>
        <v>240000</v>
      </c>
      <c r="O792" s="26">
        <f>'Working Sheet'!$M792*'Working Sheet'!$K792</f>
        <v>192000</v>
      </c>
      <c r="P792" s="25">
        <f>'Working Sheet'!$N792-'Working Sheet'!$O792</f>
        <v>48000</v>
      </c>
    </row>
    <row r="793" spans="1:16" ht="14.25" customHeight="1" x14ac:dyDescent="0.25">
      <c r="A793" s="18" t="str">
        <f t="shared" ca="1" si="24"/>
        <v>ID_1855</v>
      </c>
      <c r="B793" s="17">
        <v>45696</v>
      </c>
      <c r="C793" s="18" t="str">
        <f>TEXT('Working Sheet'!$B793,"mmm")</f>
        <v>Feb</v>
      </c>
      <c r="D793" s="18" t="s">
        <v>11</v>
      </c>
      <c r="E793" s="18" t="s">
        <v>26</v>
      </c>
      <c r="F793" s="18" t="s">
        <v>23</v>
      </c>
      <c r="G793" s="18" t="s">
        <v>20</v>
      </c>
      <c r="H793" s="18" t="s">
        <v>38</v>
      </c>
      <c r="I793" s="18" t="s">
        <v>31</v>
      </c>
      <c r="J793" s="19">
        <v>420000</v>
      </c>
      <c r="K793" s="18">
        <v>3</v>
      </c>
      <c r="L793" s="18" t="s">
        <v>37</v>
      </c>
      <c r="M793" s="20">
        <f t="shared" si="25"/>
        <v>336000</v>
      </c>
      <c r="N793" s="20">
        <f>'Working Sheet'!$J793*'Working Sheet'!$K793</f>
        <v>1260000</v>
      </c>
      <c r="O793" s="21">
        <f>'Working Sheet'!$M793*'Working Sheet'!$K793</f>
        <v>1008000</v>
      </c>
      <c r="P793" s="20">
        <f>'Working Sheet'!$N793-'Working Sheet'!$O793</f>
        <v>252000</v>
      </c>
    </row>
    <row r="794" spans="1:16" ht="14.25" customHeight="1" x14ac:dyDescent="0.25">
      <c r="A794" s="23" t="str">
        <f t="shared" ca="1" si="24"/>
        <v>ID_1027</v>
      </c>
      <c r="B794" s="22">
        <v>45678</v>
      </c>
      <c r="C794" s="23" t="str">
        <f>TEXT('Working Sheet'!$B794,"mmm")</f>
        <v>Jan</v>
      </c>
      <c r="D794" s="23" t="s">
        <v>11</v>
      </c>
      <c r="E794" s="23" t="s">
        <v>12</v>
      </c>
      <c r="F794" s="23" t="s">
        <v>23</v>
      </c>
      <c r="G794" s="23" t="s">
        <v>20</v>
      </c>
      <c r="H794" s="23" t="s">
        <v>30</v>
      </c>
      <c r="I794" s="23" t="s">
        <v>31</v>
      </c>
      <c r="J794" s="24">
        <v>300000</v>
      </c>
      <c r="K794" s="23">
        <v>4</v>
      </c>
      <c r="L794" s="23" t="s">
        <v>39</v>
      </c>
      <c r="M794" s="25">
        <f t="shared" si="25"/>
        <v>240000</v>
      </c>
      <c r="N794" s="25">
        <f>'Working Sheet'!$J794*'Working Sheet'!$K794</f>
        <v>1200000</v>
      </c>
      <c r="O794" s="26">
        <f>'Working Sheet'!$M794*'Working Sheet'!$K794</f>
        <v>960000</v>
      </c>
      <c r="P794" s="25">
        <f>'Working Sheet'!$N794-'Working Sheet'!$O794</f>
        <v>240000</v>
      </c>
    </row>
    <row r="795" spans="1:16" ht="14.25" customHeight="1" x14ac:dyDescent="0.25">
      <c r="A795" s="18" t="str">
        <f t="shared" ca="1" si="24"/>
        <v>ID_1641</v>
      </c>
      <c r="B795" s="17">
        <v>45736</v>
      </c>
      <c r="C795" s="18" t="str">
        <f>TEXT('Working Sheet'!$B795,"mmm")</f>
        <v>Mar</v>
      </c>
      <c r="D795" s="18" t="s">
        <v>11</v>
      </c>
      <c r="E795" s="18" t="s">
        <v>19</v>
      </c>
      <c r="F795" s="18" t="s">
        <v>13</v>
      </c>
      <c r="G795" s="18" t="s">
        <v>14</v>
      </c>
      <c r="H795" s="18" t="s">
        <v>40</v>
      </c>
      <c r="I795" s="18" t="s">
        <v>31</v>
      </c>
      <c r="J795" s="19">
        <v>250000</v>
      </c>
      <c r="K795" s="18">
        <v>6</v>
      </c>
      <c r="L795" s="18" t="s">
        <v>24</v>
      </c>
      <c r="M795" s="20">
        <f t="shared" si="25"/>
        <v>200000</v>
      </c>
      <c r="N795" s="20">
        <f>'Working Sheet'!$J795*'Working Sheet'!$K795</f>
        <v>1500000</v>
      </c>
      <c r="O795" s="21">
        <f>'Working Sheet'!$M795*'Working Sheet'!$K795</f>
        <v>1200000</v>
      </c>
      <c r="P795" s="20">
        <f>'Working Sheet'!$N795-'Working Sheet'!$O795</f>
        <v>300000</v>
      </c>
    </row>
    <row r="796" spans="1:16" ht="14.25" customHeight="1" x14ac:dyDescent="0.25">
      <c r="A796" s="23" t="str">
        <f t="shared" ca="1" si="24"/>
        <v>ID_198</v>
      </c>
      <c r="B796" s="22">
        <v>45771</v>
      </c>
      <c r="C796" s="23" t="str">
        <f>TEXT('Working Sheet'!$B796,"mmm")</f>
        <v>Apr</v>
      </c>
      <c r="D796" s="23" t="s">
        <v>11</v>
      </c>
      <c r="E796" s="23" t="s">
        <v>26</v>
      </c>
      <c r="F796" s="23" t="s">
        <v>23</v>
      </c>
      <c r="G796" s="23" t="s">
        <v>20</v>
      </c>
      <c r="H796" s="23" t="s">
        <v>34</v>
      </c>
      <c r="I796" s="23" t="s">
        <v>16</v>
      </c>
      <c r="J796" s="24">
        <v>320000</v>
      </c>
      <c r="K796" s="23">
        <v>6</v>
      </c>
      <c r="L796" s="23" t="s">
        <v>35</v>
      </c>
      <c r="M796" s="25">
        <f t="shared" si="25"/>
        <v>256000</v>
      </c>
      <c r="N796" s="25">
        <f>'Working Sheet'!$J796*'Working Sheet'!$K796</f>
        <v>1920000</v>
      </c>
      <c r="O796" s="26">
        <f>'Working Sheet'!$M796*'Working Sheet'!$K796</f>
        <v>1536000</v>
      </c>
      <c r="P796" s="25">
        <f>'Working Sheet'!$N796-'Working Sheet'!$O796</f>
        <v>384000</v>
      </c>
    </row>
    <row r="797" spans="1:16" ht="14.25" customHeight="1" x14ac:dyDescent="0.25">
      <c r="A797" s="18" t="str">
        <f t="shared" ca="1" si="24"/>
        <v>ID_600</v>
      </c>
      <c r="B797" s="17">
        <v>45668</v>
      </c>
      <c r="C797" s="18" t="str">
        <f>TEXT('Working Sheet'!$B797,"mmm")</f>
        <v>Jan</v>
      </c>
      <c r="D797" s="18" t="s">
        <v>11</v>
      </c>
      <c r="E797" s="18" t="s">
        <v>26</v>
      </c>
      <c r="F797" s="18" t="s">
        <v>13</v>
      </c>
      <c r="G797" s="18" t="s">
        <v>14</v>
      </c>
      <c r="H797" s="18" t="s">
        <v>33</v>
      </c>
      <c r="I797" s="18" t="s">
        <v>22</v>
      </c>
      <c r="J797" s="19">
        <v>180000</v>
      </c>
      <c r="K797" s="18">
        <v>5</v>
      </c>
      <c r="L797" s="18" t="s">
        <v>35</v>
      </c>
      <c r="M797" s="20">
        <f t="shared" si="25"/>
        <v>144000</v>
      </c>
      <c r="N797" s="20">
        <f>'Working Sheet'!$J797*'Working Sheet'!$K797</f>
        <v>900000</v>
      </c>
      <c r="O797" s="21">
        <f>'Working Sheet'!$M797*'Working Sheet'!$K797</f>
        <v>720000</v>
      </c>
      <c r="P797" s="20">
        <f>'Working Sheet'!$N797-'Working Sheet'!$O797</f>
        <v>180000</v>
      </c>
    </row>
    <row r="798" spans="1:16" ht="14.25" customHeight="1" x14ac:dyDescent="0.25">
      <c r="A798" s="23" t="str">
        <f t="shared" ca="1" si="24"/>
        <v>ID_107</v>
      </c>
      <c r="B798" s="22">
        <v>45716</v>
      </c>
      <c r="C798" s="23" t="str">
        <f>TEXT('Working Sheet'!$B798,"mmm")</f>
        <v>Feb</v>
      </c>
      <c r="D798" s="23" t="s">
        <v>11</v>
      </c>
      <c r="E798" s="23" t="s">
        <v>12</v>
      </c>
      <c r="F798" s="23" t="s">
        <v>13</v>
      </c>
      <c r="G798" s="23" t="s">
        <v>14</v>
      </c>
      <c r="H798" s="23" t="s">
        <v>36</v>
      </c>
      <c r="I798" s="23" t="s">
        <v>31</v>
      </c>
      <c r="J798" s="24">
        <v>150000</v>
      </c>
      <c r="K798" s="23">
        <v>1</v>
      </c>
      <c r="L798" s="23" t="s">
        <v>28</v>
      </c>
      <c r="M798" s="25">
        <f t="shared" si="25"/>
        <v>120000</v>
      </c>
      <c r="N798" s="25">
        <f>'Working Sheet'!$J798*'Working Sheet'!$K798</f>
        <v>150000</v>
      </c>
      <c r="O798" s="26">
        <f>'Working Sheet'!$M798*'Working Sheet'!$K798</f>
        <v>120000</v>
      </c>
      <c r="P798" s="25">
        <f>'Working Sheet'!$N798-'Working Sheet'!$O798</f>
        <v>30000</v>
      </c>
    </row>
    <row r="799" spans="1:16" ht="14.25" customHeight="1" x14ac:dyDescent="0.25">
      <c r="A799" s="18" t="str">
        <f t="shared" ca="1" si="24"/>
        <v>ID_920</v>
      </c>
      <c r="B799" s="17">
        <v>45659</v>
      </c>
      <c r="C799" s="18" t="str">
        <f>TEXT('Working Sheet'!$B799,"mmm")</f>
        <v>Jan</v>
      </c>
      <c r="D799" s="18" t="s">
        <v>11</v>
      </c>
      <c r="E799" s="18" t="s">
        <v>12</v>
      </c>
      <c r="F799" s="18" t="s">
        <v>13</v>
      </c>
      <c r="G799" s="18" t="s">
        <v>20</v>
      </c>
      <c r="H799" s="18" t="s">
        <v>27</v>
      </c>
      <c r="I799" s="18" t="s">
        <v>22</v>
      </c>
      <c r="J799" s="19">
        <v>60000</v>
      </c>
      <c r="K799" s="18">
        <v>3</v>
      </c>
      <c r="L799" s="18" t="s">
        <v>39</v>
      </c>
      <c r="M799" s="20">
        <f t="shared" si="25"/>
        <v>48000</v>
      </c>
      <c r="N799" s="20">
        <f>'Working Sheet'!$J799*'Working Sheet'!$K799</f>
        <v>180000</v>
      </c>
      <c r="O799" s="21">
        <f>'Working Sheet'!$M799*'Working Sheet'!$K799</f>
        <v>144000</v>
      </c>
      <c r="P799" s="20">
        <f>'Working Sheet'!$N799-'Working Sheet'!$O799</f>
        <v>36000</v>
      </c>
    </row>
    <row r="800" spans="1:16" ht="14.25" customHeight="1" x14ac:dyDescent="0.25">
      <c r="A800" s="23" t="str">
        <f t="shared" ca="1" si="24"/>
        <v>ID_761</v>
      </c>
      <c r="B800" s="22">
        <v>45721</v>
      </c>
      <c r="C800" s="23" t="str">
        <f>TEXT('Working Sheet'!$B800,"mmm")</f>
        <v>Mar</v>
      </c>
      <c r="D800" s="23" t="s">
        <v>18</v>
      </c>
      <c r="E800" s="23" t="s">
        <v>32</v>
      </c>
      <c r="F800" s="23" t="s">
        <v>23</v>
      </c>
      <c r="G800" s="23" t="s">
        <v>14</v>
      </c>
      <c r="H800" s="23" t="s">
        <v>15</v>
      </c>
      <c r="I800" s="23" t="s">
        <v>16</v>
      </c>
      <c r="J800" s="24">
        <v>85000</v>
      </c>
      <c r="K800" s="23">
        <v>10</v>
      </c>
      <c r="L800" s="23" t="s">
        <v>24</v>
      </c>
      <c r="M800" s="25">
        <f t="shared" si="25"/>
        <v>68000</v>
      </c>
      <c r="N800" s="25">
        <f>'Working Sheet'!$J800*'Working Sheet'!$K800</f>
        <v>850000</v>
      </c>
      <c r="O800" s="26">
        <f>'Working Sheet'!$M800*'Working Sheet'!$K800</f>
        <v>680000</v>
      </c>
      <c r="P800" s="25">
        <f>'Working Sheet'!$N800-'Working Sheet'!$O800</f>
        <v>170000</v>
      </c>
    </row>
    <row r="801" spans="1:16" ht="14.25" customHeight="1" x14ac:dyDescent="0.25">
      <c r="A801" s="18" t="str">
        <f t="shared" ca="1" si="24"/>
        <v>ID_1260</v>
      </c>
      <c r="B801" s="17">
        <v>45749</v>
      </c>
      <c r="C801" s="18" t="str">
        <f>TEXT('Working Sheet'!$B801,"mmm")</f>
        <v>Apr</v>
      </c>
      <c r="D801" s="18" t="s">
        <v>11</v>
      </c>
      <c r="E801" s="18" t="s">
        <v>32</v>
      </c>
      <c r="F801" s="18" t="s">
        <v>23</v>
      </c>
      <c r="G801" s="18" t="s">
        <v>20</v>
      </c>
      <c r="H801" s="18" t="s">
        <v>36</v>
      </c>
      <c r="I801" s="18" t="s">
        <v>31</v>
      </c>
      <c r="J801" s="19">
        <v>150000</v>
      </c>
      <c r="K801" s="18">
        <v>3</v>
      </c>
      <c r="L801" s="18" t="s">
        <v>37</v>
      </c>
      <c r="M801" s="20">
        <f t="shared" si="25"/>
        <v>120000</v>
      </c>
      <c r="N801" s="20">
        <f>'Working Sheet'!$J801*'Working Sheet'!$K801</f>
        <v>450000</v>
      </c>
      <c r="O801" s="21">
        <f>'Working Sheet'!$M801*'Working Sheet'!$K801</f>
        <v>360000</v>
      </c>
      <c r="P801" s="20">
        <f>'Working Sheet'!$N801-'Working Sheet'!$O801</f>
        <v>90000</v>
      </c>
    </row>
    <row r="802" spans="1:16" ht="14.25" customHeight="1" x14ac:dyDescent="0.25">
      <c r="A802" s="23" t="str">
        <f t="shared" ca="1" si="24"/>
        <v>ID_1687</v>
      </c>
      <c r="B802" s="22">
        <v>45694</v>
      </c>
      <c r="C802" s="23" t="str">
        <f>TEXT('Working Sheet'!$B802,"mmm")</f>
        <v>Feb</v>
      </c>
      <c r="D802" s="23" t="s">
        <v>25</v>
      </c>
      <c r="E802" s="23" t="s">
        <v>12</v>
      </c>
      <c r="F802" s="23" t="s">
        <v>23</v>
      </c>
      <c r="G802" s="23" t="s">
        <v>20</v>
      </c>
      <c r="H802" s="23" t="s">
        <v>38</v>
      </c>
      <c r="I802" s="23" t="s">
        <v>31</v>
      </c>
      <c r="J802" s="24">
        <v>420000</v>
      </c>
      <c r="K802" s="23">
        <v>9</v>
      </c>
      <c r="L802" s="23" t="s">
        <v>37</v>
      </c>
      <c r="M802" s="25">
        <f t="shared" si="25"/>
        <v>336000</v>
      </c>
      <c r="N802" s="25">
        <f>'Working Sheet'!$J802*'Working Sheet'!$K802</f>
        <v>3780000</v>
      </c>
      <c r="O802" s="26">
        <f>'Working Sheet'!$M802*'Working Sheet'!$K802</f>
        <v>3024000</v>
      </c>
      <c r="P802" s="25">
        <f>'Working Sheet'!$N802-'Working Sheet'!$O802</f>
        <v>756000</v>
      </c>
    </row>
    <row r="803" spans="1:16" ht="14.25" customHeight="1" x14ac:dyDescent="0.25">
      <c r="A803" s="18" t="str">
        <f t="shared" ca="1" si="24"/>
        <v>ID_461</v>
      </c>
      <c r="B803" s="17">
        <v>45758</v>
      </c>
      <c r="C803" s="18" t="str">
        <f>TEXT('Working Sheet'!$B803,"mmm")</f>
        <v>Apr</v>
      </c>
      <c r="D803" s="18" t="s">
        <v>25</v>
      </c>
      <c r="E803" s="18" t="s">
        <v>32</v>
      </c>
      <c r="F803" s="18" t="s">
        <v>13</v>
      </c>
      <c r="G803" s="18" t="s">
        <v>20</v>
      </c>
      <c r="H803" s="18" t="s">
        <v>41</v>
      </c>
      <c r="I803" s="18" t="s">
        <v>22</v>
      </c>
      <c r="J803" s="19">
        <v>220000</v>
      </c>
      <c r="K803" s="18">
        <v>1</v>
      </c>
      <c r="L803" s="18" t="s">
        <v>35</v>
      </c>
      <c r="M803" s="20">
        <f t="shared" si="25"/>
        <v>176000</v>
      </c>
      <c r="N803" s="20">
        <f>'Working Sheet'!$J803*'Working Sheet'!$K803</f>
        <v>220000</v>
      </c>
      <c r="O803" s="21">
        <f>'Working Sheet'!$M803*'Working Sheet'!$K803</f>
        <v>176000</v>
      </c>
      <c r="P803" s="20">
        <f>'Working Sheet'!$N803-'Working Sheet'!$O803</f>
        <v>44000</v>
      </c>
    </row>
    <row r="804" spans="1:16" ht="14.25" customHeight="1" x14ac:dyDescent="0.25">
      <c r="A804" s="23" t="str">
        <f t="shared" ca="1" si="24"/>
        <v>ID_213</v>
      </c>
      <c r="B804" s="22">
        <v>45695</v>
      </c>
      <c r="C804" s="23" t="str">
        <f>TEXT('Working Sheet'!$B804,"mmm")</f>
        <v>Feb</v>
      </c>
      <c r="D804" s="23" t="s">
        <v>18</v>
      </c>
      <c r="E804" s="23" t="s">
        <v>32</v>
      </c>
      <c r="F804" s="23" t="s">
        <v>23</v>
      </c>
      <c r="G804" s="23" t="s">
        <v>14</v>
      </c>
      <c r="H804" s="23" t="s">
        <v>15</v>
      </c>
      <c r="I804" s="23" t="s">
        <v>16</v>
      </c>
      <c r="J804" s="24">
        <v>85000</v>
      </c>
      <c r="K804" s="23">
        <v>4</v>
      </c>
      <c r="L804" s="23" t="s">
        <v>24</v>
      </c>
      <c r="M804" s="25">
        <f t="shared" si="25"/>
        <v>68000</v>
      </c>
      <c r="N804" s="25">
        <f>'Working Sheet'!$J804*'Working Sheet'!$K804</f>
        <v>340000</v>
      </c>
      <c r="O804" s="26">
        <f>'Working Sheet'!$M804*'Working Sheet'!$K804</f>
        <v>272000</v>
      </c>
      <c r="P804" s="25">
        <f>'Working Sheet'!$N804-'Working Sheet'!$O804</f>
        <v>68000</v>
      </c>
    </row>
    <row r="805" spans="1:16" ht="14.25" customHeight="1" x14ac:dyDescent="0.25">
      <c r="A805" s="18" t="str">
        <f t="shared" ca="1" si="24"/>
        <v>ID_1757</v>
      </c>
      <c r="B805" s="17">
        <v>45750</v>
      </c>
      <c r="C805" s="18" t="str">
        <f>TEXT('Working Sheet'!$B805,"mmm")</f>
        <v>Apr</v>
      </c>
      <c r="D805" s="18" t="s">
        <v>11</v>
      </c>
      <c r="E805" s="18" t="s">
        <v>12</v>
      </c>
      <c r="F805" s="18" t="s">
        <v>13</v>
      </c>
      <c r="G805" s="18" t="s">
        <v>14</v>
      </c>
      <c r="H805" s="18" t="s">
        <v>38</v>
      </c>
      <c r="I805" s="18" t="s">
        <v>31</v>
      </c>
      <c r="J805" s="19">
        <v>420000</v>
      </c>
      <c r="K805" s="18">
        <v>6</v>
      </c>
      <c r="L805" s="18" t="s">
        <v>37</v>
      </c>
      <c r="M805" s="20">
        <f t="shared" si="25"/>
        <v>336000</v>
      </c>
      <c r="N805" s="20">
        <f>'Working Sheet'!$J805*'Working Sheet'!$K805</f>
        <v>2520000</v>
      </c>
      <c r="O805" s="21">
        <f>'Working Sheet'!$M805*'Working Sheet'!$K805</f>
        <v>2016000</v>
      </c>
      <c r="P805" s="20">
        <f>'Working Sheet'!$N805-'Working Sheet'!$O805</f>
        <v>504000</v>
      </c>
    </row>
    <row r="806" spans="1:16" ht="14.25" customHeight="1" x14ac:dyDescent="0.25">
      <c r="A806" s="23" t="str">
        <f t="shared" ca="1" si="24"/>
        <v>ID_1708</v>
      </c>
      <c r="B806" s="22">
        <v>45752</v>
      </c>
      <c r="C806" s="23" t="str">
        <f>TEXT('Working Sheet'!$B806,"mmm")</f>
        <v>Apr</v>
      </c>
      <c r="D806" s="23" t="s">
        <v>29</v>
      </c>
      <c r="E806" s="23" t="s">
        <v>32</v>
      </c>
      <c r="F806" s="23" t="s">
        <v>23</v>
      </c>
      <c r="G806" s="23" t="s">
        <v>14</v>
      </c>
      <c r="H806" s="23" t="s">
        <v>38</v>
      </c>
      <c r="I806" s="23" t="s">
        <v>31</v>
      </c>
      <c r="J806" s="24">
        <v>420000</v>
      </c>
      <c r="K806" s="23">
        <v>6</v>
      </c>
      <c r="L806" s="23" t="s">
        <v>28</v>
      </c>
      <c r="M806" s="25">
        <f t="shared" si="25"/>
        <v>336000</v>
      </c>
      <c r="N806" s="25">
        <f>'Working Sheet'!$J806*'Working Sheet'!$K806</f>
        <v>2520000</v>
      </c>
      <c r="O806" s="26">
        <f>'Working Sheet'!$M806*'Working Sheet'!$K806</f>
        <v>2016000</v>
      </c>
      <c r="P806" s="25">
        <f>'Working Sheet'!$N806-'Working Sheet'!$O806</f>
        <v>504000</v>
      </c>
    </row>
    <row r="807" spans="1:16" ht="14.25" customHeight="1" x14ac:dyDescent="0.25">
      <c r="A807" s="18" t="str">
        <f t="shared" ca="1" si="24"/>
        <v>ID_1505</v>
      </c>
      <c r="B807" s="17">
        <v>45659</v>
      </c>
      <c r="C807" s="18" t="str">
        <f>TEXT('Working Sheet'!$B807,"mmm")</f>
        <v>Jan</v>
      </c>
      <c r="D807" s="18" t="s">
        <v>18</v>
      </c>
      <c r="E807" s="18" t="s">
        <v>12</v>
      </c>
      <c r="F807" s="18" t="s">
        <v>13</v>
      </c>
      <c r="G807" s="18" t="s">
        <v>14</v>
      </c>
      <c r="H807" s="18" t="s">
        <v>30</v>
      </c>
      <c r="I807" s="18" t="s">
        <v>31</v>
      </c>
      <c r="J807" s="19">
        <v>300000</v>
      </c>
      <c r="K807" s="18">
        <v>10</v>
      </c>
      <c r="L807" s="18" t="s">
        <v>35</v>
      </c>
      <c r="M807" s="20">
        <f t="shared" si="25"/>
        <v>240000</v>
      </c>
      <c r="N807" s="20">
        <f>'Working Sheet'!$J807*'Working Sheet'!$K807</f>
        <v>3000000</v>
      </c>
      <c r="O807" s="21">
        <f>'Working Sheet'!$M807*'Working Sheet'!$K807</f>
        <v>2400000</v>
      </c>
      <c r="P807" s="20">
        <f>'Working Sheet'!$N807-'Working Sheet'!$O807</f>
        <v>600000</v>
      </c>
    </row>
    <row r="808" spans="1:16" ht="14.25" customHeight="1" x14ac:dyDescent="0.25">
      <c r="A808" s="23" t="str">
        <f t="shared" ca="1" si="24"/>
        <v>ID_1889</v>
      </c>
      <c r="B808" s="22">
        <v>45664</v>
      </c>
      <c r="C808" s="23" t="str">
        <f>TEXT('Working Sheet'!$B808,"mmm")</f>
        <v>Jan</v>
      </c>
      <c r="D808" s="23" t="s">
        <v>25</v>
      </c>
      <c r="E808" s="23" t="s">
        <v>19</v>
      </c>
      <c r="F808" s="23" t="s">
        <v>13</v>
      </c>
      <c r="G808" s="23" t="s">
        <v>20</v>
      </c>
      <c r="H808" s="23" t="s">
        <v>41</v>
      </c>
      <c r="I808" s="23" t="s">
        <v>22</v>
      </c>
      <c r="J808" s="24">
        <v>220000</v>
      </c>
      <c r="K808" s="23">
        <v>4</v>
      </c>
      <c r="L808" s="23" t="s">
        <v>28</v>
      </c>
      <c r="M808" s="25">
        <f t="shared" si="25"/>
        <v>176000</v>
      </c>
      <c r="N808" s="25">
        <f>'Working Sheet'!$J808*'Working Sheet'!$K808</f>
        <v>880000</v>
      </c>
      <c r="O808" s="26">
        <f>'Working Sheet'!$M808*'Working Sheet'!$K808</f>
        <v>704000</v>
      </c>
      <c r="P808" s="25">
        <f>'Working Sheet'!$N808-'Working Sheet'!$O808</f>
        <v>176000</v>
      </c>
    </row>
    <row r="809" spans="1:16" ht="14.25" customHeight="1" x14ac:dyDescent="0.25">
      <c r="A809" s="18" t="str">
        <f t="shared" ca="1" si="24"/>
        <v>ID_334</v>
      </c>
      <c r="B809" s="17">
        <v>45735</v>
      </c>
      <c r="C809" s="18" t="str">
        <f>TEXT('Working Sheet'!$B809,"mmm")</f>
        <v>Mar</v>
      </c>
      <c r="D809" s="18" t="s">
        <v>11</v>
      </c>
      <c r="E809" s="18" t="s">
        <v>32</v>
      </c>
      <c r="F809" s="18" t="s">
        <v>13</v>
      </c>
      <c r="G809" s="18" t="s">
        <v>20</v>
      </c>
      <c r="H809" s="18" t="s">
        <v>33</v>
      </c>
      <c r="I809" s="18" t="s">
        <v>22</v>
      </c>
      <c r="J809" s="19">
        <v>180000</v>
      </c>
      <c r="K809" s="18">
        <v>8</v>
      </c>
      <c r="L809" s="18" t="s">
        <v>37</v>
      </c>
      <c r="M809" s="20">
        <f t="shared" si="25"/>
        <v>144000</v>
      </c>
      <c r="N809" s="20">
        <f>'Working Sheet'!$J809*'Working Sheet'!$K809</f>
        <v>1440000</v>
      </c>
      <c r="O809" s="21">
        <f>'Working Sheet'!$M809*'Working Sheet'!$K809</f>
        <v>1152000</v>
      </c>
      <c r="P809" s="20">
        <f>'Working Sheet'!$N809-'Working Sheet'!$O809</f>
        <v>288000</v>
      </c>
    </row>
    <row r="810" spans="1:16" ht="14.25" customHeight="1" x14ac:dyDescent="0.25">
      <c r="A810" s="23" t="str">
        <f t="shared" ca="1" si="24"/>
        <v>ID_1644</v>
      </c>
      <c r="B810" s="22">
        <v>45757</v>
      </c>
      <c r="C810" s="23" t="str">
        <f>TEXT('Working Sheet'!$B810,"mmm")</f>
        <v>Apr</v>
      </c>
      <c r="D810" s="23" t="s">
        <v>11</v>
      </c>
      <c r="E810" s="23" t="s">
        <v>32</v>
      </c>
      <c r="F810" s="23" t="s">
        <v>13</v>
      </c>
      <c r="G810" s="23" t="s">
        <v>14</v>
      </c>
      <c r="H810" s="23" t="s">
        <v>40</v>
      </c>
      <c r="I810" s="23" t="s">
        <v>31</v>
      </c>
      <c r="J810" s="24">
        <v>250000</v>
      </c>
      <c r="K810" s="23">
        <v>3</v>
      </c>
      <c r="L810" s="23" t="s">
        <v>17</v>
      </c>
      <c r="M810" s="25">
        <f t="shared" si="25"/>
        <v>200000</v>
      </c>
      <c r="N810" s="25">
        <f>'Working Sheet'!$J810*'Working Sheet'!$K810</f>
        <v>750000</v>
      </c>
      <c r="O810" s="26">
        <f>'Working Sheet'!$M810*'Working Sheet'!$K810</f>
        <v>600000</v>
      </c>
      <c r="P810" s="25">
        <f>'Working Sheet'!$N810-'Working Sheet'!$O810</f>
        <v>150000</v>
      </c>
    </row>
    <row r="811" spans="1:16" ht="14.25" customHeight="1" x14ac:dyDescent="0.25">
      <c r="A811" s="18" t="str">
        <f t="shared" ca="1" si="24"/>
        <v>ID_1388</v>
      </c>
      <c r="B811" s="17">
        <v>45662</v>
      </c>
      <c r="C811" s="18" t="str">
        <f>TEXT('Working Sheet'!$B811,"mmm")</f>
        <v>Jan</v>
      </c>
      <c r="D811" s="18" t="s">
        <v>29</v>
      </c>
      <c r="E811" s="18" t="s">
        <v>26</v>
      </c>
      <c r="F811" s="18" t="s">
        <v>23</v>
      </c>
      <c r="G811" s="18" t="s">
        <v>14</v>
      </c>
      <c r="H811" s="18" t="s">
        <v>30</v>
      </c>
      <c r="I811" s="18" t="s">
        <v>31</v>
      </c>
      <c r="J811" s="19">
        <v>300000</v>
      </c>
      <c r="K811" s="18">
        <v>7</v>
      </c>
      <c r="L811" s="18" t="s">
        <v>17</v>
      </c>
      <c r="M811" s="20">
        <f t="shared" si="25"/>
        <v>240000</v>
      </c>
      <c r="N811" s="20">
        <f>'Working Sheet'!$J811*'Working Sheet'!$K811</f>
        <v>2100000</v>
      </c>
      <c r="O811" s="21">
        <f>'Working Sheet'!$M811*'Working Sheet'!$K811</f>
        <v>1680000</v>
      </c>
      <c r="P811" s="20">
        <f>'Working Sheet'!$N811-'Working Sheet'!$O811</f>
        <v>420000</v>
      </c>
    </row>
    <row r="812" spans="1:16" ht="14.25" customHeight="1" x14ac:dyDescent="0.25">
      <c r="A812" s="23" t="str">
        <f t="shared" ca="1" si="24"/>
        <v>ID_427</v>
      </c>
      <c r="B812" s="22">
        <v>45662</v>
      </c>
      <c r="C812" s="23" t="str">
        <f>TEXT('Working Sheet'!$B812,"mmm")</f>
        <v>Jan</v>
      </c>
      <c r="D812" s="23" t="s">
        <v>29</v>
      </c>
      <c r="E812" s="23" t="s">
        <v>32</v>
      </c>
      <c r="F812" s="23" t="s">
        <v>13</v>
      </c>
      <c r="G812" s="23" t="s">
        <v>20</v>
      </c>
      <c r="H812" s="23" t="s">
        <v>30</v>
      </c>
      <c r="I812" s="23" t="s">
        <v>31</v>
      </c>
      <c r="J812" s="24">
        <v>300000</v>
      </c>
      <c r="K812" s="23">
        <v>7</v>
      </c>
      <c r="L812" s="23" t="s">
        <v>39</v>
      </c>
      <c r="M812" s="25">
        <f t="shared" si="25"/>
        <v>240000</v>
      </c>
      <c r="N812" s="25">
        <f>'Working Sheet'!$J812*'Working Sheet'!$K812</f>
        <v>2100000</v>
      </c>
      <c r="O812" s="26">
        <f>'Working Sheet'!$M812*'Working Sheet'!$K812</f>
        <v>1680000</v>
      </c>
      <c r="P812" s="25">
        <f>'Working Sheet'!$N812-'Working Sheet'!$O812</f>
        <v>420000</v>
      </c>
    </row>
    <row r="813" spans="1:16" ht="14.25" customHeight="1" x14ac:dyDescent="0.25">
      <c r="A813" s="18" t="str">
        <f t="shared" ca="1" si="24"/>
        <v>ID_1375</v>
      </c>
      <c r="B813" s="17">
        <v>45759</v>
      </c>
      <c r="C813" s="18" t="str">
        <f>TEXT('Working Sheet'!$B813,"mmm")</f>
        <v>Apr</v>
      </c>
      <c r="D813" s="18" t="s">
        <v>29</v>
      </c>
      <c r="E813" s="18" t="s">
        <v>32</v>
      </c>
      <c r="F813" s="18" t="s">
        <v>23</v>
      </c>
      <c r="G813" s="18" t="s">
        <v>20</v>
      </c>
      <c r="H813" s="18" t="s">
        <v>40</v>
      </c>
      <c r="I813" s="18" t="s">
        <v>31</v>
      </c>
      <c r="J813" s="19">
        <v>250000</v>
      </c>
      <c r="K813" s="18">
        <v>1</v>
      </c>
      <c r="L813" s="18" t="s">
        <v>37</v>
      </c>
      <c r="M813" s="20">
        <f t="shared" si="25"/>
        <v>200000</v>
      </c>
      <c r="N813" s="20">
        <f>'Working Sheet'!$J813*'Working Sheet'!$K813</f>
        <v>250000</v>
      </c>
      <c r="O813" s="21">
        <f>'Working Sheet'!$M813*'Working Sheet'!$K813</f>
        <v>200000</v>
      </c>
      <c r="P813" s="20">
        <f>'Working Sheet'!$N813-'Working Sheet'!$O813</f>
        <v>50000</v>
      </c>
    </row>
    <row r="814" spans="1:16" ht="14.25" customHeight="1" x14ac:dyDescent="0.25">
      <c r="A814" s="23" t="str">
        <f t="shared" ca="1" si="24"/>
        <v>ID_1496</v>
      </c>
      <c r="B814" s="22">
        <v>45711</v>
      </c>
      <c r="C814" s="23" t="str">
        <f>TEXT('Working Sheet'!$B814,"mmm")</f>
        <v>Feb</v>
      </c>
      <c r="D814" s="23" t="s">
        <v>11</v>
      </c>
      <c r="E814" s="23" t="s">
        <v>19</v>
      </c>
      <c r="F814" s="23" t="s">
        <v>23</v>
      </c>
      <c r="G814" s="23" t="s">
        <v>14</v>
      </c>
      <c r="H814" s="23" t="s">
        <v>30</v>
      </c>
      <c r="I814" s="23" t="s">
        <v>31</v>
      </c>
      <c r="J814" s="24">
        <v>300000</v>
      </c>
      <c r="K814" s="23">
        <v>3</v>
      </c>
      <c r="L814" s="23" t="s">
        <v>35</v>
      </c>
      <c r="M814" s="25">
        <f t="shared" si="25"/>
        <v>240000</v>
      </c>
      <c r="N814" s="25">
        <f>'Working Sheet'!$J814*'Working Sheet'!$K814</f>
        <v>900000</v>
      </c>
      <c r="O814" s="26">
        <f>'Working Sheet'!$M814*'Working Sheet'!$K814</f>
        <v>720000</v>
      </c>
      <c r="P814" s="25">
        <f>'Working Sheet'!$N814-'Working Sheet'!$O814</f>
        <v>180000</v>
      </c>
    </row>
    <row r="815" spans="1:16" ht="14.25" customHeight="1" x14ac:dyDescent="0.25">
      <c r="A815" s="18" t="str">
        <f t="shared" ca="1" si="24"/>
        <v>ID_2081</v>
      </c>
      <c r="B815" s="17">
        <v>45748</v>
      </c>
      <c r="C815" s="18" t="str">
        <f>TEXT('Working Sheet'!$B815,"mmm")</f>
        <v>Apr</v>
      </c>
      <c r="D815" s="18" t="s">
        <v>25</v>
      </c>
      <c r="E815" s="18" t="s">
        <v>12</v>
      </c>
      <c r="F815" s="18" t="s">
        <v>13</v>
      </c>
      <c r="G815" s="18" t="s">
        <v>14</v>
      </c>
      <c r="H815" s="18" t="s">
        <v>38</v>
      </c>
      <c r="I815" s="18" t="s">
        <v>31</v>
      </c>
      <c r="J815" s="19">
        <v>420000</v>
      </c>
      <c r="K815" s="18">
        <v>10</v>
      </c>
      <c r="L815" s="18" t="s">
        <v>28</v>
      </c>
      <c r="M815" s="20">
        <f t="shared" si="25"/>
        <v>336000</v>
      </c>
      <c r="N815" s="20">
        <f>'Working Sheet'!$J815*'Working Sheet'!$K815</f>
        <v>4200000</v>
      </c>
      <c r="O815" s="21">
        <f>'Working Sheet'!$M815*'Working Sheet'!$K815</f>
        <v>3360000</v>
      </c>
      <c r="P815" s="20">
        <f>'Working Sheet'!$N815-'Working Sheet'!$O815</f>
        <v>840000</v>
      </c>
    </row>
    <row r="816" spans="1:16" ht="14.25" customHeight="1" x14ac:dyDescent="0.25">
      <c r="A816" s="23" t="str">
        <f t="shared" ca="1" si="24"/>
        <v>ID_559</v>
      </c>
      <c r="B816" s="22">
        <v>45768</v>
      </c>
      <c r="C816" s="23" t="str">
        <f>TEXT('Working Sheet'!$B816,"mmm")</f>
        <v>Apr</v>
      </c>
      <c r="D816" s="23" t="s">
        <v>29</v>
      </c>
      <c r="E816" s="23" t="s">
        <v>26</v>
      </c>
      <c r="F816" s="23" t="s">
        <v>23</v>
      </c>
      <c r="G816" s="23" t="s">
        <v>14</v>
      </c>
      <c r="H816" s="23" t="s">
        <v>27</v>
      </c>
      <c r="I816" s="23" t="s">
        <v>22</v>
      </c>
      <c r="J816" s="24">
        <v>60000</v>
      </c>
      <c r="K816" s="23">
        <v>9</v>
      </c>
      <c r="L816" s="23" t="s">
        <v>35</v>
      </c>
      <c r="M816" s="25">
        <f t="shared" si="25"/>
        <v>48000</v>
      </c>
      <c r="N816" s="25">
        <f>'Working Sheet'!$J816*'Working Sheet'!$K816</f>
        <v>540000</v>
      </c>
      <c r="O816" s="26">
        <f>'Working Sheet'!$M816*'Working Sheet'!$K816</f>
        <v>432000</v>
      </c>
      <c r="P816" s="25">
        <f>'Working Sheet'!$N816-'Working Sheet'!$O816</f>
        <v>108000</v>
      </c>
    </row>
    <row r="817" spans="1:16" ht="14.25" customHeight="1" x14ac:dyDescent="0.25">
      <c r="A817" s="18" t="str">
        <f t="shared" ca="1" si="24"/>
        <v>ID_1286</v>
      </c>
      <c r="B817" s="17">
        <v>45777</v>
      </c>
      <c r="C817" s="18" t="str">
        <f>TEXT('Working Sheet'!$B817,"mmm")</f>
        <v>Apr</v>
      </c>
      <c r="D817" s="18" t="s">
        <v>11</v>
      </c>
      <c r="E817" s="18" t="s">
        <v>12</v>
      </c>
      <c r="F817" s="18" t="s">
        <v>13</v>
      </c>
      <c r="G817" s="18" t="s">
        <v>14</v>
      </c>
      <c r="H817" s="18" t="s">
        <v>40</v>
      </c>
      <c r="I817" s="18" t="s">
        <v>31</v>
      </c>
      <c r="J817" s="19">
        <v>250000</v>
      </c>
      <c r="K817" s="18">
        <v>4</v>
      </c>
      <c r="L817" s="18" t="s">
        <v>28</v>
      </c>
      <c r="M817" s="20">
        <f t="shared" si="25"/>
        <v>200000</v>
      </c>
      <c r="N817" s="20">
        <f>'Working Sheet'!$J817*'Working Sheet'!$K817</f>
        <v>1000000</v>
      </c>
      <c r="O817" s="21">
        <f>'Working Sheet'!$M817*'Working Sheet'!$K817</f>
        <v>800000</v>
      </c>
      <c r="P817" s="20">
        <f>'Working Sheet'!$N817-'Working Sheet'!$O817</f>
        <v>200000</v>
      </c>
    </row>
    <row r="818" spans="1:16" ht="14.25" customHeight="1" x14ac:dyDescent="0.25">
      <c r="A818" s="23" t="str">
        <f t="shared" ca="1" si="24"/>
        <v>ID_1047</v>
      </c>
      <c r="B818" s="22">
        <v>45776</v>
      </c>
      <c r="C818" s="23" t="str">
        <f>TEXT('Working Sheet'!$B818,"mmm")</f>
        <v>Apr</v>
      </c>
      <c r="D818" s="23" t="s">
        <v>18</v>
      </c>
      <c r="E818" s="23" t="s">
        <v>26</v>
      </c>
      <c r="F818" s="23" t="s">
        <v>13</v>
      </c>
      <c r="G818" s="23" t="s">
        <v>14</v>
      </c>
      <c r="H818" s="23" t="s">
        <v>40</v>
      </c>
      <c r="I818" s="23" t="s">
        <v>31</v>
      </c>
      <c r="J818" s="24">
        <v>250000</v>
      </c>
      <c r="K818" s="23">
        <v>3</v>
      </c>
      <c r="L818" s="23" t="s">
        <v>37</v>
      </c>
      <c r="M818" s="25">
        <f t="shared" si="25"/>
        <v>200000</v>
      </c>
      <c r="N818" s="25">
        <f>'Working Sheet'!$J818*'Working Sheet'!$K818</f>
        <v>750000</v>
      </c>
      <c r="O818" s="26">
        <f>'Working Sheet'!$M818*'Working Sheet'!$K818</f>
        <v>600000</v>
      </c>
      <c r="P818" s="25">
        <f>'Working Sheet'!$N818-'Working Sheet'!$O818</f>
        <v>150000</v>
      </c>
    </row>
    <row r="819" spans="1:16" ht="14.25" customHeight="1" x14ac:dyDescent="0.25">
      <c r="A819" s="18" t="str">
        <f t="shared" ca="1" si="24"/>
        <v>ID_1472</v>
      </c>
      <c r="B819" s="17">
        <v>45704</v>
      </c>
      <c r="C819" s="18" t="str">
        <f>TEXT('Working Sheet'!$B819,"mmm")</f>
        <v>Feb</v>
      </c>
      <c r="D819" s="18" t="s">
        <v>11</v>
      </c>
      <c r="E819" s="18" t="s">
        <v>32</v>
      </c>
      <c r="F819" s="18" t="s">
        <v>13</v>
      </c>
      <c r="G819" s="18" t="s">
        <v>20</v>
      </c>
      <c r="H819" s="18" t="s">
        <v>27</v>
      </c>
      <c r="I819" s="18" t="s">
        <v>22</v>
      </c>
      <c r="J819" s="19">
        <v>60000</v>
      </c>
      <c r="K819" s="18">
        <v>3</v>
      </c>
      <c r="L819" s="18" t="s">
        <v>17</v>
      </c>
      <c r="M819" s="20">
        <f t="shared" si="25"/>
        <v>48000</v>
      </c>
      <c r="N819" s="20">
        <f>'Working Sheet'!$J819*'Working Sheet'!$K819</f>
        <v>180000</v>
      </c>
      <c r="O819" s="21">
        <f>'Working Sheet'!$M819*'Working Sheet'!$K819</f>
        <v>144000</v>
      </c>
      <c r="P819" s="20">
        <f>'Working Sheet'!$N819-'Working Sheet'!$O819</f>
        <v>36000</v>
      </c>
    </row>
    <row r="820" spans="1:16" ht="14.25" customHeight="1" x14ac:dyDescent="0.25">
      <c r="A820" s="23" t="str">
        <f t="shared" ca="1" si="24"/>
        <v>ID_62</v>
      </c>
      <c r="B820" s="22">
        <v>45691</v>
      </c>
      <c r="C820" s="23" t="str">
        <f>TEXT('Working Sheet'!$B820,"mmm")</f>
        <v>Feb</v>
      </c>
      <c r="D820" s="23" t="s">
        <v>11</v>
      </c>
      <c r="E820" s="23" t="s">
        <v>19</v>
      </c>
      <c r="F820" s="23" t="s">
        <v>23</v>
      </c>
      <c r="G820" s="23" t="s">
        <v>14</v>
      </c>
      <c r="H820" s="23" t="s">
        <v>34</v>
      </c>
      <c r="I820" s="23" t="s">
        <v>16</v>
      </c>
      <c r="J820" s="24">
        <v>320000</v>
      </c>
      <c r="K820" s="23">
        <v>1</v>
      </c>
      <c r="L820" s="23" t="s">
        <v>24</v>
      </c>
      <c r="M820" s="25">
        <f t="shared" si="25"/>
        <v>256000</v>
      </c>
      <c r="N820" s="25">
        <f>'Working Sheet'!$J820*'Working Sheet'!$K820</f>
        <v>320000</v>
      </c>
      <c r="O820" s="26">
        <f>'Working Sheet'!$M820*'Working Sheet'!$K820</f>
        <v>256000</v>
      </c>
      <c r="P820" s="25">
        <f>'Working Sheet'!$N820-'Working Sheet'!$O820</f>
        <v>64000</v>
      </c>
    </row>
    <row r="821" spans="1:16" ht="14.25" customHeight="1" x14ac:dyDescent="0.25">
      <c r="A821" s="18" t="str">
        <f t="shared" ca="1" si="24"/>
        <v>ID_1899</v>
      </c>
      <c r="B821" s="17">
        <v>45689</v>
      </c>
      <c r="C821" s="18" t="str">
        <f>TEXT('Working Sheet'!$B821,"mmm")</f>
        <v>Feb</v>
      </c>
      <c r="D821" s="18" t="s">
        <v>29</v>
      </c>
      <c r="E821" s="18" t="s">
        <v>32</v>
      </c>
      <c r="F821" s="18" t="s">
        <v>23</v>
      </c>
      <c r="G821" s="18" t="s">
        <v>20</v>
      </c>
      <c r="H821" s="18" t="s">
        <v>27</v>
      </c>
      <c r="I821" s="18" t="s">
        <v>22</v>
      </c>
      <c r="J821" s="19">
        <v>60000</v>
      </c>
      <c r="K821" s="18">
        <v>8</v>
      </c>
      <c r="L821" s="18" t="s">
        <v>24</v>
      </c>
      <c r="M821" s="20">
        <f t="shared" si="25"/>
        <v>48000</v>
      </c>
      <c r="N821" s="20">
        <f>'Working Sheet'!$J821*'Working Sheet'!$K821</f>
        <v>480000</v>
      </c>
      <c r="O821" s="21">
        <f>'Working Sheet'!$M821*'Working Sheet'!$K821</f>
        <v>384000</v>
      </c>
      <c r="P821" s="20">
        <f>'Working Sheet'!$N821-'Working Sheet'!$O821</f>
        <v>96000</v>
      </c>
    </row>
    <row r="822" spans="1:16" ht="14.25" customHeight="1" x14ac:dyDescent="0.25">
      <c r="A822" s="23" t="str">
        <f t="shared" ca="1" si="24"/>
        <v>ID_1573</v>
      </c>
      <c r="B822" s="22">
        <v>45702</v>
      </c>
      <c r="C822" s="23" t="str">
        <f>TEXT('Working Sheet'!$B822,"mmm")</f>
        <v>Feb</v>
      </c>
      <c r="D822" s="23" t="s">
        <v>18</v>
      </c>
      <c r="E822" s="23" t="s">
        <v>26</v>
      </c>
      <c r="F822" s="23" t="s">
        <v>23</v>
      </c>
      <c r="G822" s="23" t="s">
        <v>20</v>
      </c>
      <c r="H822" s="23" t="s">
        <v>40</v>
      </c>
      <c r="I822" s="23" t="s">
        <v>31</v>
      </c>
      <c r="J822" s="24">
        <v>250000</v>
      </c>
      <c r="K822" s="23">
        <v>5</v>
      </c>
      <c r="L822" s="23" t="s">
        <v>35</v>
      </c>
      <c r="M822" s="25">
        <f t="shared" si="25"/>
        <v>200000</v>
      </c>
      <c r="N822" s="25">
        <f>'Working Sheet'!$J822*'Working Sheet'!$K822</f>
        <v>1250000</v>
      </c>
      <c r="O822" s="26">
        <f>'Working Sheet'!$M822*'Working Sheet'!$K822</f>
        <v>1000000</v>
      </c>
      <c r="P822" s="25">
        <f>'Working Sheet'!$N822-'Working Sheet'!$O822</f>
        <v>250000</v>
      </c>
    </row>
    <row r="823" spans="1:16" ht="14.25" customHeight="1" x14ac:dyDescent="0.25">
      <c r="A823" s="18" t="str">
        <f t="shared" ca="1" si="24"/>
        <v>ID_1314</v>
      </c>
      <c r="B823" s="17">
        <v>45720</v>
      </c>
      <c r="C823" s="18" t="str">
        <f>TEXT('Working Sheet'!$B823,"mmm")</f>
        <v>Mar</v>
      </c>
      <c r="D823" s="18" t="s">
        <v>11</v>
      </c>
      <c r="E823" s="18" t="s">
        <v>12</v>
      </c>
      <c r="F823" s="18" t="s">
        <v>23</v>
      </c>
      <c r="G823" s="18" t="s">
        <v>20</v>
      </c>
      <c r="H823" s="18" t="s">
        <v>34</v>
      </c>
      <c r="I823" s="18" t="s">
        <v>16</v>
      </c>
      <c r="J823" s="19">
        <v>320000</v>
      </c>
      <c r="K823" s="18">
        <v>2</v>
      </c>
      <c r="L823" s="18" t="s">
        <v>39</v>
      </c>
      <c r="M823" s="20">
        <f t="shared" si="25"/>
        <v>256000</v>
      </c>
      <c r="N823" s="20">
        <f>'Working Sheet'!$J823*'Working Sheet'!$K823</f>
        <v>640000</v>
      </c>
      <c r="O823" s="21">
        <f>'Working Sheet'!$M823*'Working Sheet'!$K823</f>
        <v>512000</v>
      </c>
      <c r="P823" s="20">
        <f>'Working Sheet'!$N823-'Working Sheet'!$O823</f>
        <v>128000</v>
      </c>
    </row>
    <row r="824" spans="1:16" ht="14.25" customHeight="1" x14ac:dyDescent="0.25">
      <c r="A824" s="23" t="str">
        <f t="shared" ca="1" si="24"/>
        <v>ID_1971</v>
      </c>
      <c r="B824" s="22">
        <v>45712</v>
      </c>
      <c r="C824" s="23" t="str">
        <f>TEXT('Working Sheet'!$B824,"mmm")</f>
        <v>Feb</v>
      </c>
      <c r="D824" s="23" t="s">
        <v>25</v>
      </c>
      <c r="E824" s="23" t="s">
        <v>26</v>
      </c>
      <c r="F824" s="23" t="s">
        <v>23</v>
      </c>
      <c r="G824" s="23" t="s">
        <v>14</v>
      </c>
      <c r="H824" s="23" t="s">
        <v>41</v>
      </c>
      <c r="I824" s="23" t="s">
        <v>22</v>
      </c>
      <c r="J824" s="24">
        <v>220000</v>
      </c>
      <c r="K824" s="23">
        <v>5</v>
      </c>
      <c r="L824" s="23" t="s">
        <v>24</v>
      </c>
      <c r="M824" s="25">
        <f t="shared" si="25"/>
        <v>176000</v>
      </c>
      <c r="N824" s="25">
        <f>'Working Sheet'!$J824*'Working Sheet'!$K824</f>
        <v>1100000</v>
      </c>
      <c r="O824" s="26">
        <f>'Working Sheet'!$M824*'Working Sheet'!$K824</f>
        <v>880000</v>
      </c>
      <c r="P824" s="25">
        <f>'Working Sheet'!$N824-'Working Sheet'!$O824</f>
        <v>220000</v>
      </c>
    </row>
    <row r="825" spans="1:16" ht="14.25" customHeight="1" x14ac:dyDescent="0.25">
      <c r="A825" s="18" t="str">
        <f t="shared" ca="1" si="24"/>
        <v>ID_1171</v>
      </c>
      <c r="B825" s="17">
        <v>45732</v>
      </c>
      <c r="C825" s="18" t="str">
        <f>TEXT('Working Sheet'!$B825,"mmm")</f>
        <v>Mar</v>
      </c>
      <c r="D825" s="18" t="s">
        <v>11</v>
      </c>
      <c r="E825" s="18" t="s">
        <v>19</v>
      </c>
      <c r="F825" s="18" t="s">
        <v>23</v>
      </c>
      <c r="G825" s="18" t="s">
        <v>20</v>
      </c>
      <c r="H825" s="18" t="s">
        <v>40</v>
      </c>
      <c r="I825" s="18" t="s">
        <v>31</v>
      </c>
      <c r="J825" s="19">
        <v>250000</v>
      </c>
      <c r="K825" s="18">
        <v>3</v>
      </c>
      <c r="L825" s="18" t="s">
        <v>17</v>
      </c>
      <c r="M825" s="20">
        <f t="shared" si="25"/>
        <v>200000</v>
      </c>
      <c r="N825" s="20">
        <f>'Working Sheet'!$J825*'Working Sheet'!$K825</f>
        <v>750000</v>
      </c>
      <c r="O825" s="21">
        <f>'Working Sheet'!$M825*'Working Sheet'!$K825</f>
        <v>600000</v>
      </c>
      <c r="P825" s="20">
        <f>'Working Sheet'!$N825-'Working Sheet'!$O825</f>
        <v>150000</v>
      </c>
    </row>
    <row r="826" spans="1:16" ht="14.25" customHeight="1" x14ac:dyDescent="0.25">
      <c r="A826" s="23" t="str">
        <f t="shared" ca="1" si="24"/>
        <v>ID_302</v>
      </c>
      <c r="B826" s="22">
        <v>45739</v>
      </c>
      <c r="C826" s="23" t="str">
        <f>TEXT('Working Sheet'!$B826,"mmm")</f>
        <v>Mar</v>
      </c>
      <c r="D826" s="23" t="s">
        <v>11</v>
      </c>
      <c r="E826" s="23" t="s">
        <v>26</v>
      </c>
      <c r="F826" s="23" t="s">
        <v>13</v>
      </c>
      <c r="G826" s="23" t="s">
        <v>20</v>
      </c>
      <c r="H826" s="23" t="s">
        <v>15</v>
      </c>
      <c r="I826" s="23" t="s">
        <v>16</v>
      </c>
      <c r="J826" s="24">
        <v>85000</v>
      </c>
      <c r="K826" s="23">
        <v>10</v>
      </c>
      <c r="L826" s="23" t="s">
        <v>28</v>
      </c>
      <c r="M826" s="25">
        <f t="shared" si="25"/>
        <v>68000</v>
      </c>
      <c r="N826" s="25">
        <f>'Working Sheet'!$J826*'Working Sheet'!$K826</f>
        <v>850000</v>
      </c>
      <c r="O826" s="26">
        <f>'Working Sheet'!$M826*'Working Sheet'!$K826</f>
        <v>680000</v>
      </c>
      <c r="P826" s="25">
        <f>'Working Sheet'!$N826-'Working Sheet'!$O826</f>
        <v>170000</v>
      </c>
    </row>
    <row r="827" spans="1:16" ht="14.25" customHeight="1" x14ac:dyDescent="0.25">
      <c r="A827" s="18" t="str">
        <f t="shared" ca="1" si="24"/>
        <v>ID_869</v>
      </c>
      <c r="B827" s="17">
        <v>45695</v>
      </c>
      <c r="C827" s="18" t="str">
        <f>TEXT('Working Sheet'!$B827,"mmm")</f>
        <v>Feb</v>
      </c>
      <c r="D827" s="18" t="s">
        <v>25</v>
      </c>
      <c r="E827" s="18" t="s">
        <v>12</v>
      </c>
      <c r="F827" s="18" t="s">
        <v>13</v>
      </c>
      <c r="G827" s="18" t="s">
        <v>20</v>
      </c>
      <c r="H827" s="18" t="s">
        <v>38</v>
      </c>
      <c r="I827" s="18" t="s">
        <v>31</v>
      </c>
      <c r="J827" s="19">
        <v>420000</v>
      </c>
      <c r="K827" s="18">
        <v>6</v>
      </c>
      <c r="L827" s="18" t="s">
        <v>35</v>
      </c>
      <c r="M827" s="20">
        <f t="shared" si="25"/>
        <v>336000</v>
      </c>
      <c r="N827" s="20">
        <f>'Working Sheet'!$J827*'Working Sheet'!$K827</f>
        <v>2520000</v>
      </c>
      <c r="O827" s="21">
        <f>'Working Sheet'!$M827*'Working Sheet'!$K827</f>
        <v>2016000</v>
      </c>
      <c r="P827" s="20">
        <f>'Working Sheet'!$N827-'Working Sheet'!$O827</f>
        <v>504000</v>
      </c>
    </row>
    <row r="828" spans="1:16" ht="14.25" customHeight="1" x14ac:dyDescent="0.25">
      <c r="A828" s="23" t="str">
        <f t="shared" ca="1" si="24"/>
        <v>ID_1607</v>
      </c>
      <c r="B828" s="22">
        <v>45757</v>
      </c>
      <c r="C828" s="23" t="str">
        <f>TEXT('Working Sheet'!$B828,"mmm")</f>
        <v>Apr</v>
      </c>
      <c r="D828" s="23" t="s">
        <v>29</v>
      </c>
      <c r="E828" s="23" t="s">
        <v>19</v>
      </c>
      <c r="F828" s="23" t="s">
        <v>13</v>
      </c>
      <c r="G828" s="23" t="s">
        <v>20</v>
      </c>
      <c r="H828" s="23" t="s">
        <v>36</v>
      </c>
      <c r="I828" s="23" t="s">
        <v>31</v>
      </c>
      <c r="J828" s="24">
        <v>150000</v>
      </c>
      <c r="K828" s="23">
        <v>5</v>
      </c>
      <c r="L828" s="23" t="s">
        <v>24</v>
      </c>
      <c r="M828" s="25">
        <f t="shared" si="25"/>
        <v>120000</v>
      </c>
      <c r="N828" s="25">
        <f>'Working Sheet'!$J828*'Working Sheet'!$K828</f>
        <v>750000</v>
      </c>
      <c r="O828" s="26">
        <f>'Working Sheet'!$M828*'Working Sheet'!$K828</f>
        <v>600000</v>
      </c>
      <c r="P828" s="25">
        <f>'Working Sheet'!$N828-'Working Sheet'!$O828</f>
        <v>150000</v>
      </c>
    </row>
    <row r="829" spans="1:16" ht="14.25" customHeight="1" x14ac:dyDescent="0.25">
      <c r="A829" s="18" t="str">
        <f t="shared" ca="1" si="24"/>
        <v>ID_647</v>
      </c>
      <c r="B829" s="17">
        <v>45759</v>
      </c>
      <c r="C829" s="18" t="str">
        <f>TEXT('Working Sheet'!$B829,"mmm")</f>
        <v>Apr</v>
      </c>
      <c r="D829" s="18" t="s">
        <v>29</v>
      </c>
      <c r="E829" s="18" t="s">
        <v>12</v>
      </c>
      <c r="F829" s="18" t="s">
        <v>13</v>
      </c>
      <c r="G829" s="18" t="s">
        <v>20</v>
      </c>
      <c r="H829" s="18" t="s">
        <v>34</v>
      </c>
      <c r="I829" s="18" t="s">
        <v>16</v>
      </c>
      <c r="J829" s="19">
        <v>320000</v>
      </c>
      <c r="K829" s="18">
        <v>3</v>
      </c>
      <c r="L829" s="18" t="s">
        <v>37</v>
      </c>
      <c r="M829" s="20">
        <f t="shared" si="25"/>
        <v>256000</v>
      </c>
      <c r="N829" s="20">
        <f>'Working Sheet'!$J829*'Working Sheet'!$K829</f>
        <v>960000</v>
      </c>
      <c r="O829" s="21">
        <f>'Working Sheet'!$M829*'Working Sheet'!$K829</f>
        <v>768000</v>
      </c>
      <c r="P829" s="20">
        <f>'Working Sheet'!$N829-'Working Sheet'!$O829</f>
        <v>192000</v>
      </c>
    </row>
    <row r="830" spans="1:16" ht="14.25" customHeight="1" x14ac:dyDescent="0.25">
      <c r="A830" s="23" t="str">
        <f t="shared" ca="1" si="24"/>
        <v>ID_1505</v>
      </c>
      <c r="B830" s="22">
        <v>45759</v>
      </c>
      <c r="C830" s="23" t="str">
        <f>TEXT('Working Sheet'!$B830,"mmm")</f>
        <v>Apr</v>
      </c>
      <c r="D830" s="23" t="s">
        <v>29</v>
      </c>
      <c r="E830" s="23" t="s">
        <v>32</v>
      </c>
      <c r="F830" s="23" t="s">
        <v>23</v>
      </c>
      <c r="G830" s="23" t="s">
        <v>14</v>
      </c>
      <c r="H830" s="23" t="s">
        <v>21</v>
      </c>
      <c r="I830" s="23" t="s">
        <v>22</v>
      </c>
      <c r="J830" s="24">
        <v>30000</v>
      </c>
      <c r="K830" s="23">
        <v>1</v>
      </c>
      <c r="L830" s="23" t="s">
        <v>35</v>
      </c>
      <c r="M830" s="25">
        <f t="shared" si="25"/>
        <v>24000</v>
      </c>
      <c r="N830" s="25">
        <f>'Working Sheet'!$J830*'Working Sheet'!$K830</f>
        <v>30000</v>
      </c>
      <c r="O830" s="26">
        <f>'Working Sheet'!$M830*'Working Sheet'!$K830</f>
        <v>24000</v>
      </c>
      <c r="P830" s="25">
        <f>'Working Sheet'!$N830-'Working Sheet'!$O830</f>
        <v>6000</v>
      </c>
    </row>
    <row r="831" spans="1:16" ht="14.25" customHeight="1" x14ac:dyDescent="0.25">
      <c r="A831" s="18" t="str">
        <f t="shared" ca="1" si="24"/>
        <v>ID_1929</v>
      </c>
      <c r="B831" s="17">
        <v>45691</v>
      </c>
      <c r="C831" s="18" t="str">
        <f>TEXT('Working Sheet'!$B831,"mmm")</f>
        <v>Feb</v>
      </c>
      <c r="D831" s="18" t="s">
        <v>11</v>
      </c>
      <c r="E831" s="18" t="s">
        <v>26</v>
      </c>
      <c r="F831" s="18" t="s">
        <v>13</v>
      </c>
      <c r="G831" s="18" t="s">
        <v>14</v>
      </c>
      <c r="H831" s="18" t="s">
        <v>33</v>
      </c>
      <c r="I831" s="18" t="s">
        <v>22</v>
      </c>
      <c r="J831" s="19">
        <v>180000</v>
      </c>
      <c r="K831" s="18">
        <v>10</v>
      </c>
      <c r="L831" s="18" t="s">
        <v>35</v>
      </c>
      <c r="M831" s="20">
        <f t="shared" si="25"/>
        <v>144000</v>
      </c>
      <c r="N831" s="20">
        <f>'Working Sheet'!$J831*'Working Sheet'!$K831</f>
        <v>1800000</v>
      </c>
      <c r="O831" s="21">
        <f>'Working Sheet'!$M831*'Working Sheet'!$K831</f>
        <v>1440000</v>
      </c>
      <c r="P831" s="20">
        <f>'Working Sheet'!$N831-'Working Sheet'!$O831</f>
        <v>360000</v>
      </c>
    </row>
    <row r="832" spans="1:16" ht="14.25" customHeight="1" x14ac:dyDescent="0.25">
      <c r="A832" s="23" t="str">
        <f t="shared" ca="1" si="24"/>
        <v>ID_523</v>
      </c>
      <c r="B832" s="22">
        <v>45668</v>
      </c>
      <c r="C832" s="23" t="str">
        <f>TEXT('Working Sheet'!$B832,"mmm")</f>
        <v>Jan</v>
      </c>
      <c r="D832" s="23" t="s">
        <v>25</v>
      </c>
      <c r="E832" s="23" t="s">
        <v>12</v>
      </c>
      <c r="F832" s="23" t="s">
        <v>23</v>
      </c>
      <c r="G832" s="23" t="s">
        <v>20</v>
      </c>
      <c r="H832" s="23" t="s">
        <v>33</v>
      </c>
      <c r="I832" s="23" t="s">
        <v>22</v>
      </c>
      <c r="J832" s="24">
        <v>180000</v>
      </c>
      <c r="K832" s="23">
        <v>3</v>
      </c>
      <c r="L832" s="23" t="s">
        <v>17</v>
      </c>
      <c r="M832" s="25">
        <f t="shared" si="25"/>
        <v>144000</v>
      </c>
      <c r="N832" s="25">
        <f>'Working Sheet'!$J832*'Working Sheet'!$K832</f>
        <v>540000</v>
      </c>
      <c r="O832" s="26">
        <f>'Working Sheet'!$M832*'Working Sheet'!$K832</f>
        <v>432000</v>
      </c>
      <c r="P832" s="25">
        <f>'Working Sheet'!$N832-'Working Sheet'!$O832</f>
        <v>108000</v>
      </c>
    </row>
    <row r="833" spans="1:16" ht="14.25" customHeight="1" x14ac:dyDescent="0.25">
      <c r="A833" s="18" t="str">
        <f t="shared" ca="1" si="24"/>
        <v>ID_210</v>
      </c>
      <c r="B833" s="17">
        <v>45711</v>
      </c>
      <c r="C833" s="18" t="str">
        <f>TEXT('Working Sheet'!$B833,"mmm")</f>
        <v>Feb</v>
      </c>
      <c r="D833" s="18" t="s">
        <v>18</v>
      </c>
      <c r="E833" s="18" t="s">
        <v>12</v>
      </c>
      <c r="F833" s="18" t="s">
        <v>23</v>
      </c>
      <c r="G833" s="18" t="s">
        <v>14</v>
      </c>
      <c r="H833" s="18" t="s">
        <v>38</v>
      </c>
      <c r="I833" s="18" t="s">
        <v>31</v>
      </c>
      <c r="J833" s="19">
        <v>420000</v>
      </c>
      <c r="K833" s="18">
        <v>3</v>
      </c>
      <c r="L833" s="18" t="s">
        <v>24</v>
      </c>
      <c r="M833" s="20">
        <f t="shared" si="25"/>
        <v>336000</v>
      </c>
      <c r="N833" s="20">
        <f>'Working Sheet'!$J833*'Working Sheet'!$K833</f>
        <v>1260000</v>
      </c>
      <c r="O833" s="21">
        <f>'Working Sheet'!$M833*'Working Sheet'!$K833</f>
        <v>1008000</v>
      </c>
      <c r="P833" s="20">
        <f>'Working Sheet'!$N833-'Working Sheet'!$O833</f>
        <v>252000</v>
      </c>
    </row>
    <row r="834" spans="1:16" ht="14.25" customHeight="1" x14ac:dyDescent="0.25">
      <c r="A834" s="23" t="str">
        <f t="shared" ref="A834:A897" ca="1" si="26">"ID_"&amp; RANDBETWEEN(1,2098)</f>
        <v>ID_1922</v>
      </c>
      <c r="B834" s="22">
        <v>45756</v>
      </c>
      <c r="C834" s="23" t="str">
        <f>TEXT('Working Sheet'!$B834,"mmm")</f>
        <v>Apr</v>
      </c>
      <c r="D834" s="23" t="s">
        <v>18</v>
      </c>
      <c r="E834" s="23" t="s">
        <v>19</v>
      </c>
      <c r="F834" s="23" t="s">
        <v>13</v>
      </c>
      <c r="G834" s="23" t="s">
        <v>14</v>
      </c>
      <c r="H834" s="23" t="s">
        <v>41</v>
      </c>
      <c r="I834" s="23" t="s">
        <v>22</v>
      </c>
      <c r="J834" s="24">
        <v>220000</v>
      </c>
      <c r="K834" s="23">
        <v>6</v>
      </c>
      <c r="L834" s="23" t="s">
        <v>37</v>
      </c>
      <c r="M834" s="25">
        <f t="shared" ref="M834:M897" si="27">J834-J834*0.2</f>
        <v>176000</v>
      </c>
      <c r="N834" s="25">
        <f>'Working Sheet'!$J834*'Working Sheet'!$K834</f>
        <v>1320000</v>
      </c>
      <c r="O834" s="26">
        <f>'Working Sheet'!$M834*'Working Sheet'!$K834</f>
        <v>1056000</v>
      </c>
      <c r="P834" s="25">
        <f>'Working Sheet'!$N834-'Working Sheet'!$O834</f>
        <v>264000</v>
      </c>
    </row>
    <row r="835" spans="1:16" ht="14.25" customHeight="1" x14ac:dyDescent="0.25">
      <c r="A835" s="18" t="str">
        <f t="shared" ca="1" si="26"/>
        <v>ID_1444</v>
      </c>
      <c r="B835" s="17">
        <v>45683</v>
      </c>
      <c r="C835" s="18" t="str">
        <f>TEXT('Working Sheet'!$B835,"mmm")</f>
        <v>Jan</v>
      </c>
      <c r="D835" s="18" t="s">
        <v>25</v>
      </c>
      <c r="E835" s="18" t="s">
        <v>26</v>
      </c>
      <c r="F835" s="18" t="s">
        <v>13</v>
      </c>
      <c r="G835" s="18" t="s">
        <v>14</v>
      </c>
      <c r="H835" s="18" t="s">
        <v>27</v>
      </c>
      <c r="I835" s="18" t="s">
        <v>22</v>
      </c>
      <c r="J835" s="19">
        <v>60000</v>
      </c>
      <c r="K835" s="18">
        <v>10</v>
      </c>
      <c r="L835" s="18" t="s">
        <v>35</v>
      </c>
      <c r="M835" s="20">
        <f t="shared" si="27"/>
        <v>48000</v>
      </c>
      <c r="N835" s="20">
        <f>'Working Sheet'!$J835*'Working Sheet'!$K835</f>
        <v>600000</v>
      </c>
      <c r="O835" s="21">
        <f>'Working Sheet'!$M835*'Working Sheet'!$K835</f>
        <v>480000</v>
      </c>
      <c r="P835" s="20">
        <f>'Working Sheet'!$N835-'Working Sheet'!$O835</f>
        <v>120000</v>
      </c>
    </row>
    <row r="836" spans="1:16" ht="14.25" customHeight="1" x14ac:dyDescent="0.25">
      <c r="A836" s="23" t="str">
        <f t="shared" ca="1" si="26"/>
        <v>ID_953</v>
      </c>
      <c r="B836" s="22">
        <v>45717</v>
      </c>
      <c r="C836" s="23" t="str">
        <f>TEXT('Working Sheet'!$B836,"mmm")</f>
        <v>Mar</v>
      </c>
      <c r="D836" s="23" t="s">
        <v>25</v>
      </c>
      <c r="E836" s="23" t="s">
        <v>19</v>
      </c>
      <c r="F836" s="23" t="s">
        <v>13</v>
      </c>
      <c r="G836" s="23" t="s">
        <v>20</v>
      </c>
      <c r="H836" s="23" t="s">
        <v>33</v>
      </c>
      <c r="I836" s="23" t="s">
        <v>22</v>
      </c>
      <c r="J836" s="24">
        <v>180000</v>
      </c>
      <c r="K836" s="23">
        <v>10</v>
      </c>
      <c r="L836" s="23" t="s">
        <v>28</v>
      </c>
      <c r="M836" s="25">
        <f t="shared" si="27"/>
        <v>144000</v>
      </c>
      <c r="N836" s="25">
        <f>'Working Sheet'!$J836*'Working Sheet'!$K836</f>
        <v>1800000</v>
      </c>
      <c r="O836" s="26">
        <f>'Working Sheet'!$M836*'Working Sheet'!$K836</f>
        <v>1440000</v>
      </c>
      <c r="P836" s="25">
        <f>'Working Sheet'!$N836-'Working Sheet'!$O836</f>
        <v>360000</v>
      </c>
    </row>
    <row r="837" spans="1:16" ht="14.25" customHeight="1" x14ac:dyDescent="0.25">
      <c r="A837" s="18" t="str">
        <f t="shared" ca="1" si="26"/>
        <v>ID_852</v>
      </c>
      <c r="B837" s="17">
        <v>45777</v>
      </c>
      <c r="C837" s="18" t="str">
        <f>TEXT('Working Sheet'!$B837,"mmm")</f>
        <v>Apr</v>
      </c>
      <c r="D837" s="18" t="s">
        <v>18</v>
      </c>
      <c r="E837" s="18" t="s">
        <v>12</v>
      </c>
      <c r="F837" s="18" t="s">
        <v>23</v>
      </c>
      <c r="G837" s="18" t="s">
        <v>20</v>
      </c>
      <c r="H837" s="18" t="s">
        <v>41</v>
      </c>
      <c r="I837" s="18" t="s">
        <v>22</v>
      </c>
      <c r="J837" s="19">
        <v>220000</v>
      </c>
      <c r="K837" s="18">
        <v>4</v>
      </c>
      <c r="L837" s="18" t="s">
        <v>24</v>
      </c>
      <c r="M837" s="20">
        <f t="shared" si="27"/>
        <v>176000</v>
      </c>
      <c r="N837" s="20">
        <f>'Working Sheet'!$J837*'Working Sheet'!$K837</f>
        <v>880000</v>
      </c>
      <c r="O837" s="21">
        <f>'Working Sheet'!$M837*'Working Sheet'!$K837</f>
        <v>704000</v>
      </c>
      <c r="P837" s="20">
        <f>'Working Sheet'!$N837-'Working Sheet'!$O837</f>
        <v>176000</v>
      </c>
    </row>
    <row r="838" spans="1:16" ht="14.25" customHeight="1" x14ac:dyDescent="0.25">
      <c r="A838" s="23" t="str">
        <f t="shared" ca="1" si="26"/>
        <v>ID_1741</v>
      </c>
      <c r="B838" s="22">
        <v>45729</v>
      </c>
      <c r="C838" s="23" t="str">
        <f>TEXT('Working Sheet'!$B838,"mmm")</f>
        <v>Mar</v>
      </c>
      <c r="D838" s="23" t="s">
        <v>25</v>
      </c>
      <c r="E838" s="23" t="s">
        <v>32</v>
      </c>
      <c r="F838" s="23" t="s">
        <v>23</v>
      </c>
      <c r="G838" s="23" t="s">
        <v>20</v>
      </c>
      <c r="H838" s="23" t="s">
        <v>40</v>
      </c>
      <c r="I838" s="23" t="s">
        <v>31</v>
      </c>
      <c r="J838" s="24">
        <v>250000</v>
      </c>
      <c r="K838" s="23">
        <v>4</v>
      </c>
      <c r="L838" s="23" t="s">
        <v>35</v>
      </c>
      <c r="M838" s="25">
        <f t="shared" si="27"/>
        <v>200000</v>
      </c>
      <c r="N838" s="25">
        <f>'Working Sheet'!$J838*'Working Sheet'!$K838</f>
        <v>1000000</v>
      </c>
      <c r="O838" s="26">
        <f>'Working Sheet'!$M838*'Working Sheet'!$K838</f>
        <v>800000</v>
      </c>
      <c r="P838" s="25">
        <f>'Working Sheet'!$N838-'Working Sheet'!$O838</f>
        <v>200000</v>
      </c>
    </row>
    <row r="839" spans="1:16" ht="14.25" customHeight="1" x14ac:dyDescent="0.25">
      <c r="A839" s="18" t="str">
        <f t="shared" ca="1" si="26"/>
        <v>ID_969</v>
      </c>
      <c r="B839" s="17">
        <v>45744</v>
      </c>
      <c r="C839" s="18" t="str">
        <f>TEXT('Working Sheet'!$B839,"mmm")</f>
        <v>Mar</v>
      </c>
      <c r="D839" s="18" t="s">
        <v>25</v>
      </c>
      <c r="E839" s="18" t="s">
        <v>19</v>
      </c>
      <c r="F839" s="18" t="s">
        <v>23</v>
      </c>
      <c r="G839" s="18" t="s">
        <v>20</v>
      </c>
      <c r="H839" s="18" t="s">
        <v>21</v>
      </c>
      <c r="I839" s="18" t="s">
        <v>22</v>
      </c>
      <c r="J839" s="19">
        <v>30000</v>
      </c>
      <c r="K839" s="18">
        <v>2</v>
      </c>
      <c r="L839" s="18" t="s">
        <v>39</v>
      </c>
      <c r="M839" s="20">
        <f t="shared" si="27"/>
        <v>24000</v>
      </c>
      <c r="N839" s="20">
        <f>'Working Sheet'!$J839*'Working Sheet'!$K839</f>
        <v>60000</v>
      </c>
      <c r="O839" s="21">
        <f>'Working Sheet'!$M839*'Working Sheet'!$K839</f>
        <v>48000</v>
      </c>
      <c r="P839" s="20">
        <f>'Working Sheet'!$N839-'Working Sheet'!$O839</f>
        <v>12000</v>
      </c>
    </row>
    <row r="840" spans="1:16" ht="14.25" customHeight="1" x14ac:dyDescent="0.25">
      <c r="A840" s="23" t="str">
        <f t="shared" ca="1" si="26"/>
        <v>ID_1856</v>
      </c>
      <c r="B840" s="22">
        <v>45774</v>
      </c>
      <c r="C840" s="23" t="str">
        <f>TEXT('Working Sheet'!$B840,"mmm")</f>
        <v>Apr</v>
      </c>
      <c r="D840" s="23" t="s">
        <v>11</v>
      </c>
      <c r="E840" s="23" t="s">
        <v>26</v>
      </c>
      <c r="F840" s="23" t="s">
        <v>13</v>
      </c>
      <c r="G840" s="23" t="s">
        <v>20</v>
      </c>
      <c r="H840" s="23" t="s">
        <v>33</v>
      </c>
      <c r="I840" s="23" t="s">
        <v>22</v>
      </c>
      <c r="J840" s="24">
        <v>180000</v>
      </c>
      <c r="K840" s="23">
        <v>6</v>
      </c>
      <c r="L840" s="23" t="s">
        <v>28</v>
      </c>
      <c r="M840" s="25">
        <f t="shared" si="27"/>
        <v>144000</v>
      </c>
      <c r="N840" s="25">
        <f>'Working Sheet'!$J840*'Working Sheet'!$K840</f>
        <v>1080000</v>
      </c>
      <c r="O840" s="26">
        <f>'Working Sheet'!$M840*'Working Sheet'!$K840</f>
        <v>864000</v>
      </c>
      <c r="P840" s="25">
        <f>'Working Sheet'!$N840-'Working Sheet'!$O840</f>
        <v>216000</v>
      </c>
    </row>
    <row r="841" spans="1:16" ht="14.25" customHeight="1" x14ac:dyDescent="0.25">
      <c r="A841" s="18" t="str">
        <f t="shared" ca="1" si="26"/>
        <v>ID_1980</v>
      </c>
      <c r="B841" s="17">
        <v>45664</v>
      </c>
      <c r="C841" s="18" t="str">
        <f>TEXT('Working Sheet'!$B841,"mmm")</f>
        <v>Jan</v>
      </c>
      <c r="D841" s="18" t="s">
        <v>25</v>
      </c>
      <c r="E841" s="18" t="s">
        <v>32</v>
      </c>
      <c r="F841" s="18" t="s">
        <v>23</v>
      </c>
      <c r="G841" s="18" t="s">
        <v>20</v>
      </c>
      <c r="H841" s="18" t="s">
        <v>33</v>
      </c>
      <c r="I841" s="18" t="s">
        <v>22</v>
      </c>
      <c r="J841" s="19">
        <v>180000</v>
      </c>
      <c r="K841" s="18">
        <v>8</v>
      </c>
      <c r="L841" s="18" t="s">
        <v>39</v>
      </c>
      <c r="M841" s="20">
        <f t="shared" si="27"/>
        <v>144000</v>
      </c>
      <c r="N841" s="20">
        <f>'Working Sheet'!$J841*'Working Sheet'!$K841</f>
        <v>1440000</v>
      </c>
      <c r="O841" s="21">
        <f>'Working Sheet'!$M841*'Working Sheet'!$K841</f>
        <v>1152000</v>
      </c>
      <c r="P841" s="20">
        <f>'Working Sheet'!$N841-'Working Sheet'!$O841</f>
        <v>288000</v>
      </c>
    </row>
    <row r="842" spans="1:16" ht="14.25" customHeight="1" x14ac:dyDescent="0.25">
      <c r="A842" s="23" t="str">
        <f t="shared" ca="1" si="26"/>
        <v>ID_1746</v>
      </c>
      <c r="B842" s="22">
        <v>45717</v>
      </c>
      <c r="C842" s="23" t="str">
        <f>TEXT('Working Sheet'!$B842,"mmm")</f>
        <v>Mar</v>
      </c>
      <c r="D842" s="23" t="s">
        <v>11</v>
      </c>
      <c r="E842" s="23" t="s">
        <v>19</v>
      </c>
      <c r="F842" s="23" t="s">
        <v>23</v>
      </c>
      <c r="G842" s="23" t="s">
        <v>20</v>
      </c>
      <c r="H842" s="23" t="s">
        <v>38</v>
      </c>
      <c r="I842" s="23" t="s">
        <v>31</v>
      </c>
      <c r="J842" s="24">
        <v>420000</v>
      </c>
      <c r="K842" s="23">
        <v>3</v>
      </c>
      <c r="L842" s="23" t="s">
        <v>17</v>
      </c>
      <c r="M842" s="25">
        <f t="shared" si="27"/>
        <v>336000</v>
      </c>
      <c r="N842" s="25">
        <f>'Working Sheet'!$J842*'Working Sheet'!$K842</f>
        <v>1260000</v>
      </c>
      <c r="O842" s="26">
        <f>'Working Sheet'!$M842*'Working Sheet'!$K842</f>
        <v>1008000</v>
      </c>
      <c r="P842" s="25">
        <f>'Working Sheet'!$N842-'Working Sheet'!$O842</f>
        <v>252000</v>
      </c>
    </row>
    <row r="843" spans="1:16" ht="14.25" customHeight="1" x14ac:dyDescent="0.25">
      <c r="A843" s="18" t="str">
        <f t="shared" ca="1" si="26"/>
        <v>ID_1843</v>
      </c>
      <c r="B843" s="17">
        <v>45757</v>
      </c>
      <c r="C843" s="18" t="str">
        <f>TEXT('Working Sheet'!$B843,"mmm")</f>
        <v>Apr</v>
      </c>
      <c r="D843" s="18" t="s">
        <v>29</v>
      </c>
      <c r="E843" s="18" t="s">
        <v>26</v>
      </c>
      <c r="F843" s="18" t="s">
        <v>23</v>
      </c>
      <c r="G843" s="18" t="s">
        <v>14</v>
      </c>
      <c r="H843" s="18" t="s">
        <v>21</v>
      </c>
      <c r="I843" s="18" t="s">
        <v>22</v>
      </c>
      <c r="J843" s="19">
        <v>30000</v>
      </c>
      <c r="K843" s="18">
        <v>10</v>
      </c>
      <c r="L843" s="18" t="s">
        <v>28</v>
      </c>
      <c r="M843" s="20">
        <f t="shared" si="27"/>
        <v>24000</v>
      </c>
      <c r="N843" s="20">
        <f>'Working Sheet'!$J843*'Working Sheet'!$K843</f>
        <v>300000</v>
      </c>
      <c r="O843" s="21">
        <f>'Working Sheet'!$M843*'Working Sheet'!$K843</f>
        <v>240000</v>
      </c>
      <c r="P843" s="20">
        <f>'Working Sheet'!$N843-'Working Sheet'!$O843</f>
        <v>60000</v>
      </c>
    </row>
    <row r="844" spans="1:16" ht="14.25" customHeight="1" x14ac:dyDescent="0.25">
      <c r="A844" s="23" t="str">
        <f t="shared" ca="1" si="26"/>
        <v>ID_1018</v>
      </c>
      <c r="B844" s="22">
        <v>45690</v>
      </c>
      <c r="C844" s="23" t="str">
        <f>TEXT('Working Sheet'!$B844,"mmm")</f>
        <v>Feb</v>
      </c>
      <c r="D844" s="23" t="s">
        <v>18</v>
      </c>
      <c r="E844" s="23" t="s">
        <v>26</v>
      </c>
      <c r="F844" s="23" t="s">
        <v>23</v>
      </c>
      <c r="G844" s="23" t="s">
        <v>14</v>
      </c>
      <c r="H844" s="23" t="s">
        <v>15</v>
      </c>
      <c r="I844" s="23" t="s">
        <v>16</v>
      </c>
      <c r="J844" s="24">
        <v>85000</v>
      </c>
      <c r="K844" s="23">
        <v>7</v>
      </c>
      <c r="L844" s="23" t="s">
        <v>39</v>
      </c>
      <c r="M844" s="25">
        <f t="shared" si="27"/>
        <v>68000</v>
      </c>
      <c r="N844" s="25">
        <f>'Working Sheet'!$J844*'Working Sheet'!$K844</f>
        <v>595000</v>
      </c>
      <c r="O844" s="26">
        <f>'Working Sheet'!$M844*'Working Sheet'!$K844</f>
        <v>476000</v>
      </c>
      <c r="P844" s="25">
        <f>'Working Sheet'!$N844-'Working Sheet'!$O844</f>
        <v>119000</v>
      </c>
    </row>
    <row r="845" spans="1:16" ht="14.25" customHeight="1" x14ac:dyDescent="0.25">
      <c r="A845" s="18" t="str">
        <f t="shared" ca="1" si="26"/>
        <v>ID_68</v>
      </c>
      <c r="B845" s="17">
        <v>45764</v>
      </c>
      <c r="C845" s="18" t="str">
        <f>TEXT('Working Sheet'!$B845,"mmm")</f>
        <v>Apr</v>
      </c>
      <c r="D845" s="18" t="s">
        <v>11</v>
      </c>
      <c r="E845" s="18" t="s">
        <v>12</v>
      </c>
      <c r="F845" s="18" t="s">
        <v>13</v>
      </c>
      <c r="G845" s="18" t="s">
        <v>20</v>
      </c>
      <c r="H845" s="18" t="s">
        <v>21</v>
      </c>
      <c r="I845" s="18" t="s">
        <v>22</v>
      </c>
      <c r="J845" s="19">
        <v>30000</v>
      </c>
      <c r="K845" s="18">
        <v>5</v>
      </c>
      <c r="L845" s="18" t="s">
        <v>17</v>
      </c>
      <c r="M845" s="20">
        <f t="shared" si="27"/>
        <v>24000</v>
      </c>
      <c r="N845" s="20">
        <f>'Working Sheet'!$J845*'Working Sheet'!$K845</f>
        <v>150000</v>
      </c>
      <c r="O845" s="21">
        <f>'Working Sheet'!$M845*'Working Sheet'!$K845</f>
        <v>120000</v>
      </c>
      <c r="P845" s="20">
        <f>'Working Sheet'!$N845-'Working Sheet'!$O845</f>
        <v>30000</v>
      </c>
    </row>
    <row r="846" spans="1:16" ht="14.25" customHeight="1" x14ac:dyDescent="0.25">
      <c r="A846" s="23" t="str">
        <f t="shared" ca="1" si="26"/>
        <v>ID_1007</v>
      </c>
      <c r="B846" s="22">
        <v>45717</v>
      </c>
      <c r="C846" s="23" t="str">
        <f>TEXT('Working Sheet'!$B846,"mmm")</f>
        <v>Mar</v>
      </c>
      <c r="D846" s="23" t="s">
        <v>29</v>
      </c>
      <c r="E846" s="23" t="s">
        <v>12</v>
      </c>
      <c r="F846" s="23" t="s">
        <v>13</v>
      </c>
      <c r="G846" s="23" t="s">
        <v>20</v>
      </c>
      <c r="H846" s="23" t="s">
        <v>30</v>
      </c>
      <c r="I846" s="23" t="s">
        <v>31</v>
      </c>
      <c r="J846" s="24">
        <v>300000</v>
      </c>
      <c r="K846" s="23">
        <v>5</v>
      </c>
      <c r="L846" s="23" t="s">
        <v>39</v>
      </c>
      <c r="M846" s="25">
        <f t="shared" si="27"/>
        <v>240000</v>
      </c>
      <c r="N846" s="25">
        <f>'Working Sheet'!$J846*'Working Sheet'!$K846</f>
        <v>1500000</v>
      </c>
      <c r="O846" s="26">
        <f>'Working Sheet'!$M846*'Working Sheet'!$K846</f>
        <v>1200000</v>
      </c>
      <c r="P846" s="25">
        <f>'Working Sheet'!$N846-'Working Sheet'!$O846</f>
        <v>300000</v>
      </c>
    </row>
    <row r="847" spans="1:16" ht="14.25" customHeight="1" x14ac:dyDescent="0.25">
      <c r="A847" s="18" t="str">
        <f t="shared" ca="1" si="26"/>
        <v>ID_80</v>
      </c>
      <c r="B847" s="17">
        <v>45684</v>
      </c>
      <c r="C847" s="18" t="str">
        <f>TEXT('Working Sheet'!$B847,"mmm")</f>
        <v>Jan</v>
      </c>
      <c r="D847" s="18" t="s">
        <v>11</v>
      </c>
      <c r="E847" s="18" t="s">
        <v>26</v>
      </c>
      <c r="F847" s="18" t="s">
        <v>23</v>
      </c>
      <c r="G847" s="18" t="s">
        <v>20</v>
      </c>
      <c r="H847" s="18" t="s">
        <v>15</v>
      </c>
      <c r="I847" s="18" t="s">
        <v>16</v>
      </c>
      <c r="J847" s="19">
        <v>85000</v>
      </c>
      <c r="K847" s="18">
        <v>8</v>
      </c>
      <c r="L847" s="18" t="s">
        <v>28</v>
      </c>
      <c r="M847" s="20">
        <f t="shared" si="27"/>
        <v>68000</v>
      </c>
      <c r="N847" s="20">
        <f>'Working Sheet'!$J847*'Working Sheet'!$K847</f>
        <v>680000</v>
      </c>
      <c r="O847" s="21">
        <f>'Working Sheet'!$M847*'Working Sheet'!$K847</f>
        <v>544000</v>
      </c>
      <c r="P847" s="20">
        <f>'Working Sheet'!$N847-'Working Sheet'!$O847</f>
        <v>136000</v>
      </c>
    </row>
    <row r="848" spans="1:16" ht="14.25" customHeight="1" x14ac:dyDescent="0.25">
      <c r="A848" s="23" t="str">
        <f t="shared" ca="1" si="26"/>
        <v>ID_456</v>
      </c>
      <c r="B848" s="22">
        <v>45758</v>
      </c>
      <c r="C848" s="23" t="str">
        <f>TEXT('Working Sheet'!$B848,"mmm")</f>
        <v>Apr</v>
      </c>
      <c r="D848" s="23" t="s">
        <v>25</v>
      </c>
      <c r="E848" s="23" t="s">
        <v>32</v>
      </c>
      <c r="F848" s="23" t="s">
        <v>23</v>
      </c>
      <c r="G848" s="23" t="s">
        <v>20</v>
      </c>
      <c r="H848" s="23" t="s">
        <v>41</v>
      </c>
      <c r="I848" s="23" t="s">
        <v>22</v>
      </c>
      <c r="J848" s="24">
        <v>220000</v>
      </c>
      <c r="K848" s="23">
        <v>7</v>
      </c>
      <c r="L848" s="23" t="s">
        <v>24</v>
      </c>
      <c r="M848" s="25">
        <f t="shared" si="27"/>
        <v>176000</v>
      </c>
      <c r="N848" s="25">
        <f>'Working Sheet'!$J848*'Working Sheet'!$K848</f>
        <v>1540000</v>
      </c>
      <c r="O848" s="26">
        <f>'Working Sheet'!$M848*'Working Sheet'!$K848</f>
        <v>1232000</v>
      </c>
      <c r="P848" s="25">
        <f>'Working Sheet'!$N848-'Working Sheet'!$O848</f>
        <v>308000</v>
      </c>
    </row>
    <row r="849" spans="1:16" ht="14.25" customHeight="1" x14ac:dyDescent="0.25">
      <c r="A849" s="18" t="str">
        <f t="shared" ca="1" si="26"/>
        <v>ID_206</v>
      </c>
      <c r="B849" s="17">
        <v>45696</v>
      </c>
      <c r="C849" s="18" t="str">
        <f>TEXT('Working Sheet'!$B849,"mmm")</f>
        <v>Feb</v>
      </c>
      <c r="D849" s="18" t="s">
        <v>29</v>
      </c>
      <c r="E849" s="18" t="s">
        <v>19</v>
      </c>
      <c r="F849" s="18" t="s">
        <v>13</v>
      </c>
      <c r="G849" s="18" t="s">
        <v>14</v>
      </c>
      <c r="H849" s="18" t="s">
        <v>15</v>
      </c>
      <c r="I849" s="18" t="s">
        <v>16</v>
      </c>
      <c r="J849" s="19">
        <v>85000</v>
      </c>
      <c r="K849" s="18">
        <v>8</v>
      </c>
      <c r="L849" s="18" t="s">
        <v>24</v>
      </c>
      <c r="M849" s="20">
        <f t="shared" si="27"/>
        <v>68000</v>
      </c>
      <c r="N849" s="20">
        <f>'Working Sheet'!$J849*'Working Sheet'!$K849</f>
        <v>680000</v>
      </c>
      <c r="O849" s="21">
        <f>'Working Sheet'!$M849*'Working Sheet'!$K849</f>
        <v>544000</v>
      </c>
      <c r="P849" s="20">
        <f>'Working Sheet'!$N849-'Working Sheet'!$O849</f>
        <v>136000</v>
      </c>
    </row>
    <row r="850" spans="1:16" ht="14.25" customHeight="1" x14ac:dyDescent="0.25">
      <c r="A850" s="23" t="str">
        <f t="shared" ca="1" si="26"/>
        <v>ID_1745</v>
      </c>
      <c r="B850" s="22">
        <v>45710</v>
      </c>
      <c r="C850" s="23" t="str">
        <f>TEXT('Working Sheet'!$B850,"mmm")</f>
        <v>Feb</v>
      </c>
      <c r="D850" s="23" t="s">
        <v>18</v>
      </c>
      <c r="E850" s="23" t="s">
        <v>32</v>
      </c>
      <c r="F850" s="23" t="s">
        <v>23</v>
      </c>
      <c r="G850" s="23" t="s">
        <v>14</v>
      </c>
      <c r="H850" s="23" t="s">
        <v>36</v>
      </c>
      <c r="I850" s="23" t="s">
        <v>31</v>
      </c>
      <c r="J850" s="24">
        <v>150000</v>
      </c>
      <c r="K850" s="23">
        <v>5</v>
      </c>
      <c r="L850" s="23" t="s">
        <v>35</v>
      </c>
      <c r="M850" s="25">
        <f t="shared" si="27"/>
        <v>120000</v>
      </c>
      <c r="N850" s="25">
        <f>'Working Sheet'!$J850*'Working Sheet'!$K850</f>
        <v>750000</v>
      </c>
      <c r="O850" s="26">
        <f>'Working Sheet'!$M850*'Working Sheet'!$K850</f>
        <v>600000</v>
      </c>
      <c r="P850" s="25">
        <f>'Working Sheet'!$N850-'Working Sheet'!$O850</f>
        <v>150000</v>
      </c>
    </row>
    <row r="851" spans="1:16" ht="14.25" customHeight="1" x14ac:dyDescent="0.25">
      <c r="A851" s="18" t="str">
        <f t="shared" ca="1" si="26"/>
        <v>ID_920</v>
      </c>
      <c r="B851" s="17">
        <v>45763</v>
      </c>
      <c r="C851" s="18" t="str">
        <f>TEXT('Working Sheet'!$B851,"mmm")</f>
        <v>Apr</v>
      </c>
      <c r="D851" s="18" t="s">
        <v>18</v>
      </c>
      <c r="E851" s="18" t="s">
        <v>12</v>
      </c>
      <c r="F851" s="18" t="s">
        <v>13</v>
      </c>
      <c r="G851" s="18" t="s">
        <v>20</v>
      </c>
      <c r="H851" s="18" t="s">
        <v>27</v>
      </c>
      <c r="I851" s="18" t="s">
        <v>22</v>
      </c>
      <c r="J851" s="19">
        <v>60000</v>
      </c>
      <c r="K851" s="18">
        <v>10</v>
      </c>
      <c r="L851" s="18" t="s">
        <v>24</v>
      </c>
      <c r="M851" s="20">
        <f t="shared" si="27"/>
        <v>48000</v>
      </c>
      <c r="N851" s="20">
        <f>'Working Sheet'!$J851*'Working Sheet'!$K851</f>
        <v>600000</v>
      </c>
      <c r="O851" s="21">
        <f>'Working Sheet'!$M851*'Working Sheet'!$K851</f>
        <v>480000</v>
      </c>
      <c r="P851" s="20">
        <f>'Working Sheet'!$N851-'Working Sheet'!$O851</f>
        <v>120000</v>
      </c>
    </row>
    <row r="852" spans="1:16" ht="14.25" customHeight="1" x14ac:dyDescent="0.25">
      <c r="A852" s="23" t="str">
        <f t="shared" ca="1" si="26"/>
        <v>ID_1819</v>
      </c>
      <c r="B852" s="22">
        <v>45770</v>
      </c>
      <c r="C852" s="23" t="str">
        <f>TEXT('Working Sheet'!$B852,"mmm")</f>
        <v>Apr</v>
      </c>
      <c r="D852" s="23" t="s">
        <v>11</v>
      </c>
      <c r="E852" s="23" t="s">
        <v>26</v>
      </c>
      <c r="F852" s="23" t="s">
        <v>23</v>
      </c>
      <c r="G852" s="23" t="s">
        <v>14</v>
      </c>
      <c r="H852" s="23" t="s">
        <v>41</v>
      </c>
      <c r="I852" s="23" t="s">
        <v>22</v>
      </c>
      <c r="J852" s="24">
        <v>220000</v>
      </c>
      <c r="K852" s="23">
        <v>1</v>
      </c>
      <c r="L852" s="23" t="s">
        <v>17</v>
      </c>
      <c r="M852" s="25">
        <f t="shared" si="27"/>
        <v>176000</v>
      </c>
      <c r="N852" s="25">
        <f>'Working Sheet'!$J852*'Working Sheet'!$K852</f>
        <v>220000</v>
      </c>
      <c r="O852" s="26">
        <f>'Working Sheet'!$M852*'Working Sheet'!$K852</f>
        <v>176000</v>
      </c>
      <c r="P852" s="25">
        <f>'Working Sheet'!$N852-'Working Sheet'!$O852</f>
        <v>44000</v>
      </c>
    </row>
    <row r="853" spans="1:16" ht="14.25" customHeight="1" x14ac:dyDescent="0.25">
      <c r="A853" s="18" t="str">
        <f t="shared" ca="1" si="26"/>
        <v>ID_1594</v>
      </c>
      <c r="B853" s="17">
        <v>45696</v>
      </c>
      <c r="C853" s="18" t="str">
        <f>TEXT('Working Sheet'!$B853,"mmm")</f>
        <v>Feb</v>
      </c>
      <c r="D853" s="18" t="s">
        <v>29</v>
      </c>
      <c r="E853" s="18" t="s">
        <v>19</v>
      </c>
      <c r="F853" s="18" t="s">
        <v>23</v>
      </c>
      <c r="G853" s="18" t="s">
        <v>14</v>
      </c>
      <c r="H853" s="18" t="s">
        <v>21</v>
      </c>
      <c r="I853" s="18" t="s">
        <v>22</v>
      </c>
      <c r="J853" s="19">
        <v>30000</v>
      </c>
      <c r="K853" s="18">
        <v>3</v>
      </c>
      <c r="L853" s="18" t="s">
        <v>28</v>
      </c>
      <c r="M853" s="20">
        <f t="shared" si="27"/>
        <v>24000</v>
      </c>
      <c r="N853" s="20">
        <f>'Working Sheet'!$J853*'Working Sheet'!$K853</f>
        <v>90000</v>
      </c>
      <c r="O853" s="21">
        <f>'Working Sheet'!$M853*'Working Sheet'!$K853</f>
        <v>72000</v>
      </c>
      <c r="P853" s="20">
        <f>'Working Sheet'!$N853-'Working Sheet'!$O853</f>
        <v>18000</v>
      </c>
    </row>
    <row r="854" spans="1:16" ht="14.25" customHeight="1" x14ac:dyDescent="0.25">
      <c r="A854" s="23" t="str">
        <f t="shared" ca="1" si="26"/>
        <v>ID_293</v>
      </c>
      <c r="B854" s="22">
        <v>45733</v>
      </c>
      <c r="C854" s="23" t="str">
        <f>TEXT('Working Sheet'!$B854,"mmm")</f>
        <v>Mar</v>
      </c>
      <c r="D854" s="23" t="s">
        <v>25</v>
      </c>
      <c r="E854" s="23" t="s">
        <v>19</v>
      </c>
      <c r="F854" s="23" t="s">
        <v>23</v>
      </c>
      <c r="G854" s="23" t="s">
        <v>14</v>
      </c>
      <c r="H854" s="23" t="s">
        <v>38</v>
      </c>
      <c r="I854" s="23" t="s">
        <v>31</v>
      </c>
      <c r="J854" s="24">
        <v>420000</v>
      </c>
      <c r="K854" s="23">
        <v>1</v>
      </c>
      <c r="L854" s="23" t="s">
        <v>35</v>
      </c>
      <c r="M854" s="25">
        <f t="shared" si="27"/>
        <v>336000</v>
      </c>
      <c r="N854" s="25">
        <f>'Working Sheet'!$J854*'Working Sheet'!$K854</f>
        <v>420000</v>
      </c>
      <c r="O854" s="26">
        <f>'Working Sheet'!$M854*'Working Sheet'!$K854</f>
        <v>336000</v>
      </c>
      <c r="P854" s="25">
        <f>'Working Sheet'!$N854-'Working Sheet'!$O854</f>
        <v>84000</v>
      </c>
    </row>
    <row r="855" spans="1:16" ht="14.25" customHeight="1" x14ac:dyDescent="0.25">
      <c r="A855" s="18" t="str">
        <f t="shared" ca="1" si="26"/>
        <v>ID_669</v>
      </c>
      <c r="B855" s="17">
        <v>45744</v>
      </c>
      <c r="C855" s="18" t="str">
        <f>TEXT('Working Sheet'!$B855,"mmm")</f>
        <v>Mar</v>
      </c>
      <c r="D855" s="18" t="s">
        <v>18</v>
      </c>
      <c r="E855" s="18" t="s">
        <v>12</v>
      </c>
      <c r="F855" s="18" t="s">
        <v>13</v>
      </c>
      <c r="G855" s="18" t="s">
        <v>20</v>
      </c>
      <c r="H855" s="18" t="s">
        <v>21</v>
      </c>
      <c r="I855" s="18" t="s">
        <v>22</v>
      </c>
      <c r="J855" s="19">
        <v>30000</v>
      </c>
      <c r="K855" s="18">
        <v>5</v>
      </c>
      <c r="L855" s="18" t="s">
        <v>39</v>
      </c>
      <c r="M855" s="20">
        <f t="shared" si="27"/>
        <v>24000</v>
      </c>
      <c r="N855" s="20">
        <f>'Working Sheet'!$J855*'Working Sheet'!$K855</f>
        <v>150000</v>
      </c>
      <c r="O855" s="21">
        <f>'Working Sheet'!$M855*'Working Sheet'!$K855</f>
        <v>120000</v>
      </c>
      <c r="P855" s="20">
        <f>'Working Sheet'!$N855-'Working Sheet'!$O855</f>
        <v>30000</v>
      </c>
    </row>
    <row r="856" spans="1:16" ht="14.25" customHeight="1" x14ac:dyDescent="0.25">
      <c r="A856" s="23" t="str">
        <f t="shared" ca="1" si="26"/>
        <v>ID_1652</v>
      </c>
      <c r="B856" s="22">
        <v>45723</v>
      </c>
      <c r="C856" s="23" t="str">
        <f>TEXT('Working Sheet'!$B856,"mmm")</f>
        <v>Mar</v>
      </c>
      <c r="D856" s="23" t="s">
        <v>18</v>
      </c>
      <c r="E856" s="23" t="s">
        <v>32</v>
      </c>
      <c r="F856" s="23" t="s">
        <v>23</v>
      </c>
      <c r="G856" s="23" t="s">
        <v>14</v>
      </c>
      <c r="H856" s="23" t="s">
        <v>38</v>
      </c>
      <c r="I856" s="23" t="s">
        <v>31</v>
      </c>
      <c r="J856" s="24">
        <v>420000</v>
      </c>
      <c r="K856" s="23">
        <v>7</v>
      </c>
      <c r="L856" s="23" t="s">
        <v>17</v>
      </c>
      <c r="M856" s="25">
        <f t="shared" si="27"/>
        <v>336000</v>
      </c>
      <c r="N856" s="25">
        <f>'Working Sheet'!$J856*'Working Sheet'!$K856</f>
        <v>2940000</v>
      </c>
      <c r="O856" s="26">
        <f>'Working Sheet'!$M856*'Working Sheet'!$K856</f>
        <v>2352000</v>
      </c>
      <c r="P856" s="25">
        <f>'Working Sheet'!$N856-'Working Sheet'!$O856</f>
        <v>588000</v>
      </c>
    </row>
    <row r="857" spans="1:16" ht="14.25" customHeight="1" x14ac:dyDescent="0.25">
      <c r="A857" s="18" t="str">
        <f t="shared" ca="1" si="26"/>
        <v>ID_733</v>
      </c>
      <c r="B857" s="17">
        <v>45735</v>
      </c>
      <c r="C857" s="18" t="str">
        <f>TEXT('Working Sheet'!$B857,"mmm")</f>
        <v>Mar</v>
      </c>
      <c r="D857" s="18" t="s">
        <v>25</v>
      </c>
      <c r="E857" s="18" t="s">
        <v>19</v>
      </c>
      <c r="F857" s="18" t="s">
        <v>13</v>
      </c>
      <c r="G857" s="18" t="s">
        <v>20</v>
      </c>
      <c r="H857" s="18" t="s">
        <v>33</v>
      </c>
      <c r="I857" s="18" t="s">
        <v>22</v>
      </c>
      <c r="J857" s="19">
        <v>180000</v>
      </c>
      <c r="K857" s="18">
        <v>8</v>
      </c>
      <c r="L857" s="18" t="s">
        <v>37</v>
      </c>
      <c r="M857" s="20">
        <f t="shared" si="27"/>
        <v>144000</v>
      </c>
      <c r="N857" s="20">
        <f>'Working Sheet'!$J857*'Working Sheet'!$K857</f>
        <v>1440000</v>
      </c>
      <c r="O857" s="21">
        <f>'Working Sheet'!$M857*'Working Sheet'!$K857</f>
        <v>1152000</v>
      </c>
      <c r="P857" s="20">
        <f>'Working Sheet'!$N857-'Working Sheet'!$O857</f>
        <v>288000</v>
      </c>
    </row>
    <row r="858" spans="1:16" ht="14.25" customHeight="1" x14ac:dyDescent="0.25">
      <c r="A858" s="23" t="str">
        <f t="shared" ca="1" si="26"/>
        <v>ID_1113</v>
      </c>
      <c r="B858" s="22">
        <v>45761</v>
      </c>
      <c r="C858" s="23" t="str">
        <f>TEXT('Working Sheet'!$B858,"mmm")</f>
        <v>Apr</v>
      </c>
      <c r="D858" s="23" t="s">
        <v>11</v>
      </c>
      <c r="E858" s="23" t="s">
        <v>32</v>
      </c>
      <c r="F858" s="23" t="s">
        <v>23</v>
      </c>
      <c r="G858" s="23" t="s">
        <v>20</v>
      </c>
      <c r="H858" s="23" t="s">
        <v>41</v>
      </c>
      <c r="I858" s="23" t="s">
        <v>22</v>
      </c>
      <c r="J858" s="24">
        <v>220000</v>
      </c>
      <c r="K858" s="23">
        <v>3</v>
      </c>
      <c r="L858" s="23" t="s">
        <v>28</v>
      </c>
      <c r="M858" s="25">
        <f t="shared" si="27"/>
        <v>176000</v>
      </c>
      <c r="N858" s="25">
        <f>'Working Sheet'!$J858*'Working Sheet'!$K858</f>
        <v>660000</v>
      </c>
      <c r="O858" s="26">
        <f>'Working Sheet'!$M858*'Working Sheet'!$K858</f>
        <v>528000</v>
      </c>
      <c r="P858" s="25">
        <f>'Working Sheet'!$N858-'Working Sheet'!$O858</f>
        <v>132000</v>
      </c>
    </row>
    <row r="859" spans="1:16" ht="14.25" customHeight="1" x14ac:dyDescent="0.25">
      <c r="A859" s="18" t="str">
        <f t="shared" ca="1" si="26"/>
        <v>ID_589</v>
      </c>
      <c r="B859" s="17">
        <v>45658</v>
      </c>
      <c r="C859" s="18" t="str">
        <f>TEXT('Working Sheet'!$B859,"mmm")</f>
        <v>Jan</v>
      </c>
      <c r="D859" s="18" t="s">
        <v>18</v>
      </c>
      <c r="E859" s="18" t="s">
        <v>32</v>
      </c>
      <c r="F859" s="18" t="s">
        <v>13</v>
      </c>
      <c r="G859" s="18" t="s">
        <v>14</v>
      </c>
      <c r="H859" s="18" t="s">
        <v>38</v>
      </c>
      <c r="I859" s="18" t="s">
        <v>31</v>
      </c>
      <c r="J859" s="19">
        <v>420000</v>
      </c>
      <c r="K859" s="18">
        <v>3</v>
      </c>
      <c r="L859" s="18" t="s">
        <v>17</v>
      </c>
      <c r="M859" s="20">
        <f t="shared" si="27"/>
        <v>336000</v>
      </c>
      <c r="N859" s="20">
        <f>'Working Sheet'!$J859*'Working Sheet'!$K859</f>
        <v>1260000</v>
      </c>
      <c r="O859" s="21">
        <f>'Working Sheet'!$M859*'Working Sheet'!$K859</f>
        <v>1008000</v>
      </c>
      <c r="P859" s="20">
        <f>'Working Sheet'!$N859-'Working Sheet'!$O859</f>
        <v>252000</v>
      </c>
    </row>
    <row r="860" spans="1:16" ht="14.25" customHeight="1" x14ac:dyDescent="0.25">
      <c r="A860" s="23" t="str">
        <f t="shared" ca="1" si="26"/>
        <v>ID_1929</v>
      </c>
      <c r="B860" s="22">
        <v>45667</v>
      </c>
      <c r="C860" s="23" t="str">
        <f>TEXT('Working Sheet'!$B860,"mmm")</f>
        <v>Jan</v>
      </c>
      <c r="D860" s="23" t="s">
        <v>18</v>
      </c>
      <c r="E860" s="23" t="s">
        <v>26</v>
      </c>
      <c r="F860" s="23" t="s">
        <v>13</v>
      </c>
      <c r="G860" s="23" t="s">
        <v>14</v>
      </c>
      <c r="H860" s="23" t="s">
        <v>33</v>
      </c>
      <c r="I860" s="23" t="s">
        <v>22</v>
      </c>
      <c r="J860" s="24">
        <v>180000</v>
      </c>
      <c r="K860" s="23">
        <v>5</v>
      </c>
      <c r="L860" s="23" t="s">
        <v>39</v>
      </c>
      <c r="M860" s="25">
        <f t="shared" si="27"/>
        <v>144000</v>
      </c>
      <c r="N860" s="25">
        <f>'Working Sheet'!$J860*'Working Sheet'!$K860</f>
        <v>900000</v>
      </c>
      <c r="O860" s="26">
        <f>'Working Sheet'!$M860*'Working Sheet'!$K860</f>
        <v>720000</v>
      </c>
      <c r="P860" s="25">
        <f>'Working Sheet'!$N860-'Working Sheet'!$O860</f>
        <v>180000</v>
      </c>
    </row>
    <row r="861" spans="1:16" ht="14.25" customHeight="1" x14ac:dyDescent="0.25">
      <c r="A861" s="18" t="str">
        <f t="shared" ca="1" si="26"/>
        <v>ID_1730</v>
      </c>
      <c r="B861" s="17">
        <v>45688</v>
      </c>
      <c r="C861" s="18" t="str">
        <f>TEXT('Working Sheet'!$B861,"mmm")</f>
        <v>Jan</v>
      </c>
      <c r="D861" s="18" t="s">
        <v>11</v>
      </c>
      <c r="E861" s="18" t="s">
        <v>26</v>
      </c>
      <c r="F861" s="18" t="s">
        <v>23</v>
      </c>
      <c r="G861" s="18" t="s">
        <v>14</v>
      </c>
      <c r="H861" s="18" t="s">
        <v>41</v>
      </c>
      <c r="I861" s="18" t="s">
        <v>22</v>
      </c>
      <c r="J861" s="19">
        <v>220000</v>
      </c>
      <c r="K861" s="18">
        <v>5</v>
      </c>
      <c r="L861" s="18" t="s">
        <v>28</v>
      </c>
      <c r="M861" s="20">
        <f t="shared" si="27"/>
        <v>176000</v>
      </c>
      <c r="N861" s="20">
        <f>'Working Sheet'!$J861*'Working Sheet'!$K861</f>
        <v>1100000</v>
      </c>
      <c r="O861" s="21">
        <f>'Working Sheet'!$M861*'Working Sheet'!$K861</f>
        <v>880000</v>
      </c>
      <c r="P861" s="20">
        <f>'Working Sheet'!$N861-'Working Sheet'!$O861</f>
        <v>220000</v>
      </c>
    </row>
    <row r="862" spans="1:16" ht="14.25" customHeight="1" x14ac:dyDescent="0.25">
      <c r="A862" s="23" t="str">
        <f t="shared" ca="1" si="26"/>
        <v>ID_683</v>
      </c>
      <c r="B862" s="22">
        <v>45691</v>
      </c>
      <c r="C862" s="23" t="str">
        <f>TEXT('Working Sheet'!$B862,"mmm")</f>
        <v>Feb</v>
      </c>
      <c r="D862" s="23" t="s">
        <v>29</v>
      </c>
      <c r="E862" s="23" t="s">
        <v>32</v>
      </c>
      <c r="F862" s="23" t="s">
        <v>23</v>
      </c>
      <c r="G862" s="23" t="s">
        <v>14</v>
      </c>
      <c r="H862" s="23" t="s">
        <v>40</v>
      </c>
      <c r="I862" s="23" t="s">
        <v>31</v>
      </c>
      <c r="J862" s="24">
        <v>250000</v>
      </c>
      <c r="K862" s="23">
        <v>2</v>
      </c>
      <c r="L862" s="23" t="s">
        <v>35</v>
      </c>
      <c r="M862" s="25">
        <f t="shared" si="27"/>
        <v>200000</v>
      </c>
      <c r="N862" s="25">
        <f>'Working Sheet'!$J862*'Working Sheet'!$K862</f>
        <v>500000</v>
      </c>
      <c r="O862" s="26">
        <f>'Working Sheet'!$M862*'Working Sheet'!$K862</f>
        <v>400000</v>
      </c>
      <c r="P862" s="25">
        <f>'Working Sheet'!$N862-'Working Sheet'!$O862</f>
        <v>100000</v>
      </c>
    </row>
    <row r="863" spans="1:16" ht="14.25" customHeight="1" x14ac:dyDescent="0.25">
      <c r="A863" s="18" t="str">
        <f t="shared" ca="1" si="26"/>
        <v>ID_320</v>
      </c>
      <c r="B863" s="17">
        <v>45750</v>
      </c>
      <c r="C863" s="18" t="str">
        <f>TEXT('Working Sheet'!$B863,"mmm")</f>
        <v>Apr</v>
      </c>
      <c r="D863" s="18" t="s">
        <v>18</v>
      </c>
      <c r="E863" s="18" t="s">
        <v>26</v>
      </c>
      <c r="F863" s="18" t="s">
        <v>23</v>
      </c>
      <c r="G863" s="18" t="s">
        <v>14</v>
      </c>
      <c r="H863" s="18" t="s">
        <v>38</v>
      </c>
      <c r="I863" s="18" t="s">
        <v>31</v>
      </c>
      <c r="J863" s="19">
        <v>420000</v>
      </c>
      <c r="K863" s="18">
        <v>3</v>
      </c>
      <c r="L863" s="18" t="s">
        <v>35</v>
      </c>
      <c r="M863" s="20">
        <f t="shared" si="27"/>
        <v>336000</v>
      </c>
      <c r="N863" s="20">
        <f>'Working Sheet'!$J863*'Working Sheet'!$K863</f>
        <v>1260000</v>
      </c>
      <c r="O863" s="21">
        <f>'Working Sheet'!$M863*'Working Sheet'!$K863</f>
        <v>1008000</v>
      </c>
      <c r="P863" s="20">
        <f>'Working Sheet'!$N863-'Working Sheet'!$O863</f>
        <v>252000</v>
      </c>
    </row>
    <row r="864" spans="1:16" ht="14.25" customHeight="1" x14ac:dyDescent="0.25">
      <c r="A864" s="23" t="str">
        <f t="shared" ca="1" si="26"/>
        <v>ID_1032</v>
      </c>
      <c r="B864" s="22">
        <v>45664</v>
      </c>
      <c r="C864" s="23" t="str">
        <f>TEXT('Working Sheet'!$B864,"mmm")</f>
        <v>Jan</v>
      </c>
      <c r="D864" s="23" t="s">
        <v>18</v>
      </c>
      <c r="E864" s="23" t="s">
        <v>19</v>
      </c>
      <c r="F864" s="23" t="s">
        <v>23</v>
      </c>
      <c r="G864" s="23" t="s">
        <v>14</v>
      </c>
      <c r="H864" s="23" t="s">
        <v>38</v>
      </c>
      <c r="I864" s="23" t="s">
        <v>31</v>
      </c>
      <c r="J864" s="24">
        <v>420000</v>
      </c>
      <c r="K864" s="23">
        <v>8</v>
      </c>
      <c r="L864" s="23" t="s">
        <v>28</v>
      </c>
      <c r="M864" s="25">
        <f t="shared" si="27"/>
        <v>336000</v>
      </c>
      <c r="N864" s="25">
        <f>'Working Sheet'!$J864*'Working Sheet'!$K864</f>
        <v>3360000</v>
      </c>
      <c r="O864" s="26">
        <f>'Working Sheet'!$M864*'Working Sheet'!$K864</f>
        <v>2688000</v>
      </c>
      <c r="P864" s="25">
        <f>'Working Sheet'!$N864-'Working Sheet'!$O864</f>
        <v>672000</v>
      </c>
    </row>
    <row r="865" spans="1:16" ht="14.25" customHeight="1" x14ac:dyDescent="0.25">
      <c r="A865" s="18" t="str">
        <f t="shared" ca="1" si="26"/>
        <v>ID_2087</v>
      </c>
      <c r="B865" s="17">
        <v>45763</v>
      </c>
      <c r="C865" s="18" t="str">
        <f>TEXT('Working Sheet'!$B865,"mmm")</f>
        <v>Apr</v>
      </c>
      <c r="D865" s="18" t="s">
        <v>18</v>
      </c>
      <c r="E865" s="18" t="s">
        <v>12</v>
      </c>
      <c r="F865" s="18" t="s">
        <v>23</v>
      </c>
      <c r="G865" s="18" t="s">
        <v>14</v>
      </c>
      <c r="H865" s="18" t="s">
        <v>38</v>
      </c>
      <c r="I865" s="18" t="s">
        <v>31</v>
      </c>
      <c r="J865" s="19">
        <v>420000</v>
      </c>
      <c r="K865" s="18">
        <v>7</v>
      </c>
      <c r="L865" s="18" t="s">
        <v>17</v>
      </c>
      <c r="M865" s="20">
        <f t="shared" si="27"/>
        <v>336000</v>
      </c>
      <c r="N865" s="20">
        <f>'Working Sheet'!$J865*'Working Sheet'!$K865</f>
        <v>2940000</v>
      </c>
      <c r="O865" s="21">
        <f>'Working Sheet'!$M865*'Working Sheet'!$K865</f>
        <v>2352000</v>
      </c>
      <c r="P865" s="20">
        <f>'Working Sheet'!$N865-'Working Sheet'!$O865</f>
        <v>588000</v>
      </c>
    </row>
    <row r="866" spans="1:16" ht="14.25" customHeight="1" x14ac:dyDescent="0.25">
      <c r="A866" s="23" t="str">
        <f t="shared" ca="1" si="26"/>
        <v>ID_550</v>
      </c>
      <c r="B866" s="22">
        <v>45772</v>
      </c>
      <c r="C866" s="23" t="str">
        <f>TEXT('Working Sheet'!$B866,"mmm")</f>
        <v>Apr</v>
      </c>
      <c r="D866" s="23" t="s">
        <v>11</v>
      </c>
      <c r="E866" s="23" t="s">
        <v>26</v>
      </c>
      <c r="F866" s="23" t="s">
        <v>23</v>
      </c>
      <c r="G866" s="23" t="s">
        <v>14</v>
      </c>
      <c r="H866" s="23" t="s">
        <v>34</v>
      </c>
      <c r="I866" s="23" t="s">
        <v>16</v>
      </c>
      <c r="J866" s="24">
        <v>320000</v>
      </c>
      <c r="K866" s="23">
        <v>6</v>
      </c>
      <c r="L866" s="23" t="s">
        <v>28</v>
      </c>
      <c r="M866" s="25">
        <f t="shared" si="27"/>
        <v>256000</v>
      </c>
      <c r="N866" s="25">
        <f>'Working Sheet'!$J866*'Working Sheet'!$K866</f>
        <v>1920000</v>
      </c>
      <c r="O866" s="26">
        <f>'Working Sheet'!$M866*'Working Sheet'!$K866</f>
        <v>1536000</v>
      </c>
      <c r="P866" s="25">
        <f>'Working Sheet'!$N866-'Working Sheet'!$O866</f>
        <v>384000</v>
      </c>
    </row>
    <row r="867" spans="1:16" ht="14.25" customHeight="1" x14ac:dyDescent="0.25">
      <c r="A867" s="18" t="str">
        <f t="shared" ca="1" si="26"/>
        <v>ID_1934</v>
      </c>
      <c r="B867" s="17">
        <v>45714</v>
      </c>
      <c r="C867" s="18" t="str">
        <f>TEXT('Working Sheet'!$B867,"mmm")</f>
        <v>Feb</v>
      </c>
      <c r="D867" s="18" t="s">
        <v>29</v>
      </c>
      <c r="E867" s="18" t="s">
        <v>26</v>
      </c>
      <c r="F867" s="18" t="s">
        <v>23</v>
      </c>
      <c r="G867" s="18" t="s">
        <v>14</v>
      </c>
      <c r="H867" s="18" t="s">
        <v>27</v>
      </c>
      <c r="I867" s="18" t="s">
        <v>22</v>
      </c>
      <c r="J867" s="19">
        <v>60000</v>
      </c>
      <c r="K867" s="18">
        <v>3</v>
      </c>
      <c r="L867" s="18" t="s">
        <v>28</v>
      </c>
      <c r="M867" s="20">
        <f t="shared" si="27"/>
        <v>48000</v>
      </c>
      <c r="N867" s="20">
        <f>'Working Sheet'!$J867*'Working Sheet'!$K867</f>
        <v>180000</v>
      </c>
      <c r="O867" s="21">
        <f>'Working Sheet'!$M867*'Working Sheet'!$K867</f>
        <v>144000</v>
      </c>
      <c r="P867" s="20">
        <f>'Working Sheet'!$N867-'Working Sheet'!$O867</f>
        <v>36000</v>
      </c>
    </row>
    <row r="868" spans="1:16" ht="14.25" customHeight="1" x14ac:dyDescent="0.25">
      <c r="A868" s="23" t="str">
        <f t="shared" ca="1" si="26"/>
        <v>ID_952</v>
      </c>
      <c r="B868" s="22">
        <v>45689</v>
      </c>
      <c r="C868" s="23" t="str">
        <f>TEXT('Working Sheet'!$B868,"mmm")</f>
        <v>Feb</v>
      </c>
      <c r="D868" s="23" t="s">
        <v>11</v>
      </c>
      <c r="E868" s="23" t="s">
        <v>12</v>
      </c>
      <c r="F868" s="23" t="s">
        <v>23</v>
      </c>
      <c r="G868" s="23" t="s">
        <v>20</v>
      </c>
      <c r="H868" s="23" t="s">
        <v>15</v>
      </c>
      <c r="I868" s="23" t="s">
        <v>16</v>
      </c>
      <c r="J868" s="24">
        <v>85000</v>
      </c>
      <c r="K868" s="23">
        <v>8</v>
      </c>
      <c r="L868" s="23" t="s">
        <v>17</v>
      </c>
      <c r="M868" s="25">
        <f t="shared" si="27"/>
        <v>68000</v>
      </c>
      <c r="N868" s="25">
        <f>'Working Sheet'!$J868*'Working Sheet'!$K868</f>
        <v>680000</v>
      </c>
      <c r="O868" s="26">
        <f>'Working Sheet'!$M868*'Working Sheet'!$K868</f>
        <v>544000</v>
      </c>
      <c r="P868" s="25">
        <f>'Working Sheet'!$N868-'Working Sheet'!$O868</f>
        <v>136000</v>
      </c>
    </row>
    <row r="869" spans="1:16" ht="14.25" customHeight="1" x14ac:dyDescent="0.25">
      <c r="A869" s="18" t="str">
        <f t="shared" ca="1" si="26"/>
        <v>ID_1466</v>
      </c>
      <c r="B869" s="17">
        <v>45677</v>
      </c>
      <c r="C869" s="18" t="str">
        <f>TEXT('Working Sheet'!$B869,"mmm")</f>
        <v>Jan</v>
      </c>
      <c r="D869" s="18" t="s">
        <v>11</v>
      </c>
      <c r="E869" s="18" t="s">
        <v>12</v>
      </c>
      <c r="F869" s="18" t="s">
        <v>23</v>
      </c>
      <c r="G869" s="18" t="s">
        <v>20</v>
      </c>
      <c r="H869" s="18" t="s">
        <v>33</v>
      </c>
      <c r="I869" s="18" t="s">
        <v>22</v>
      </c>
      <c r="J869" s="19">
        <v>180000</v>
      </c>
      <c r="K869" s="18">
        <v>9</v>
      </c>
      <c r="L869" s="18" t="s">
        <v>35</v>
      </c>
      <c r="M869" s="20">
        <f t="shared" si="27"/>
        <v>144000</v>
      </c>
      <c r="N869" s="20">
        <f>'Working Sheet'!$J869*'Working Sheet'!$K869</f>
        <v>1620000</v>
      </c>
      <c r="O869" s="21">
        <f>'Working Sheet'!$M869*'Working Sheet'!$K869</f>
        <v>1296000</v>
      </c>
      <c r="P869" s="20">
        <f>'Working Sheet'!$N869-'Working Sheet'!$O869</f>
        <v>324000</v>
      </c>
    </row>
    <row r="870" spans="1:16" ht="14.25" customHeight="1" x14ac:dyDescent="0.25">
      <c r="A870" s="23" t="str">
        <f t="shared" ca="1" si="26"/>
        <v>ID_531</v>
      </c>
      <c r="B870" s="22">
        <v>45712</v>
      </c>
      <c r="C870" s="23" t="str">
        <f>TEXT('Working Sheet'!$B870,"mmm")</f>
        <v>Feb</v>
      </c>
      <c r="D870" s="23" t="s">
        <v>11</v>
      </c>
      <c r="E870" s="23" t="s">
        <v>26</v>
      </c>
      <c r="F870" s="23" t="s">
        <v>23</v>
      </c>
      <c r="G870" s="23" t="s">
        <v>20</v>
      </c>
      <c r="H870" s="23" t="s">
        <v>41</v>
      </c>
      <c r="I870" s="23" t="s">
        <v>22</v>
      </c>
      <c r="J870" s="24">
        <v>220000</v>
      </c>
      <c r="K870" s="23">
        <v>5</v>
      </c>
      <c r="L870" s="23" t="s">
        <v>35</v>
      </c>
      <c r="M870" s="25">
        <f t="shared" si="27"/>
        <v>176000</v>
      </c>
      <c r="N870" s="25">
        <f>'Working Sheet'!$J870*'Working Sheet'!$K870</f>
        <v>1100000</v>
      </c>
      <c r="O870" s="26">
        <f>'Working Sheet'!$M870*'Working Sheet'!$K870</f>
        <v>880000</v>
      </c>
      <c r="P870" s="25">
        <f>'Working Sheet'!$N870-'Working Sheet'!$O870</f>
        <v>220000</v>
      </c>
    </row>
    <row r="871" spans="1:16" ht="14.25" customHeight="1" x14ac:dyDescent="0.25">
      <c r="A871" s="18" t="str">
        <f t="shared" ca="1" si="26"/>
        <v>ID_657</v>
      </c>
      <c r="B871" s="17">
        <v>45667</v>
      </c>
      <c r="C871" s="18" t="str">
        <f>TEXT('Working Sheet'!$B871,"mmm")</f>
        <v>Jan</v>
      </c>
      <c r="D871" s="18" t="s">
        <v>25</v>
      </c>
      <c r="E871" s="18" t="s">
        <v>26</v>
      </c>
      <c r="F871" s="18" t="s">
        <v>23</v>
      </c>
      <c r="G871" s="18" t="s">
        <v>20</v>
      </c>
      <c r="H871" s="18" t="s">
        <v>33</v>
      </c>
      <c r="I871" s="18" t="s">
        <v>22</v>
      </c>
      <c r="J871" s="19">
        <v>180000</v>
      </c>
      <c r="K871" s="18">
        <v>5</v>
      </c>
      <c r="L871" s="18" t="s">
        <v>35</v>
      </c>
      <c r="M871" s="20">
        <f t="shared" si="27"/>
        <v>144000</v>
      </c>
      <c r="N871" s="20">
        <f>'Working Sheet'!$J871*'Working Sheet'!$K871</f>
        <v>900000</v>
      </c>
      <c r="O871" s="21">
        <f>'Working Sheet'!$M871*'Working Sheet'!$K871</f>
        <v>720000</v>
      </c>
      <c r="P871" s="20">
        <f>'Working Sheet'!$N871-'Working Sheet'!$O871</f>
        <v>180000</v>
      </c>
    </row>
    <row r="872" spans="1:16" ht="14.25" customHeight="1" x14ac:dyDescent="0.25">
      <c r="A872" s="23" t="str">
        <f t="shared" ca="1" si="26"/>
        <v>ID_471</v>
      </c>
      <c r="B872" s="22">
        <v>45720</v>
      </c>
      <c r="C872" s="23" t="str">
        <f>TEXT('Working Sheet'!$B872,"mmm")</f>
        <v>Mar</v>
      </c>
      <c r="D872" s="23" t="s">
        <v>11</v>
      </c>
      <c r="E872" s="23" t="s">
        <v>19</v>
      </c>
      <c r="F872" s="23" t="s">
        <v>23</v>
      </c>
      <c r="G872" s="23" t="s">
        <v>14</v>
      </c>
      <c r="H872" s="23" t="s">
        <v>27</v>
      </c>
      <c r="I872" s="23" t="s">
        <v>22</v>
      </c>
      <c r="J872" s="24">
        <v>60000</v>
      </c>
      <c r="K872" s="23">
        <v>7</v>
      </c>
      <c r="L872" s="23" t="s">
        <v>17</v>
      </c>
      <c r="M872" s="25">
        <f t="shared" si="27"/>
        <v>48000</v>
      </c>
      <c r="N872" s="25">
        <f>'Working Sheet'!$J872*'Working Sheet'!$K872</f>
        <v>420000</v>
      </c>
      <c r="O872" s="26">
        <f>'Working Sheet'!$M872*'Working Sheet'!$K872</f>
        <v>336000</v>
      </c>
      <c r="P872" s="25">
        <f>'Working Sheet'!$N872-'Working Sheet'!$O872</f>
        <v>84000</v>
      </c>
    </row>
    <row r="873" spans="1:16" ht="14.25" customHeight="1" x14ac:dyDescent="0.25">
      <c r="A873" s="18" t="str">
        <f t="shared" ca="1" si="26"/>
        <v>ID_273</v>
      </c>
      <c r="B873" s="17">
        <v>45763</v>
      </c>
      <c r="C873" s="18" t="str">
        <f>TEXT('Working Sheet'!$B873,"mmm")</f>
        <v>Apr</v>
      </c>
      <c r="D873" s="18" t="s">
        <v>25</v>
      </c>
      <c r="E873" s="18" t="s">
        <v>26</v>
      </c>
      <c r="F873" s="18" t="s">
        <v>23</v>
      </c>
      <c r="G873" s="18" t="s">
        <v>20</v>
      </c>
      <c r="H873" s="18" t="s">
        <v>36</v>
      </c>
      <c r="I873" s="18" t="s">
        <v>31</v>
      </c>
      <c r="J873" s="19">
        <v>150000</v>
      </c>
      <c r="K873" s="18">
        <v>7</v>
      </c>
      <c r="L873" s="18" t="s">
        <v>35</v>
      </c>
      <c r="M873" s="20">
        <f t="shared" si="27"/>
        <v>120000</v>
      </c>
      <c r="N873" s="20">
        <f>'Working Sheet'!$J873*'Working Sheet'!$K873</f>
        <v>1050000</v>
      </c>
      <c r="O873" s="21">
        <f>'Working Sheet'!$M873*'Working Sheet'!$K873</f>
        <v>840000</v>
      </c>
      <c r="P873" s="20">
        <f>'Working Sheet'!$N873-'Working Sheet'!$O873</f>
        <v>210000</v>
      </c>
    </row>
    <row r="874" spans="1:16" ht="14.25" customHeight="1" x14ac:dyDescent="0.25">
      <c r="A874" s="23" t="str">
        <f t="shared" ca="1" si="26"/>
        <v>ID_1080</v>
      </c>
      <c r="B874" s="22">
        <v>45760</v>
      </c>
      <c r="C874" s="23" t="str">
        <f>TEXT('Working Sheet'!$B874,"mmm")</f>
        <v>Apr</v>
      </c>
      <c r="D874" s="23" t="s">
        <v>18</v>
      </c>
      <c r="E874" s="23" t="s">
        <v>12</v>
      </c>
      <c r="F874" s="23" t="s">
        <v>23</v>
      </c>
      <c r="G874" s="23" t="s">
        <v>20</v>
      </c>
      <c r="H874" s="23" t="s">
        <v>21</v>
      </c>
      <c r="I874" s="23" t="s">
        <v>22</v>
      </c>
      <c r="J874" s="24">
        <v>30000</v>
      </c>
      <c r="K874" s="23">
        <v>4</v>
      </c>
      <c r="L874" s="23" t="s">
        <v>37</v>
      </c>
      <c r="M874" s="25">
        <f t="shared" si="27"/>
        <v>24000</v>
      </c>
      <c r="N874" s="25">
        <f>'Working Sheet'!$J874*'Working Sheet'!$K874</f>
        <v>120000</v>
      </c>
      <c r="O874" s="26">
        <f>'Working Sheet'!$M874*'Working Sheet'!$K874</f>
        <v>96000</v>
      </c>
      <c r="P874" s="25">
        <f>'Working Sheet'!$N874-'Working Sheet'!$O874</f>
        <v>24000</v>
      </c>
    </row>
    <row r="875" spans="1:16" ht="14.25" customHeight="1" x14ac:dyDescent="0.25">
      <c r="A875" s="18" t="str">
        <f t="shared" ca="1" si="26"/>
        <v>ID_865</v>
      </c>
      <c r="B875" s="17">
        <v>45668</v>
      </c>
      <c r="C875" s="18" t="str">
        <f>TEXT('Working Sheet'!$B875,"mmm")</f>
        <v>Jan</v>
      </c>
      <c r="D875" s="18" t="s">
        <v>11</v>
      </c>
      <c r="E875" s="18" t="s">
        <v>32</v>
      </c>
      <c r="F875" s="18" t="s">
        <v>23</v>
      </c>
      <c r="G875" s="18" t="s">
        <v>20</v>
      </c>
      <c r="H875" s="18" t="s">
        <v>38</v>
      </c>
      <c r="I875" s="18" t="s">
        <v>31</v>
      </c>
      <c r="J875" s="19">
        <v>420000</v>
      </c>
      <c r="K875" s="18">
        <v>1</v>
      </c>
      <c r="L875" s="18" t="s">
        <v>37</v>
      </c>
      <c r="M875" s="20">
        <f t="shared" si="27"/>
        <v>336000</v>
      </c>
      <c r="N875" s="20">
        <f>'Working Sheet'!$J875*'Working Sheet'!$K875</f>
        <v>420000</v>
      </c>
      <c r="O875" s="21">
        <f>'Working Sheet'!$M875*'Working Sheet'!$K875</f>
        <v>336000</v>
      </c>
      <c r="P875" s="20">
        <f>'Working Sheet'!$N875-'Working Sheet'!$O875</f>
        <v>84000</v>
      </c>
    </row>
    <row r="876" spans="1:16" ht="14.25" customHeight="1" x14ac:dyDescent="0.25">
      <c r="A876" s="23" t="str">
        <f t="shared" ca="1" si="26"/>
        <v>ID_1222</v>
      </c>
      <c r="B876" s="22">
        <v>45699</v>
      </c>
      <c r="C876" s="23" t="str">
        <f>TEXT('Working Sheet'!$B876,"mmm")</f>
        <v>Feb</v>
      </c>
      <c r="D876" s="23" t="s">
        <v>11</v>
      </c>
      <c r="E876" s="23" t="s">
        <v>26</v>
      </c>
      <c r="F876" s="23" t="s">
        <v>23</v>
      </c>
      <c r="G876" s="23" t="s">
        <v>20</v>
      </c>
      <c r="H876" s="23" t="s">
        <v>38</v>
      </c>
      <c r="I876" s="23" t="s">
        <v>31</v>
      </c>
      <c r="J876" s="24">
        <v>420000</v>
      </c>
      <c r="K876" s="23">
        <v>4</v>
      </c>
      <c r="L876" s="23" t="s">
        <v>35</v>
      </c>
      <c r="M876" s="25">
        <f t="shared" si="27"/>
        <v>336000</v>
      </c>
      <c r="N876" s="25">
        <f>'Working Sheet'!$J876*'Working Sheet'!$K876</f>
        <v>1680000</v>
      </c>
      <c r="O876" s="26">
        <f>'Working Sheet'!$M876*'Working Sheet'!$K876</f>
        <v>1344000</v>
      </c>
      <c r="P876" s="25">
        <f>'Working Sheet'!$N876-'Working Sheet'!$O876</f>
        <v>336000</v>
      </c>
    </row>
    <row r="877" spans="1:16" ht="14.25" customHeight="1" x14ac:dyDescent="0.25">
      <c r="A877" s="18" t="str">
        <f t="shared" ca="1" si="26"/>
        <v>ID_749</v>
      </c>
      <c r="B877" s="17">
        <v>45689</v>
      </c>
      <c r="C877" s="18" t="str">
        <f>TEXT('Working Sheet'!$B877,"mmm")</f>
        <v>Feb</v>
      </c>
      <c r="D877" s="18" t="s">
        <v>29</v>
      </c>
      <c r="E877" s="18" t="s">
        <v>26</v>
      </c>
      <c r="F877" s="18" t="s">
        <v>23</v>
      </c>
      <c r="G877" s="18" t="s">
        <v>14</v>
      </c>
      <c r="H877" s="18" t="s">
        <v>15</v>
      </c>
      <c r="I877" s="18" t="s">
        <v>16</v>
      </c>
      <c r="J877" s="19">
        <v>85000</v>
      </c>
      <c r="K877" s="18">
        <v>4</v>
      </c>
      <c r="L877" s="18" t="s">
        <v>35</v>
      </c>
      <c r="M877" s="20">
        <f t="shared" si="27"/>
        <v>68000</v>
      </c>
      <c r="N877" s="20">
        <f>'Working Sheet'!$J877*'Working Sheet'!$K877</f>
        <v>340000</v>
      </c>
      <c r="O877" s="21">
        <f>'Working Sheet'!$M877*'Working Sheet'!$K877</f>
        <v>272000</v>
      </c>
      <c r="P877" s="20">
        <f>'Working Sheet'!$N877-'Working Sheet'!$O877</f>
        <v>68000</v>
      </c>
    </row>
    <row r="878" spans="1:16" ht="14.25" customHeight="1" x14ac:dyDescent="0.25">
      <c r="A878" s="23" t="str">
        <f t="shared" ca="1" si="26"/>
        <v>ID_1236</v>
      </c>
      <c r="B878" s="22">
        <v>45769</v>
      </c>
      <c r="C878" s="23" t="str">
        <f>TEXT('Working Sheet'!$B878,"mmm")</f>
        <v>Apr</v>
      </c>
      <c r="D878" s="23" t="s">
        <v>11</v>
      </c>
      <c r="E878" s="23" t="s">
        <v>19</v>
      </c>
      <c r="F878" s="23" t="s">
        <v>23</v>
      </c>
      <c r="G878" s="23" t="s">
        <v>20</v>
      </c>
      <c r="H878" s="23" t="s">
        <v>34</v>
      </c>
      <c r="I878" s="23" t="s">
        <v>16</v>
      </c>
      <c r="J878" s="24">
        <v>320000</v>
      </c>
      <c r="K878" s="23">
        <v>5</v>
      </c>
      <c r="L878" s="23" t="s">
        <v>28</v>
      </c>
      <c r="M878" s="25">
        <f t="shared" si="27"/>
        <v>256000</v>
      </c>
      <c r="N878" s="25">
        <f>'Working Sheet'!$J878*'Working Sheet'!$K878</f>
        <v>1600000</v>
      </c>
      <c r="O878" s="26">
        <f>'Working Sheet'!$M878*'Working Sheet'!$K878</f>
        <v>1280000</v>
      </c>
      <c r="P878" s="25">
        <f>'Working Sheet'!$N878-'Working Sheet'!$O878</f>
        <v>320000</v>
      </c>
    </row>
    <row r="879" spans="1:16" ht="14.25" customHeight="1" x14ac:dyDescent="0.25">
      <c r="A879" s="18" t="str">
        <f t="shared" ca="1" si="26"/>
        <v>ID_822</v>
      </c>
      <c r="B879" s="17">
        <v>45708</v>
      </c>
      <c r="C879" s="18" t="str">
        <f>TEXT('Working Sheet'!$B879,"mmm")</f>
        <v>Feb</v>
      </c>
      <c r="D879" s="18" t="s">
        <v>18</v>
      </c>
      <c r="E879" s="18" t="s">
        <v>12</v>
      </c>
      <c r="F879" s="18" t="s">
        <v>23</v>
      </c>
      <c r="G879" s="18" t="s">
        <v>20</v>
      </c>
      <c r="H879" s="18" t="s">
        <v>15</v>
      </c>
      <c r="I879" s="18" t="s">
        <v>16</v>
      </c>
      <c r="J879" s="19">
        <v>85000</v>
      </c>
      <c r="K879" s="18">
        <v>4</v>
      </c>
      <c r="L879" s="18" t="s">
        <v>28</v>
      </c>
      <c r="M879" s="20">
        <f t="shared" si="27"/>
        <v>68000</v>
      </c>
      <c r="N879" s="20">
        <f>'Working Sheet'!$J879*'Working Sheet'!$K879</f>
        <v>340000</v>
      </c>
      <c r="O879" s="21">
        <f>'Working Sheet'!$M879*'Working Sheet'!$K879</f>
        <v>272000</v>
      </c>
      <c r="P879" s="20">
        <f>'Working Sheet'!$N879-'Working Sheet'!$O879</f>
        <v>68000</v>
      </c>
    </row>
    <row r="880" spans="1:16" ht="14.25" customHeight="1" x14ac:dyDescent="0.25">
      <c r="A880" s="23" t="str">
        <f t="shared" ca="1" si="26"/>
        <v>ID_943</v>
      </c>
      <c r="B880" s="22">
        <v>45716</v>
      </c>
      <c r="C880" s="23" t="str">
        <f>TEXT('Working Sheet'!$B880,"mmm")</f>
        <v>Feb</v>
      </c>
      <c r="D880" s="23" t="s">
        <v>11</v>
      </c>
      <c r="E880" s="23" t="s">
        <v>12</v>
      </c>
      <c r="F880" s="23" t="s">
        <v>23</v>
      </c>
      <c r="G880" s="23" t="s">
        <v>20</v>
      </c>
      <c r="H880" s="23" t="s">
        <v>38</v>
      </c>
      <c r="I880" s="23" t="s">
        <v>31</v>
      </c>
      <c r="J880" s="24">
        <v>420000</v>
      </c>
      <c r="K880" s="23">
        <v>7</v>
      </c>
      <c r="L880" s="23" t="s">
        <v>39</v>
      </c>
      <c r="M880" s="25">
        <f t="shared" si="27"/>
        <v>336000</v>
      </c>
      <c r="N880" s="25">
        <f>'Working Sheet'!$J880*'Working Sheet'!$K880</f>
        <v>2940000</v>
      </c>
      <c r="O880" s="26">
        <f>'Working Sheet'!$M880*'Working Sheet'!$K880</f>
        <v>2352000</v>
      </c>
      <c r="P880" s="25">
        <f>'Working Sheet'!$N880-'Working Sheet'!$O880</f>
        <v>588000</v>
      </c>
    </row>
    <row r="881" spans="1:16" ht="14.25" customHeight="1" x14ac:dyDescent="0.25">
      <c r="A881" s="18" t="str">
        <f t="shared" ca="1" si="26"/>
        <v>ID_1825</v>
      </c>
      <c r="B881" s="17">
        <v>45670</v>
      </c>
      <c r="C881" s="18" t="str">
        <f>TEXT('Working Sheet'!$B881,"mmm")</f>
        <v>Jan</v>
      </c>
      <c r="D881" s="18" t="s">
        <v>11</v>
      </c>
      <c r="E881" s="18" t="s">
        <v>26</v>
      </c>
      <c r="F881" s="18" t="s">
        <v>23</v>
      </c>
      <c r="G881" s="18" t="s">
        <v>14</v>
      </c>
      <c r="H881" s="18" t="s">
        <v>21</v>
      </c>
      <c r="I881" s="18" t="s">
        <v>22</v>
      </c>
      <c r="J881" s="19">
        <v>30000</v>
      </c>
      <c r="K881" s="18">
        <v>10</v>
      </c>
      <c r="L881" s="18" t="s">
        <v>28</v>
      </c>
      <c r="M881" s="20">
        <f t="shared" si="27"/>
        <v>24000</v>
      </c>
      <c r="N881" s="20">
        <f>'Working Sheet'!$J881*'Working Sheet'!$K881</f>
        <v>300000</v>
      </c>
      <c r="O881" s="21">
        <f>'Working Sheet'!$M881*'Working Sheet'!$K881</f>
        <v>240000</v>
      </c>
      <c r="P881" s="20">
        <f>'Working Sheet'!$N881-'Working Sheet'!$O881</f>
        <v>60000</v>
      </c>
    </row>
    <row r="882" spans="1:16" ht="14.25" customHeight="1" x14ac:dyDescent="0.25">
      <c r="A882" s="23" t="str">
        <f t="shared" ca="1" si="26"/>
        <v>ID_879</v>
      </c>
      <c r="B882" s="22">
        <v>45740</v>
      </c>
      <c r="C882" s="23" t="str">
        <f>TEXT('Working Sheet'!$B882,"mmm")</f>
        <v>Mar</v>
      </c>
      <c r="D882" s="23" t="s">
        <v>11</v>
      </c>
      <c r="E882" s="23" t="s">
        <v>26</v>
      </c>
      <c r="F882" s="23" t="s">
        <v>23</v>
      </c>
      <c r="G882" s="23" t="s">
        <v>14</v>
      </c>
      <c r="H882" s="23" t="s">
        <v>36</v>
      </c>
      <c r="I882" s="23" t="s">
        <v>31</v>
      </c>
      <c r="J882" s="24">
        <v>150000</v>
      </c>
      <c r="K882" s="23">
        <v>10</v>
      </c>
      <c r="L882" s="23" t="s">
        <v>28</v>
      </c>
      <c r="M882" s="25">
        <f t="shared" si="27"/>
        <v>120000</v>
      </c>
      <c r="N882" s="25">
        <f>'Working Sheet'!$J882*'Working Sheet'!$K882</f>
        <v>1500000</v>
      </c>
      <c r="O882" s="26">
        <f>'Working Sheet'!$M882*'Working Sheet'!$K882</f>
        <v>1200000</v>
      </c>
      <c r="P882" s="25">
        <f>'Working Sheet'!$N882-'Working Sheet'!$O882</f>
        <v>300000</v>
      </c>
    </row>
    <row r="883" spans="1:16" ht="14.25" customHeight="1" x14ac:dyDescent="0.25">
      <c r="A883" s="18" t="str">
        <f t="shared" ca="1" si="26"/>
        <v>ID_1334</v>
      </c>
      <c r="B883" s="17">
        <v>45688</v>
      </c>
      <c r="C883" s="18" t="str">
        <f>TEXT('Working Sheet'!$B883,"mmm")</f>
        <v>Jan</v>
      </c>
      <c r="D883" s="18" t="s">
        <v>25</v>
      </c>
      <c r="E883" s="18" t="s">
        <v>12</v>
      </c>
      <c r="F883" s="18" t="s">
        <v>23</v>
      </c>
      <c r="G883" s="18" t="s">
        <v>20</v>
      </c>
      <c r="H883" s="18" t="s">
        <v>40</v>
      </c>
      <c r="I883" s="18" t="s">
        <v>31</v>
      </c>
      <c r="J883" s="19">
        <v>250000</v>
      </c>
      <c r="K883" s="18">
        <v>4</v>
      </c>
      <c r="L883" s="18" t="s">
        <v>37</v>
      </c>
      <c r="M883" s="20">
        <f t="shared" si="27"/>
        <v>200000</v>
      </c>
      <c r="N883" s="20">
        <f>'Working Sheet'!$J883*'Working Sheet'!$K883</f>
        <v>1000000</v>
      </c>
      <c r="O883" s="21">
        <f>'Working Sheet'!$M883*'Working Sheet'!$K883</f>
        <v>800000</v>
      </c>
      <c r="P883" s="20">
        <f>'Working Sheet'!$N883-'Working Sheet'!$O883</f>
        <v>200000</v>
      </c>
    </row>
    <row r="884" spans="1:16" ht="14.25" customHeight="1" x14ac:dyDescent="0.25">
      <c r="A884" s="23" t="str">
        <f t="shared" ca="1" si="26"/>
        <v>ID_929</v>
      </c>
      <c r="B884" s="22">
        <v>45752</v>
      </c>
      <c r="C884" s="23" t="str">
        <f>TEXT('Working Sheet'!$B884,"mmm")</f>
        <v>Apr</v>
      </c>
      <c r="D884" s="23" t="s">
        <v>18</v>
      </c>
      <c r="E884" s="23" t="s">
        <v>32</v>
      </c>
      <c r="F884" s="23" t="s">
        <v>13</v>
      </c>
      <c r="G884" s="23" t="s">
        <v>14</v>
      </c>
      <c r="H884" s="23" t="s">
        <v>41</v>
      </c>
      <c r="I884" s="23" t="s">
        <v>22</v>
      </c>
      <c r="J884" s="24">
        <v>220000</v>
      </c>
      <c r="K884" s="23">
        <v>6</v>
      </c>
      <c r="L884" s="23" t="s">
        <v>37</v>
      </c>
      <c r="M884" s="25">
        <f t="shared" si="27"/>
        <v>176000</v>
      </c>
      <c r="N884" s="25">
        <f>'Working Sheet'!$J884*'Working Sheet'!$K884</f>
        <v>1320000</v>
      </c>
      <c r="O884" s="26">
        <f>'Working Sheet'!$M884*'Working Sheet'!$K884</f>
        <v>1056000</v>
      </c>
      <c r="P884" s="25">
        <f>'Working Sheet'!$N884-'Working Sheet'!$O884</f>
        <v>264000</v>
      </c>
    </row>
    <row r="885" spans="1:16" ht="14.25" customHeight="1" x14ac:dyDescent="0.25">
      <c r="A885" s="18" t="str">
        <f t="shared" ca="1" si="26"/>
        <v>ID_174</v>
      </c>
      <c r="B885" s="17">
        <v>45673</v>
      </c>
      <c r="C885" s="18" t="str">
        <f>TEXT('Working Sheet'!$B885,"mmm")</f>
        <v>Jan</v>
      </c>
      <c r="D885" s="18" t="s">
        <v>29</v>
      </c>
      <c r="E885" s="18" t="s">
        <v>12</v>
      </c>
      <c r="F885" s="18" t="s">
        <v>13</v>
      </c>
      <c r="G885" s="18" t="s">
        <v>20</v>
      </c>
      <c r="H885" s="18" t="s">
        <v>36</v>
      </c>
      <c r="I885" s="18" t="s">
        <v>31</v>
      </c>
      <c r="J885" s="19">
        <v>150000</v>
      </c>
      <c r="K885" s="18">
        <v>10</v>
      </c>
      <c r="L885" s="18" t="s">
        <v>24</v>
      </c>
      <c r="M885" s="20">
        <f t="shared" si="27"/>
        <v>120000</v>
      </c>
      <c r="N885" s="20">
        <f>'Working Sheet'!$J885*'Working Sheet'!$K885</f>
        <v>1500000</v>
      </c>
      <c r="O885" s="21">
        <f>'Working Sheet'!$M885*'Working Sheet'!$K885</f>
        <v>1200000</v>
      </c>
      <c r="P885" s="20">
        <f>'Working Sheet'!$N885-'Working Sheet'!$O885</f>
        <v>300000</v>
      </c>
    </row>
    <row r="886" spans="1:16" ht="14.25" customHeight="1" x14ac:dyDescent="0.25">
      <c r="A886" s="23" t="str">
        <f t="shared" ca="1" si="26"/>
        <v>ID_1106</v>
      </c>
      <c r="B886" s="22">
        <v>45700</v>
      </c>
      <c r="C886" s="23" t="str">
        <f>TEXT('Working Sheet'!$B886,"mmm")</f>
        <v>Feb</v>
      </c>
      <c r="D886" s="23" t="s">
        <v>18</v>
      </c>
      <c r="E886" s="23" t="s">
        <v>26</v>
      </c>
      <c r="F886" s="23" t="s">
        <v>13</v>
      </c>
      <c r="G886" s="23" t="s">
        <v>14</v>
      </c>
      <c r="H886" s="23" t="s">
        <v>36</v>
      </c>
      <c r="I886" s="23" t="s">
        <v>31</v>
      </c>
      <c r="J886" s="24">
        <v>150000</v>
      </c>
      <c r="K886" s="23">
        <v>2</v>
      </c>
      <c r="L886" s="23" t="s">
        <v>28</v>
      </c>
      <c r="M886" s="25">
        <f t="shared" si="27"/>
        <v>120000</v>
      </c>
      <c r="N886" s="25">
        <f>'Working Sheet'!$J886*'Working Sheet'!$K886</f>
        <v>300000</v>
      </c>
      <c r="O886" s="26">
        <f>'Working Sheet'!$M886*'Working Sheet'!$K886</f>
        <v>240000</v>
      </c>
      <c r="P886" s="25">
        <f>'Working Sheet'!$N886-'Working Sheet'!$O886</f>
        <v>60000</v>
      </c>
    </row>
    <row r="887" spans="1:16" ht="14.25" customHeight="1" x14ac:dyDescent="0.25">
      <c r="A887" s="18" t="str">
        <f t="shared" ca="1" si="26"/>
        <v>ID_362</v>
      </c>
      <c r="B887" s="17">
        <v>45660</v>
      </c>
      <c r="C887" s="18" t="str">
        <f>TEXT('Working Sheet'!$B887,"mmm")</f>
        <v>Jan</v>
      </c>
      <c r="D887" s="18" t="s">
        <v>11</v>
      </c>
      <c r="E887" s="18" t="s">
        <v>12</v>
      </c>
      <c r="F887" s="18" t="s">
        <v>13</v>
      </c>
      <c r="G887" s="18" t="s">
        <v>14</v>
      </c>
      <c r="H887" s="18" t="s">
        <v>40</v>
      </c>
      <c r="I887" s="18" t="s">
        <v>31</v>
      </c>
      <c r="J887" s="19">
        <v>250000</v>
      </c>
      <c r="K887" s="18">
        <v>4</v>
      </c>
      <c r="L887" s="18" t="s">
        <v>35</v>
      </c>
      <c r="M887" s="20">
        <f t="shared" si="27"/>
        <v>200000</v>
      </c>
      <c r="N887" s="20">
        <f>'Working Sheet'!$J887*'Working Sheet'!$K887</f>
        <v>1000000</v>
      </c>
      <c r="O887" s="21">
        <f>'Working Sheet'!$M887*'Working Sheet'!$K887</f>
        <v>800000</v>
      </c>
      <c r="P887" s="20">
        <f>'Working Sheet'!$N887-'Working Sheet'!$O887</f>
        <v>200000</v>
      </c>
    </row>
    <row r="888" spans="1:16" ht="14.25" customHeight="1" x14ac:dyDescent="0.25">
      <c r="A888" s="23" t="str">
        <f t="shared" ca="1" si="26"/>
        <v>ID_1550</v>
      </c>
      <c r="B888" s="22">
        <v>45751</v>
      </c>
      <c r="C888" s="23" t="str">
        <f>TEXT('Working Sheet'!$B888,"mmm")</f>
        <v>Apr</v>
      </c>
      <c r="D888" s="23" t="s">
        <v>18</v>
      </c>
      <c r="E888" s="23" t="s">
        <v>12</v>
      </c>
      <c r="F888" s="23" t="s">
        <v>13</v>
      </c>
      <c r="G888" s="23" t="s">
        <v>20</v>
      </c>
      <c r="H888" s="23" t="s">
        <v>36</v>
      </c>
      <c r="I888" s="23" t="s">
        <v>31</v>
      </c>
      <c r="J888" s="24">
        <v>150000</v>
      </c>
      <c r="K888" s="23">
        <v>9</v>
      </c>
      <c r="L888" s="23" t="s">
        <v>24</v>
      </c>
      <c r="M888" s="25">
        <f t="shared" si="27"/>
        <v>120000</v>
      </c>
      <c r="N888" s="25">
        <f>'Working Sheet'!$J888*'Working Sheet'!$K888</f>
        <v>1350000</v>
      </c>
      <c r="O888" s="26">
        <f>'Working Sheet'!$M888*'Working Sheet'!$K888</f>
        <v>1080000</v>
      </c>
      <c r="P888" s="25">
        <f>'Working Sheet'!$N888-'Working Sheet'!$O888</f>
        <v>270000</v>
      </c>
    </row>
    <row r="889" spans="1:16" ht="14.25" customHeight="1" x14ac:dyDescent="0.25">
      <c r="A889" s="18" t="str">
        <f t="shared" ca="1" si="26"/>
        <v>ID_1342</v>
      </c>
      <c r="B889" s="17">
        <v>45767</v>
      </c>
      <c r="C889" s="18" t="str">
        <f>TEXT('Working Sheet'!$B889,"mmm")</f>
        <v>Apr</v>
      </c>
      <c r="D889" s="18" t="s">
        <v>29</v>
      </c>
      <c r="E889" s="18" t="s">
        <v>26</v>
      </c>
      <c r="F889" s="18" t="s">
        <v>13</v>
      </c>
      <c r="G889" s="18" t="s">
        <v>20</v>
      </c>
      <c r="H889" s="18" t="s">
        <v>38</v>
      </c>
      <c r="I889" s="18" t="s">
        <v>31</v>
      </c>
      <c r="J889" s="19">
        <v>420000</v>
      </c>
      <c r="K889" s="18">
        <v>7</v>
      </c>
      <c r="L889" s="18" t="s">
        <v>35</v>
      </c>
      <c r="M889" s="20">
        <f t="shared" si="27"/>
        <v>336000</v>
      </c>
      <c r="N889" s="20">
        <f>'Working Sheet'!$J889*'Working Sheet'!$K889</f>
        <v>2940000</v>
      </c>
      <c r="O889" s="21">
        <f>'Working Sheet'!$M889*'Working Sheet'!$K889</f>
        <v>2352000</v>
      </c>
      <c r="P889" s="20">
        <f>'Working Sheet'!$N889-'Working Sheet'!$O889</f>
        <v>588000</v>
      </c>
    </row>
    <row r="890" spans="1:16" ht="14.25" customHeight="1" x14ac:dyDescent="0.25">
      <c r="A890" s="23" t="str">
        <f t="shared" ca="1" si="26"/>
        <v>ID_262</v>
      </c>
      <c r="B890" s="22">
        <v>45769</v>
      </c>
      <c r="C890" s="23" t="str">
        <f>TEXT('Working Sheet'!$B890,"mmm")</f>
        <v>Apr</v>
      </c>
      <c r="D890" s="23" t="s">
        <v>18</v>
      </c>
      <c r="E890" s="23" t="s">
        <v>19</v>
      </c>
      <c r="F890" s="23" t="s">
        <v>13</v>
      </c>
      <c r="G890" s="23" t="s">
        <v>14</v>
      </c>
      <c r="H890" s="23" t="s">
        <v>15</v>
      </c>
      <c r="I890" s="23" t="s">
        <v>16</v>
      </c>
      <c r="J890" s="24">
        <v>85000</v>
      </c>
      <c r="K890" s="23">
        <v>2</v>
      </c>
      <c r="L890" s="23" t="s">
        <v>17</v>
      </c>
      <c r="M890" s="25">
        <f t="shared" si="27"/>
        <v>68000</v>
      </c>
      <c r="N890" s="25">
        <f>'Working Sheet'!$J890*'Working Sheet'!$K890</f>
        <v>170000</v>
      </c>
      <c r="O890" s="26">
        <f>'Working Sheet'!$M890*'Working Sheet'!$K890</f>
        <v>136000</v>
      </c>
      <c r="P890" s="25">
        <f>'Working Sheet'!$N890-'Working Sheet'!$O890</f>
        <v>34000</v>
      </c>
    </row>
    <row r="891" spans="1:16" ht="14.25" customHeight="1" x14ac:dyDescent="0.25">
      <c r="A891" s="18" t="str">
        <f t="shared" ca="1" si="26"/>
        <v>ID_1902</v>
      </c>
      <c r="B891" s="17">
        <v>45738</v>
      </c>
      <c r="C891" s="18" t="str">
        <f>TEXT('Working Sheet'!$B891,"mmm")</f>
        <v>Mar</v>
      </c>
      <c r="D891" s="18" t="s">
        <v>25</v>
      </c>
      <c r="E891" s="18" t="s">
        <v>19</v>
      </c>
      <c r="F891" s="18" t="s">
        <v>23</v>
      </c>
      <c r="G891" s="18" t="s">
        <v>20</v>
      </c>
      <c r="H891" s="18" t="s">
        <v>15</v>
      </c>
      <c r="I891" s="18" t="s">
        <v>16</v>
      </c>
      <c r="J891" s="19">
        <v>85000</v>
      </c>
      <c r="K891" s="18">
        <v>1</v>
      </c>
      <c r="L891" s="18" t="s">
        <v>35</v>
      </c>
      <c r="M891" s="20">
        <f t="shared" si="27"/>
        <v>68000</v>
      </c>
      <c r="N891" s="20">
        <f>'Working Sheet'!$J891*'Working Sheet'!$K891</f>
        <v>85000</v>
      </c>
      <c r="O891" s="21">
        <f>'Working Sheet'!$M891*'Working Sheet'!$K891</f>
        <v>68000</v>
      </c>
      <c r="P891" s="20">
        <f>'Working Sheet'!$N891-'Working Sheet'!$O891</f>
        <v>17000</v>
      </c>
    </row>
    <row r="892" spans="1:16" ht="14.25" customHeight="1" x14ac:dyDescent="0.25">
      <c r="A892" s="23" t="str">
        <f t="shared" ca="1" si="26"/>
        <v>ID_1550</v>
      </c>
      <c r="B892" s="22">
        <v>45713</v>
      </c>
      <c r="C892" s="23" t="str">
        <f>TEXT('Working Sheet'!$B892,"mmm")</f>
        <v>Feb</v>
      </c>
      <c r="D892" s="23" t="s">
        <v>25</v>
      </c>
      <c r="E892" s="23" t="s">
        <v>26</v>
      </c>
      <c r="F892" s="23" t="s">
        <v>13</v>
      </c>
      <c r="G892" s="23" t="s">
        <v>20</v>
      </c>
      <c r="H892" s="23" t="s">
        <v>38</v>
      </c>
      <c r="I892" s="23" t="s">
        <v>31</v>
      </c>
      <c r="J892" s="24">
        <v>420000</v>
      </c>
      <c r="K892" s="23">
        <v>9</v>
      </c>
      <c r="L892" s="23" t="s">
        <v>17</v>
      </c>
      <c r="M892" s="25">
        <f t="shared" si="27"/>
        <v>336000</v>
      </c>
      <c r="N892" s="25">
        <f>'Working Sheet'!$J892*'Working Sheet'!$K892</f>
        <v>3780000</v>
      </c>
      <c r="O892" s="26">
        <f>'Working Sheet'!$M892*'Working Sheet'!$K892</f>
        <v>3024000</v>
      </c>
      <c r="P892" s="25">
        <f>'Working Sheet'!$N892-'Working Sheet'!$O892</f>
        <v>756000</v>
      </c>
    </row>
    <row r="893" spans="1:16" ht="14.25" customHeight="1" x14ac:dyDescent="0.25">
      <c r="A893" s="18" t="str">
        <f t="shared" ca="1" si="26"/>
        <v>ID_1836</v>
      </c>
      <c r="B893" s="17">
        <v>45730</v>
      </c>
      <c r="C893" s="18" t="str">
        <f>TEXT('Working Sheet'!$B893,"mmm")</f>
        <v>Mar</v>
      </c>
      <c r="D893" s="18" t="s">
        <v>29</v>
      </c>
      <c r="E893" s="18" t="s">
        <v>19</v>
      </c>
      <c r="F893" s="18" t="s">
        <v>13</v>
      </c>
      <c r="G893" s="18" t="s">
        <v>20</v>
      </c>
      <c r="H893" s="18" t="s">
        <v>41</v>
      </c>
      <c r="I893" s="18" t="s">
        <v>22</v>
      </c>
      <c r="J893" s="19">
        <v>220000</v>
      </c>
      <c r="K893" s="18">
        <v>2</v>
      </c>
      <c r="L893" s="18" t="s">
        <v>39</v>
      </c>
      <c r="M893" s="20">
        <f t="shared" si="27"/>
        <v>176000</v>
      </c>
      <c r="N893" s="20">
        <f>'Working Sheet'!$J893*'Working Sheet'!$K893</f>
        <v>440000</v>
      </c>
      <c r="O893" s="21">
        <f>'Working Sheet'!$M893*'Working Sheet'!$K893</f>
        <v>352000</v>
      </c>
      <c r="P893" s="20">
        <f>'Working Sheet'!$N893-'Working Sheet'!$O893</f>
        <v>88000</v>
      </c>
    </row>
    <row r="894" spans="1:16" ht="14.25" customHeight="1" x14ac:dyDescent="0.25">
      <c r="A894" s="23" t="str">
        <f t="shared" ca="1" si="26"/>
        <v>ID_582</v>
      </c>
      <c r="B894" s="22">
        <v>45726</v>
      </c>
      <c r="C894" s="23" t="str">
        <f>TEXT('Working Sheet'!$B894,"mmm")</f>
        <v>Mar</v>
      </c>
      <c r="D894" s="23" t="s">
        <v>11</v>
      </c>
      <c r="E894" s="23" t="s">
        <v>26</v>
      </c>
      <c r="F894" s="23" t="s">
        <v>23</v>
      </c>
      <c r="G894" s="23" t="s">
        <v>20</v>
      </c>
      <c r="H894" s="23" t="s">
        <v>41</v>
      </c>
      <c r="I894" s="23" t="s">
        <v>22</v>
      </c>
      <c r="J894" s="24">
        <v>220000</v>
      </c>
      <c r="K894" s="23">
        <v>8</v>
      </c>
      <c r="L894" s="23" t="s">
        <v>37</v>
      </c>
      <c r="M894" s="25">
        <f t="shared" si="27"/>
        <v>176000</v>
      </c>
      <c r="N894" s="25">
        <f>'Working Sheet'!$J894*'Working Sheet'!$K894</f>
        <v>1760000</v>
      </c>
      <c r="O894" s="26">
        <f>'Working Sheet'!$M894*'Working Sheet'!$K894</f>
        <v>1408000</v>
      </c>
      <c r="P894" s="25">
        <f>'Working Sheet'!$N894-'Working Sheet'!$O894</f>
        <v>352000</v>
      </c>
    </row>
    <row r="895" spans="1:16" ht="14.25" customHeight="1" x14ac:dyDescent="0.25">
      <c r="A895" s="18" t="str">
        <f t="shared" ca="1" si="26"/>
        <v>ID_62</v>
      </c>
      <c r="B895" s="17">
        <v>45691</v>
      </c>
      <c r="C895" s="18" t="str">
        <f>TEXT('Working Sheet'!$B895,"mmm")</f>
        <v>Feb</v>
      </c>
      <c r="D895" s="18" t="s">
        <v>29</v>
      </c>
      <c r="E895" s="18" t="s">
        <v>12</v>
      </c>
      <c r="F895" s="18" t="s">
        <v>23</v>
      </c>
      <c r="G895" s="18" t="s">
        <v>14</v>
      </c>
      <c r="H895" s="18" t="s">
        <v>21</v>
      </c>
      <c r="I895" s="18" t="s">
        <v>22</v>
      </c>
      <c r="J895" s="19">
        <v>30000</v>
      </c>
      <c r="K895" s="18">
        <v>9</v>
      </c>
      <c r="L895" s="18" t="s">
        <v>17</v>
      </c>
      <c r="M895" s="20">
        <f t="shared" si="27"/>
        <v>24000</v>
      </c>
      <c r="N895" s="20">
        <f>'Working Sheet'!$J895*'Working Sheet'!$K895</f>
        <v>270000</v>
      </c>
      <c r="O895" s="21">
        <f>'Working Sheet'!$M895*'Working Sheet'!$K895</f>
        <v>216000</v>
      </c>
      <c r="P895" s="20">
        <f>'Working Sheet'!$N895-'Working Sheet'!$O895</f>
        <v>54000</v>
      </c>
    </row>
    <row r="896" spans="1:16" ht="14.25" customHeight="1" x14ac:dyDescent="0.25">
      <c r="A896" s="23" t="str">
        <f t="shared" ca="1" si="26"/>
        <v>ID_2041</v>
      </c>
      <c r="B896" s="22">
        <v>45706</v>
      </c>
      <c r="C896" s="23" t="str">
        <f>TEXT('Working Sheet'!$B896,"mmm")</f>
        <v>Feb</v>
      </c>
      <c r="D896" s="23" t="s">
        <v>29</v>
      </c>
      <c r="E896" s="23" t="s">
        <v>32</v>
      </c>
      <c r="F896" s="23" t="s">
        <v>23</v>
      </c>
      <c r="G896" s="23" t="s">
        <v>14</v>
      </c>
      <c r="H896" s="23" t="s">
        <v>34</v>
      </c>
      <c r="I896" s="23" t="s">
        <v>16</v>
      </c>
      <c r="J896" s="24">
        <v>320000</v>
      </c>
      <c r="K896" s="23">
        <v>3</v>
      </c>
      <c r="L896" s="23" t="s">
        <v>37</v>
      </c>
      <c r="M896" s="25">
        <f t="shared" si="27"/>
        <v>256000</v>
      </c>
      <c r="N896" s="25">
        <f>'Working Sheet'!$J896*'Working Sheet'!$K896</f>
        <v>960000</v>
      </c>
      <c r="O896" s="26">
        <f>'Working Sheet'!$M896*'Working Sheet'!$K896</f>
        <v>768000</v>
      </c>
      <c r="P896" s="25">
        <f>'Working Sheet'!$N896-'Working Sheet'!$O896</f>
        <v>192000</v>
      </c>
    </row>
    <row r="897" spans="1:16" ht="14.25" customHeight="1" x14ac:dyDescent="0.25">
      <c r="A897" s="18" t="str">
        <f t="shared" ca="1" si="26"/>
        <v>ID_1370</v>
      </c>
      <c r="B897" s="17">
        <v>45674</v>
      </c>
      <c r="C897" s="18" t="str">
        <f>TEXT('Working Sheet'!$B897,"mmm")</f>
        <v>Jan</v>
      </c>
      <c r="D897" s="18" t="s">
        <v>29</v>
      </c>
      <c r="E897" s="18" t="s">
        <v>12</v>
      </c>
      <c r="F897" s="18" t="s">
        <v>13</v>
      </c>
      <c r="G897" s="18" t="s">
        <v>14</v>
      </c>
      <c r="H897" s="18" t="s">
        <v>21</v>
      </c>
      <c r="I897" s="18" t="s">
        <v>22</v>
      </c>
      <c r="J897" s="19">
        <v>30000</v>
      </c>
      <c r="K897" s="18">
        <v>6</v>
      </c>
      <c r="L897" s="18" t="s">
        <v>35</v>
      </c>
      <c r="M897" s="20">
        <f t="shared" si="27"/>
        <v>24000</v>
      </c>
      <c r="N897" s="20">
        <f>'Working Sheet'!$J897*'Working Sheet'!$K897</f>
        <v>180000</v>
      </c>
      <c r="O897" s="21">
        <f>'Working Sheet'!$M897*'Working Sheet'!$K897</f>
        <v>144000</v>
      </c>
      <c r="P897" s="20">
        <f>'Working Sheet'!$N897-'Working Sheet'!$O897</f>
        <v>36000</v>
      </c>
    </row>
    <row r="898" spans="1:16" ht="14.25" customHeight="1" x14ac:dyDescent="0.25">
      <c r="A898" s="23" t="str">
        <f t="shared" ref="A898:A961" ca="1" si="28">"ID_"&amp; RANDBETWEEN(1,2098)</f>
        <v>ID_1982</v>
      </c>
      <c r="B898" s="22">
        <v>45700</v>
      </c>
      <c r="C898" s="23" t="str">
        <f>TEXT('Working Sheet'!$B898,"mmm")</f>
        <v>Feb</v>
      </c>
      <c r="D898" s="23" t="s">
        <v>29</v>
      </c>
      <c r="E898" s="23" t="s">
        <v>26</v>
      </c>
      <c r="F898" s="23" t="s">
        <v>23</v>
      </c>
      <c r="G898" s="23" t="s">
        <v>14</v>
      </c>
      <c r="H898" s="23" t="s">
        <v>27</v>
      </c>
      <c r="I898" s="23" t="s">
        <v>22</v>
      </c>
      <c r="J898" s="24">
        <v>60000</v>
      </c>
      <c r="K898" s="23">
        <v>7</v>
      </c>
      <c r="L898" s="23" t="s">
        <v>28</v>
      </c>
      <c r="M898" s="25">
        <f t="shared" ref="M898:M961" si="29">J898-J898*0.2</f>
        <v>48000</v>
      </c>
      <c r="N898" s="25">
        <f>'Working Sheet'!$J898*'Working Sheet'!$K898</f>
        <v>420000</v>
      </c>
      <c r="O898" s="26">
        <f>'Working Sheet'!$M898*'Working Sheet'!$K898</f>
        <v>336000</v>
      </c>
      <c r="P898" s="25">
        <f>'Working Sheet'!$N898-'Working Sheet'!$O898</f>
        <v>84000</v>
      </c>
    </row>
    <row r="899" spans="1:16" ht="14.25" customHeight="1" x14ac:dyDescent="0.25">
      <c r="A899" s="18" t="str">
        <f t="shared" ca="1" si="28"/>
        <v>ID_34</v>
      </c>
      <c r="B899" s="17">
        <v>45683</v>
      </c>
      <c r="C899" s="18" t="str">
        <f>TEXT('Working Sheet'!$B899,"mmm")</f>
        <v>Jan</v>
      </c>
      <c r="D899" s="18" t="s">
        <v>25</v>
      </c>
      <c r="E899" s="18" t="s">
        <v>26</v>
      </c>
      <c r="F899" s="18" t="s">
        <v>13</v>
      </c>
      <c r="G899" s="18" t="s">
        <v>14</v>
      </c>
      <c r="H899" s="18" t="s">
        <v>33</v>
      </c>
      <c r="I899" s="18" t="s">
        <v>22</v>
      </c>
      <c r="J899" s="19">
        <v>180000</v>
      </c>
      <c r="K899" s="18">
        <v>2</v>
      </c>
      <c r="L899" s="18" t="s">
        <v>35</v>
      </c>
      <c r="M899" s="20">
        <f t="shared" si="29"/>
        <v>144000</v>
      </c>
      <c r="N899" s="20">
        <f>'Working Sheet'!$J899*'Working Sheet'!$K899</f>
        <v>360000</v>
      </c>
      <c r="O899" s="21">
        <f>'Working Sheet'!$M899*'Working Sheet'!$K899</f>
        <v>288000</v>
      </c>
      <c r="P899" s="20">
        <f>'Working Sheet'!$N899-'Working Sheet'!$O899</f>
        <v>72000</v>
      </c>
    </row>
    <row r="900" spans="1:16" ht="14.25" customHeight="1" x14ac:dyDescent="0.25">
      <c r="A900" s="23" t="str">
        <f t="shared" ca="1" si="28"/>
        <v>ID_547</v>
      </c>
      <c r="B900" s="22">
        <v>45724</v>
      </c>
      <c r="C900" s="23" t="str">
        <f>TEXT('Working Sheet'!$B900,"mmm")</f>
        <v>Mar</v>
      </c>
      <c r="D900" s="23" t="s">
        <v>18</v>
      </c>
      <c r="E900" s="23" t="s">
        <v>32</v>
      </c>
      <c r="F900" s="23" t="s">
        <v>23</v>
      </c>
      <c r="G900" s="23" t="s">
        <v>20</v>
      </c>
      <c r="H900" s="23" t="s">
        <v>21</v>
      </c>
      <c r="I900" s="23" t="s">
        <v>22</v>
      </c>
      <c r="J900" s="24">
        <v>30000</v>
      </c>
      <c r="K900" s="23">
        <v>5</v>
      </c>
      <c r="L900" s="23" t="s">
        <v>17</v>
      </c>
      <c r="M900" s="25">
        <f t="shared" si="29"/>
        <v>24000</v>
      </c>
      <c r="N900" s="25">
        <f>'Working Sheet'!$J900*'Working Sheet'!$K900</f>
        <v>150000</v>
      </c>
      <c r="O900" s="26">
        <f>'Working Sheet'!$M900*'Working Sheet'!$K900</f>
        <v>120000</v>
      </c>
      <c r="P900" s="25">
        <f>'Working Sheet'!$N900-'Working Sheet'!$O900</f>
        <v>30000</v>
      </c>
    </row>
    <row r="901" spans="1:16" ht="14.25" customHeight="1" x14ac:dyDescent="0.25">
      <c r="A901" s="18" t="str">
        <f t="shared" ca="1" si="28"/>
        <v>ID_34</v>
      </c>
      <c r="B901" s="17">
        <v>45665</v>
      </c>
      <c r="C901" s="18" t="str">
        <f>TEXT('Working Sheet'!$B901,"mmm")</f>
        <v>Jan</v>
      </c>
      <c r="D901" s="18" t="s">
        <v>11</v>
      </c>
      <c r="E901" s="18" t="s">
        <v>19</v>
      </c>
      <c r="F901" s="18" t="s">
        <v>23</v>
      </c>
      <c r="G901" s="18" t="s">
        <v>20</v>
      </c>
      <c r="H901" s="18" t="s">
        <v>36</v>
      </c>
      <c r="I901" s="18" t="s">
        <v>31</v>
      </c>
      <c r="J901" s="19">
        <v>150000</v>
      </c>
      <c r="K901" s="18">
        <v>2</v>
      </c>
      <c r="L901" s="18" t="s">
        <v>37</v>
      </c>
      <c r="M901" s="20">
        <f t="shared" si="29"/>
        <v>120000</v>
      </c>
      <c r="N901" s="20">
        <f>'Working Sheet'!$J901*'Working Sheet'!$K901</f>
        <v>300000</v>
      </c>
      <c r="O901" s="21">
        <f>'Working Sheet'!$M901*'Working Sheet'!$K901</f>
        <v>240000</v>
      </c>
      <c r="P901" s="20">
        <f>'Working Sheet'!$N901-'Working Sheet'!$O901</f>
        <v>60000</v>
      </c>
    </row>
    <row r="902" spans="1:16" ht="14.25" customHeight="1" x14ac:dyDescent="0.25">
      <c r="A902" s="23" t="str">
        <f t="shared" ca="1" si="28"/>
        <v>ID_922</v>
      </c>
      <c r="B902" s="22">
        <v>45775</v>
      </c>
      <c r="C902" s="23" t="str">
        <f>TEXT('Working Sheet'!$B902,"mmm")</f>
        <v>Apr</v>
      </c>
      <c r="D902" s="23" t="s">
        <v>25</v>
      </c>
      <c r="E902" s="23" t="s">
        <v>12</v>
      </c>
      <c r="F902" s="23" t="s">
        <v>13</v>
      </c>
      <c r="G902" s="23" t="s">
        <v>14</v>
      </c>
      <c r="H902" s="23" t="s">
        <v>21</v>
      </c>
      <c r="I902" s="23" t="s">
        <v>22</v>
      </c>
      <c r="J902" s="24">
        <v>30000</v>
      </c>
      <c r="K902" s="23">
        <v>9</v>
      </c>
      <c r="L902" s="23" t="s">
        <v>39</v>
      </c>
      <c r="M902" s="25">
        <f t="shared" si="29"/>
        <v>24000</v>
      </c>
      <c r="N902" s="25">
        <f>'Working Sheet'!$J902*'Working Sheet'!$K902</f>
        <v>270000</v>
      </c>
      <c r="O902" s="26">
        <f>'Working Sheet'!$M902*'Working Sheet'!$K902</f>
        <v>216000</v>
      </c>
      <c r="P902" s="25">
        <f>'Working Sheet'!$N902-'Working Sheet'!$O902</f>
        <v>54000</v>
      </c>
    </row>
    <row r="903" spans="1:16" ht="14.25" customHeight="1" x14ac:dyDescent="0.25">
      <c r="A903" s="18" t="str">
        <f t="shared" ca="1" si="28"/>
        <v>ID_1235</v>
      </c>
      <c r="B903" s="17">
        <v>45701</v>
      </c>
      <c r="C903" s="18" t="str">
        <f>TEXT('Working Sheet'!$B903,"mmm")</f>
        <v>Feb</v>
      </c>
      <c r="D903" s="18" t="s">
        <v>25</v>
      </c>
      <c r="E903" s="18" t="s">
        <v>26</v>
      </c>
      <c r="F903" s="18" t="s">
        <v>23</v>
      </c>
      <c r="G903" s="18" t="s">
        <v>14</v>
      </c>
      <c r="H903" s="18" t="s">
        <v>36</v>
      </c>
      <c r="I903" s="18" t="s">
        <v>31</v>
      </c>
      <c r="J903" s="19">
        <v>150000</v>
      </c>
      <c r="K903" s="18">
        <v>5</v>
      </c>
      <c r="L903" s="18" t="s">
        <v>35</v>
      </c>
      <c r="M903" s="20">
        <f t="shared" si="29"/>
        <v>120000</v>
      </c>
      <c r="N903" s="20">
        <f>'Working Sheet'!$J903*'Working Sheet'!$K903</f>
        <v>750000</v>
      </c>
      <c r="O903" s="21">
        <f>'Working Sheet'!$M903*'Working Sheet'!$K903</f>
        <v>600000</v>
      </c>
      <c r="P903" s="20">
        <f>'Working Sheet'!$N903-'Working Sheet'!$O903</f>
        <v>150000</v>
      </c>
    </row>
    <row r="904" spans="1:16" ht="14.25" customHeight="1" x14ac:dyDescent="0.25">
      <c r="A904" s="23" t="str">
        <f t="shared" ca="1" si="28"/>
        <v>ID_101</v>
      </c>
      <c r="B904" s="22">
        <v>45682</v>
      </c>
      <c r="C904" s="23" t="str">
        <f>TEXT('Working Sheet'!$B904,"mmm")</f>
        <v>Jan</v>
      </c>
      <c r="D904" s="23" t="s">
        <v>25</v>
      </c>
      <c r="E904" s="23" t="s">
        <v>26</v>
      </c>
      <c r="F904" s="23" t="s">
        <v>13</v>
      </c>
      <c r="G904" s="23" t="s">
        <v>20</v>
      </c>
      <c r="H904" s="23" t="s">
        <v>27</v>
      </c>
      <c r="I904" s="23" t="s">
        <v>22</v>
      </c>
      <c r="J904" s="24">
        <v>60000</v>
      </c>
      <c r="K904" s="23">
        <v>8</v>
      </c>
      <c r="L904" s="23" t="s">
        <v>39</v>
      </c>
      <c r="M904" s="25">
        <f t="shared" si="29"/>
        <v>48000</v>
      </c>
      <c r="N904" s="25">
        <f>'Working Sheet'!$J904*'Working Sheet'!$K904</f>
        <v>480000</v>
      </c>
      <c r="O904" s="26">
        <f>'Working Sheet'!$M904*'Working Sheet'!$K904</f>
        <v>384000</v>
      </c>
      <c r="P904" s="25">
        <f>'Working Sheet'!$N904-'Working Sheet'!$O904</f>
        <v>96000</v>
      </c>
    </row>
    <row r="905" spans="1:16" ht="14.25" customHeight="1" x14ac:dyDescent="0.25">
      <c r="A905" s="18" t="str">
        <f t="shared" ca="1" si="28"/>
        <v>ID_1500</v>
      </c>
      <c r="B905" s="17">
        <v>45760</v>
      </c>
      <c r="C905" s="18" t="str">
        <f>TEXT('Working Sheet'!$B905,"mmm")</f>
        <v>Apr</v>
      </c>
      <c r="D905" s="18" t="s">
        <v>18</v>
      </c>
      <c r="E905" s="18" t="s">
        <v>19</v>
      </c>
      <c r="F905" s="18" t="s">
        <v>13</v>
      </c>
      <c r="G905" s="18" t="s">
        <v>14</v>
      </c>
      <c r="H905" s="18" t="s">
        <v>36</v>
      </c>
      <c r="I905" s="18" t="s">
        <v>31</v>
      </c>
      <c r="J905" s="19">
        <v>150000</v>
      </c>
      <c r="K905" s="18">
        <v>8</v>
      </c>
      <c r="L905" s="18" t="s">
        <v>37</v>
      </c>
      <c r="M905" s="20">
        <f t="shared" si="29"/>
        <v>120000</v>
      </c>
      <c r="N905" s="20">
        <f>'Working Sheet'!$J905*'Working Sheet'!$K905</f>
        <v>1200000</v>
      </c>
      <c r="O905" s="21">
        <f>'Working Sheet'!$M905*'Working Sheet'!$K905</f>
        <v>960000</v>
      </c>
      <c r="P905" s="20">
        <f>'Working Sheet'!$N905-'Working Sheet'!$O905</f>
        <v>240000</v>
      </c>
    </row>
    <row r="906" spans="1:16" ht="14.25" customHeight="1" x14ac:dyDescent="0.25">
      <c r="A906" s="23" t="str">
        <f t="shared" ca="1" si="28"/>
        <v>ID_734</v>
      </c>
      <c r="B906" s="22">
        <v>45729</v>
      </c>
      <c r="C906" s="23" t="str">
        <f>TEXT('Working Sheet'!$B906,"mmm")</f>
        <v>Mar</v>
      </c>
      <c r="D906" s="23" t="s">
        <v>18</v>
      </c>
      <c r="E906" s="23" t="s">
        <v>26</v>
      </c>
      <c r="F906" s="23" t="s">
        <v>13</v>
      </c>
      <c r="G906" s="23" t="s">
        <v>20</v>
      </c>
      <c r="H906" s="23" t="s">
        <v>15</v>
      </c>
      <c r="I906" s="23" t="s">
        <v>16</v>
      </c>
      <c r="J906" s="24">
        <v>85000</v>
      </c>
      <c r="K906" s="23">
        <v>3</v>
      </c>
      <c r="L906" s="23" t="s">
        <v>39</v>
      </c>
      <c r="M906" s="25">
        <f t="shared" si="29"/>
        <v>68000</v>
      </c>
      <c r="N906" s="25">
        <f>'Working Sheet'!$J906*'Working Sheet'!$K906</f>
        <v>255000</v>
      </c>
      <c r="O906" s="26">
        <f>'Working Sheet'!$M906*'Working Sheet'!$K906</f>
        <v>204000</v>
      </c>
      <c r="P906" s="25">
        <f>'Working Sheet'!$N906-'Working Sheet'!$O906</f>
        <v>51000</v>
      </c>
    </row>
    <row r="907" spans="1:16" ht="14.25" customHeight="1" x14ac:dyDescent="0.25">
      <c r="A907" s="18" t="str">
        <f t="shared" ca="1" si="28"/>
        <v>ID_1771</v>
      </c>
      <c r="B907" s="17">
        <v>45734</v>
      </c>
      <c r="C907" s="18" t="str">
        <f>TEXT('Working Sheet'!$B907,"mmm")</f>
        <v>Mar</v>
      </c>
      <c r="D907" s="18" t="s">
        <v>25</v>
      </c>
      <c r="E907" s="18" t="s">
        <v>12</v>
      </c>
      <c r="F907" s="18" t="s">
        <v>23</v>
      </c>
      <c r="G907" s="18" t="s">
        <v>14</v>
      </c>
      <c r="H907" s="18" t="s">
        <v>33</v>
      </c>
      <c r="I907" s="18" t="s">
        <v>22</v>
      </c>
      <c r="J907" s="19">
        <v>180000</v>
      </c>
      <c r="K907" s="18">
        <v>4</v>
      </c>
      <c r="L907" s="18" t="s">
        <v>37</v>
      </c>
      <c r="M907" s="20">
        <f t="shared" si="29"/>
        <v>144000</v>
      </c>
      <c r="N907" s="20">
        <f>'Working Sheet'!$J907*'Working Sheet'!$K907</f>
        <v>720000</v>
      </c>
      <c r="O907" s="21">
        <f>'Working Sheet'!$M907*'Working Sheet'!$K907</f>
        <v>576000</v>
      </c>
      <c r="P907" s="20">
        <f>'Working Sheet'!$N907-'Working Sheet'!$O907</f>
        <v>144000</v>
      </c>
    </row>
    <row r="908" spans="1:16" ht="14.25" customHeight="1" x14ac:dyDescent="0.25">
      <c r="A908" s="23" t="str">
        <f t="shared" ca="1" si="28"/>
        <v>ID_801</v>
      </c>
      <c r="B908" s="22">
        <v>45687</v>
      </c>
      <c r="C908" s="23" t="str">
        <f>TEXT('Working Sheet'!$B908,"mmm")</f>
        <v>Jan</v>
      </c>
      <c r="D908" s="23" t="s">
        <v>29</v>
      </c>
      <c r="E908" s="23" t="s">
        <v>12</v>
      </c>
      <c r="F908" s="23" t="s">
        <v>13</v>
      </c>
      <c r="G908" s="23" t="s">
        <v>14</v>
      </c>
      <c r="H908" s="23" t="s">
        <v>38</v>
      </c>
      <c r="I908" s="23" t="s">
        <v>31</v>
      </c>
      <c r="J908" s="24">
        <v>420000</v>
      </c>
      <c r="K908" s="23">
        <v>7</v>
      </c>
      <c r="L908" s="23" t="s">
        <v>24</v>
      </c>
      <c r="M908" s="25">
        <f t="shared" si="29"/>
        <v>336000</v>
      </c>
      <c r="N908" s="25">
        <f>'Working Sheet'!$J908*'Working Sheet'!$K908</f>
        <v>2940000</v>
      </c>
      <c r="O908" s="26">
        <f>'Working Sheet'!$M908*'Working Sheet'!$K908</f>
        <v>2352000</v>
      </c>
      <c r="P908" s="25">
        <f>'Working Sheet'!$N908-'Working Sheet'!$O908</f>
        <v>588000</v>
      </c>
    </row>
    <row r="909" spans="1:16" ht="14.25" customHeight="1" x14ac:dyDescent="0.25">
      <c r="A909" s="18" t="str">
        <f t="shared" ca="1" si="28"/>
        <v>ID_581</v>
      </c>
      <c r="B909" s="17">
        <v>45664</v>
      </c>
      <c r="C909" s="18" t="str">
        <f>TEXT('Working Sheet'!$B909,"mmm")</f>
        <v>Jan</v>
      </c>
      <c r="D909" s="18" t="s">
        <v>18</v>
      </c>
      <c r="E909" s="18" t="s">
        <v>19</v>
      </c>
      <c r="F909" s="18" t="s">
        <v>13</v>
      </c>
      <c r="G909" s="18" t="s">
        <v>20</v>
      </c>
      <c r="H909" s="18" t="s">
        <v>27</v>
      </c>
      <c r="I909" s="18" t="s">
        <v>22</v>
      </c>
      <c r="J909" s="19">
        <v>60000</v>
      </c>
      <c r="K909" s="18">
        <v>8</v>
      </c>
      <c r="L909" s="18" t="s">
        <v>24</v>
      </c>
      <c r="M909" s="20">
        <f t="shared" si="29"/>
        <v>48000</v>
      </c>
      <c r="N909" s="20">
        <f>'Working Sheet'!$J909*'Working Sheet'!$K909</f>
        <v>480000</v>
      </c>
      <c r="O909" s="21">
        <f>'Working Sheet'!$M909*'Working Sheet'!$K909</f>
        <v>384000</v>
      </c>
      <c r="P909" s="20">
        <f>'Working Sheet'!$N909-'Working Sheet'!$O909</f>
        <v>96000</v>
      </c>
    </row>
    <row r="910" spans="1:16" ht="14.25" customHeight="1" x14ac:dyDescent="0.25">
      <c r="A910" s="23" t="str">
        <f t="shared" ca="1" si="28"/>
        <v>ID_214</v>
      </c>
      <c r="B910" s="22">
        <v>45744</v>
      </c>
      <c r="C910" s="23" t="str">
        <f>TEXT('Working Sheet'!$B910,"mmm")</f>
        <v>Mar</v>
      </c>
      <c r="D910" s="23" t="s">
        <v>25</v>
      </c>
      <c r="E910" s="23" t="s">
        <v>26</v>
      </c>
      <c r="F910" s="23" t="s">
        <v>13</v>
      </c>
      <c r="G910" s="23" t="s">
        <v>20</v>
      </c>
      <c r="H910" s="23" t="s">
        <v>30</v>
      </c>
      <c r="I910" s="23" t="s">
        <v>31</v>
      </c>
      <c r="J910" s="24">
        <v>300000</v>
      </c>
      <c r="K910" s="23">
        <v>1</v>
      </c>
      <c r="L910" s="23" t="s">
        <v>35</v>
      </c>
      <c r="M910" s="25">
        <f t="shared" si="29"/>
        <v>240000</v>
      </c>
      <c r="N910" s="25">
        <f>'Working Sheet'!$J910*'Working Sheet'!$K910</f>
        <v>300000</v>
      </c>
      <c r="O910" s="26">
        <f>'Working Sheet'!$M910*'Working Sheet'!$K910</f>
        <v>240000</v>
      </c>
      <c r="P910" s="25">
        <f>'Working Sheet'!$N910-'Working Sheet'!$O910</f>
        <v>60000</v>
      </c>
    </row>
    <row r="911" spans="1:16" ht="14.25" customHeight="1" x14ac:dyDescent="0.25">
      <c r="A911" s="18" t="str">
        <f t="shared" ca="1" si="28"/>
        <v>ID_13</v>
      </c>
      <c r="B911" s="17">
        <v>45759</v>
      </c>
      <c r="C911" s="18" t="str">
        <f>TEXT('Working Sheet'!$B911,"mmm")</f>
        <v>Apr</v>
      </c>
      <c r="D911" s="18" t="s">
        <v>18</v>
      </c>
      <c r="E911" s="18" t="s">
        <v>26</v>
      </c>
      <c r="F911" s="18" t="s">
        <v>13</v>
      </c>
      <c r="G911" s="18" t="s">
        <v>14</v>
      </c>
      <c r="H911" s="18" t="s">
        <v>21</v>
      </c>
      <c r="I911" s="18" t="s">
        <v>22</v>
      </c>
      <c r="J911" s="19">
        <v>30000</v>
      </c>
      <c r="K911" s="18">
        <v>6</v>
      </c>
      <c r="L911" s="18" t="s">
        <v>35</v>
      </c>
      <c r="M911" s="20">
        <f t="shared" si="29"/>
        <v>24000</v>
      </c>
      <c r="N911" s="20">
        <f>'Working Sheet'!$J911*'Working Sheet'!$K911</f>
        <v>180000</v>
      </c>
      <c r="O911" s="21">
        <f>'Working Sheet'!$M911*'Working Sheet'!$K911</f>
        <v>144000</v>
      </c>
      <c r="P911" s="20">
        <f>'Working Sheet'!$N911-'Working Sheet'!$O911</f>
        <v>36000</v>
      </c>
    </row>
    <row r="912" spans="1:16" ht="14.25" customHeight="1" x14ac:dyDescent="0.25">
      <c r="A912" s="23" t="str">
        <f t="shared" ca="1" si="28"/>
        <v>ID_1693</v>
      </c>
      <c r="B912" s="22">
        <v>45669</v>
      </c>
      <c r="C912" s="23" t="str">
        <f>TEXT('Working Sheet'!$B912,"mmm")</f>
        <v>Jan</v>
      </c>
      <c r="D912" s="23" t="s">
        <v>29</v>
      </c>
      <c r="E912" s="23" t="s">
        <v>19</v>
      </c>
      <c r="F912" s="23" t="s">
        <v>23</v>
      </c>
      <c r="G912" s="23" t="s">
        <v>20</v>
      </c>
      <c r="H912" s="23" t="s">
        <v>40</v>
      </c>
      <c r="I912" s="23" t="s">
        <v>31</v>
      </c>
      <c r="J912" s="24">
        <v>250000</v>
      </c>
      <c r="K912" s="23">
        <v>9</v>
      </c>
      <c r="L912" s="23" t="s">
        <v>37</v>
      </c>
      <c r="M912" s="25">
        <f t="shared" si="29"/>
        <v>200000</v>
      </c>
      <c r="N912" s="25">
        <f>'Working Sheet'!$J912*'Working Sheet'!$K912</f>
        <v>2250000</v>
      </c>
      <c r="O912" s="26">
        <f>'Working Sheet'!$M912*'Working Sheet'!$K912</f>
        <v>1800000</v>
      </c>
      <c r="P912" s="25">
        <f>'Working Sheet'!$N912-'Working Sheet'!$O912</f>
        <v>450000</v>
      </c>
    </row>
    <row r="913" spans="1:16" ht="14.25" customHeight="1" x14ac:dyDescent="0.25">
      <c r="A913" s="18" t="str">
        <f t="shared" ca="1" si="28"/>
        <v>ID_1597</v>
      </c>
      <c r="B913" s="17">
        <v>45694</v>
      </c>
      <c r="C913" s="18" t="str">
        <f>TEXT('Working Sheet'!$B913,"mmm")</f>
        <v>Feb</v>
      </c>
      <c r="D913" s="18" t="s">
        <v>18</v>
      </c>
      <c r="E913" s="18" t="s">
        <v>26</v>
      </c>
      <c r="F913" s="18" t="s">
        <v>23</v>
      </c>
      <c r="G913" s="18" t="s">
        <v>20</v>
      </c>
      <c r="H913" s="18" t="s">
        <v>38</v>
      </c>
      <c r="I913" s="18" t="s">
        <v>31</v>
      </c>
      <c r="J913" s="19">
        <v>420000</v>
      </c>
      <c r="K913" s="18">
        <v>9</v>
      </c>
      <c r="L913" s="18" t="s">
        <v>35</v>
      </c>
      <c r="M913" s="20">
        <f t="shared" si="29"/>
        <v>336000</v>
      </c>
      <c r="N913" s="20">
        <f>'Working Sheet'!$J913*'Working Sheet'!$K913</f>
        <v>3780000</v>
      </c>
      <c r="O913" s="21">
        <f>'Working Sheet'!$M913*'Working Sheet'!$K913</f>
        <v>3024000</v>
      </c>
      <c r="P913" s="20">
        <f>'Working Sheet'!$N913-'Working Sheet'!$O913</f>
        <v>756000</v>
      </c>
    </row>
    <row r="914" spans="1:16" ht="14.25" customHeight="1" x14ac:dyDescent="0.25">
      <c r="A914" s="23" t="str">
        <f t="shared" ca="1" si="28"/>
        <v>ID_1492</v>
      </c>
      <c r="B914" s="22">
        <v>45739</v>
      </c>
      <c r="C914" s="23" t="str">
        <f>TEXT('Working Sheet'!$B914,"mmm")</f>
        <v>Mar</v>
      </c>
      <c r="D914" s="23" t="s">
        <v>18</v>
      </c>
      <c r="E914" s="23" t="s">
        <v>26</v>
      </c>
      <c r="F914" s="23" t="s">
        <v>23</v>
      </c>
      <c r="G914" s="23" t="s">
        <v>20</v>
      </c>
      <c r="H914" s="23" t="s">
        <v>36</v>
      </c>
      <c r="I914" s="23" t="s">
        <v>31</v>
      </c>
      <c r="J914" s="24">
        <v>150000</v>
      </c>
      <c r="K914" s="23">
        <v>9</v>
      </c>
      <c r="L914" s="23" t="s">
        <v>35</v>
      </c>
      <c r="M914" s="25">
        <f t="shared" si="29"/>
        <v>120000</v>
      </c>
      <c r="N914" s="25">
        <f>'Working Sheet'!$J914*'Working Sheet'!$K914</f>
        <v>1350000</v>
      </c>
      <c r="O914" s="26">
        <f>'Working Sheet'!$M914*'Working Sheet'!$K914</f>
        <v>1080000</v>
      </c>
      <c r="P914" s="25">
        <f>'Working Sheet'!$N914-'Working Sheet'!$O914</f>
        <v>270000</v>
      </c>
    </row>
    <row r="915" spans="1:16" ht="14.25" customHeight="1" x14ac:dyDescent="0.25">
      <c r="A915" s="18" t="str">
        <f t="shared" ca="1" si="28"/>
        <v>ID_1358</v>
      </c>
      <c r="B915" s="17">
        <v>45703</v>
      </c>
      <c r="C915" s="18" t="str">
        <f>TEXT('Working Sheet'!$B915,"mmm")</f>
        <v>Feb</v>
      </c>
      <c r="D915" s="18" t="s">
        <v>18</v>
      </c>
      <c r="E915" s="18" t="s">
        <v>19</v>
      </c>
      <c r="F915" s="18" t="s">
        <v>23</v>
      </c>
      <c r="G915" s="18" t="s">
        <v>14</v>
      </c>
      <c r="H915" s="18" t="s">
        <v>30</v>
      </c>
      <c r="I915" s="18" t="s">
        <v>31</v>
      </c>
      <c r="J915" s="19">
        <v>300000</v>
      </c>
      <c r="K915" s="18">
        <v>5</v>
      </c>
      <c r="L915" s="18" t="s">
        <v>39</v>
      </c>
      <c r="M915" s="20">
        <f t="shared" si="29"/>
        <v>240000</v>
      </c>
      <c r="N915" s="20">
        <f>'Working Sheet'!$J915*'Working Sheet'!$K915</f>
        <v>1500000</v>
      </c>
      <c r="O915" s="21">
        <f>'Working Sheet'!$M915*'Working Sheet'!$K915</f>
        <v>1200000</v>
      </c>
      <c r="P915" s="20">
        <f>'Working Sheet'!$N915-'Working Sheet'!$O915</f>
        <v>300000</v>
      </c>
    </row>
    <row r="916" spans="1:16" ht="14.25" customHeight="1" x14ac:dyDescent="0.25">
      <c r="A916" s="23" t="str">
        <f t="shared" ca="1" si="28"/>
        <v>ID_1424</v>
      </c>
      <c r="B916" s="22">
        <v>45742</v>
      </c>
      <c r="C916" s="23" t="str">
        <f>TEXT('Working Sheet'!$B916,"mmm")</f>
        <v>Mar</v>
      </c>
      <c r="D916" s="23" t="s">
        <v>29</v>
      </c>
      <c r="E916" s="23" t="s">
        <v>32</v>
      </c>
      <c r="F916" s="23" t="s">
        <v>13</v>
      </c>
      <c r="G916" s="23" t="s">
        <v>14</v>
      </c>
      <c r="H916" s="23" t="s">
        <v>21</v>
      </c>
      <c r="I916" s="23" t="s">
        <v>22</v>
      </c>
      <c r="J916" s="24">
        <v>30000</v>
      </c>
      <c r="K916" s="23">
        <v>4</v>
      </c>
      <c r="L916" s="23" t="s">
        <v>35</v>
      </c>
      <c r="M916" s="25">
        <f t="shared" si="29"/>
        <v>24000</v>
      </c>
      <c r="N916" s="25">
        <f>'Working Sheet'!$J916*'Working Sheet'!$K916</f>
        <v>120000</v>
      </c>
      <c r="O916" s="26">
        <f>'Working Sheet'!$M916*'Working Sheet'!$K916</f>
        <v>96000</v>
      </c>
      <c r="P916" s="25">
        <f>'Working Sheet'!$N916-'Working Sheet'!$O916</f>
        <v>24000</v>
      </c>
    </row>
    <row r="917" spans="1:16" ht="14.25" customHeight="1" x14ac:dyDescent="0.25">
      <c r="A917" s="18" t="str">
        <f t="shared" ca="1" si="28"/>
        <v>ID_1126</v>
      </c>
      <c r="B917" s="17">
        <v>45725</v>
      </c>
      <c r="C917" s="18" t="str">
        <f>TEXT('Working Sheet'!$B917,"mmm")</f>
        <v>Mar</v>
      </c>
      <c r="D917" s="18" t="s">
        <v>11</v>
      </c>
      <c r="E917" s="18" t="s">
        <v>32</v>
      </c>
      <c r="F917" s="18" t="s">
        <v>13</v>
      </c>
      <c r="G917" s="18" t="s">
        <v>20</v>
      </c>
      <c r="H917" s="18" t="s">
        <v>38</v>
      </c>
      <c r="I917" s="18" t="s">
        <v>31</v>
      </c>
      <c r="J917" s="19">
        <v>420000</v>
      </c>
      <c r="K917" s="18">
        <v>7</v>
      </c>
      <c r="L917" s="18" t="s">
        <v>39</v>
      </c>
      <c r="M917" s="20">
        <f t="shared" si="29"/>
        <v>336000</v>
      </c>
      <c r="N917" s="20">
        <f>'Working Sheet'!$J917*'Working Sheet'!$K917</f>
        <v>2940000</v>
      </c>
      <c r="O917" s="21">
        <f>'Working Sheet'!$M917*'Working Sheet'!$K917</f>
        <v>2352000</v>
      </c>
      <c r="P917" s="20">
        <f>'Working Sheet'!$N917-'Working Sheet'!$O917</f>
        <v>588000</v>
      </c>
    </row>
    <row r="918" spans="1:16" ht="14.25" customHeight="1" x14ac:dyDescent="0.25">
      <c r="A918" s="23" t="str">
        <f t="shared" ca="1" si="28"/>
        <v>ID_489</v>
      </c>
      <c r="B918" s="22">
        <v>45703</v>
      </c>
      <c r="C918" s="23" t="str">
        <f>TEXT('Working Sheet'!$B918,"mmm")</f>
        <v>Feb</v>
      </c>
      <c r="D918" s="23" t="s">
        <v>18</v>
      </c>
      <c r="E918" s="23" t="s">
        <v>19</v>
      </c>
      <c r="F918" s="23" t="s">
        <v>23</v>
      </c>
      <c r="G918" s="23" t="s">
        <v>20</v>
      </c>
      <c r="H918" s="23" t="s">
        <v>34</v>
      </c>
      <c r="I918" s="23" t="s">
        <v>16</v>
      </c>
      <c r="J918" s="24">
        <v>320000</v>
      </c>
      <c r="K918" s="23">
        <v>6</v>
      </c>
      <c r="L918" s="23" t="s">
        <v>35</v>
      </c>
      <c r="M918" s="25">
        <f t="shared" si="29"/>
        <v>256000</v>
      </c>
      <c r="N918" s="25">
        <f>'Working Sheet'!$J918*'Working Sheet'!$K918</f>
        <v>1920000</v>
      </c>
      <c r="O918" s="26">
        <f>'Working Sheet'!$M918*'Working Sheet'!$K918</f>
        <v>1536000</v>
      </c>
      <c r="P918" s="25">
        <f>'Working Sheet'!$N918-'Working Sheet'!$O918</f>
        <v>384000</v>
      </c>
    </row>
    <row r="919" spans="1:16" ht="14.25" customHeight="1" x14ac:dyDescent="0.25">
      <c r="A919" s="18" t="str">
        <f t="shared" ca="1" si="28"/>
        <v>ID_1872</v>
      </c>
      <c r="B919" s="17">
        <v>45757</v>
      </c>
      <c r="C919" s="18" t="str">
        <f>TEXT('Working Sheet'!$B919,"mmm")</f>
        <v>Apr</v>
      </c>
      <c r="D919" s="18" t="s">
        <v>25</v>
      </c>
      <c r="E919" s="18" t="s">
        <v>32</v>
      </c>
      <c r="F919" s="18" t="s">
        <v>13</v>
      </c>
      <c r="G919" s="18" t="s">
        <v>14</v>
      </c>
      <c r="H919" s="18" t="s">
        <v>15</v>
      </c>
      <c r="I919" s="18" t="s">
        <v>16</v>
      </c>
      <c r="J919" s="19">
        <v>85000</v>
      </c>
      <c r="K919" s="18">
        <v>2</v>
      </c>
      <c r="L919" s="18" t="s">
        <v>39</v>
      </c>
      <c r="M919" s="20">
        <f t="shared" si="29"/>
        <v>68000</v>
      </c>
      <c r="N919" s="20">
        <f>'Working Sheet'!$J919*'Working Sheet'!$K919</f>
        <v>170000</v>
      </c>
      <c r="O919" s="21">
        <f>'Working Sheet'!$M919*'Working Sheet'!$K919</f>
        <v>136000</v>
      </c>
      <c r="P919" s="20">
        <f>'Working Sheet'!$N919-'Working Sheet'!$O919</f>
        <v>34000</v>
      </c>
    </row>
    <row r="920" spans="1:16" ht="14.25" customHeight="1" x14ac:dyDescent="0.25">
      <c r="A920" s="23" t="str">
        <f t="shared" ca="1" si="28"/>
        <v>ID_964</v>
      </c>
      <c r="B920" s="22">
        <v>45663</v>
      </c>
      <c r="C920" s="23" t="str">
        <f>TEXT('Working Sheet'!$B920,"mmm")</f>
        <v>Jan</v>
      </c>
      <c r="D920" s="23" t="s">
        <v>11</v>
      </c>
      <c r="E920" s="23" t="s">
        <v>19</v>
      </c>
      <c r="F920" s="23" t="s">
        <v>13</v>
      </c>
      <c r="G920" s="23" t="s">
        <v>14</v>
      </c>
      <c r="H920" s="23" t="s">
        <v>36</v>
      </c>
      <c r="I920" s="23" t="s">
        <v>31</v>
      </c>
      <c r="J920" s="24">
        <v>150000</v>
      </c>
      <c r="K920" s="23">
        <v>1</v>
      </c>
      <c r="L920" s="23" t="s">
        <v>39</v>
      </c>
      <c r="M920" s="25">
        <f t="shared" si="29"/>
        <v>120000</v>
      </c>
      <c r="N920" s="25">
        <f>'Working Sheet'!$J920*'Working Sheet'!$K920</f>
        <v>150000</v>
      </c>
      <c r="O920" s="26">
        <f>'Working Sheet'!$M920*'Working Sheet'!$K920</f>
        <v>120000</v>
      </c>
      <c r="P920" s="25">
        <f>'Working Sheet'!$N920-'Working Sheet'!$O920</f>
        <v>30000</v>
      </c>
    </row>
    <row r="921" spans="1:16" ht="14.25" customHeight="1" x14ac:dyDescent="0.25">
      <c r="A921" s="18" t="str">
        <f t="shared" ca="1" si="28"/>
        <v>ID_761</v>
      </c>
      <c r="B921" s="17">
        <v>45699</v>
      </c>
      <c r="C921" s="18" t="str">
        <f>TEXT('Working Sheet'!$B921,"mmm")</f>
        <v>Feb</v>
      </c>
      <c r="D921" s="18" t="s">
        <v>11</v>
      </c>
      <c r="E921" s="18" t="s">
        <v>12</v>
      </c>
      <c r="F921" s="18" t="s">
        <v>23</v>
      </c>
      <c r="G921" s="18" t="s">
        <v>20</v>
      </c>
      <c r="H921" s="18" t="s">
        <v>15</v>
      </c>
      <c r="I921" s="18" t="s">
        <v>16</v>
      </c>
      <c r="J921" s="19">
        <v>85000</v>
      </c>
      <c r="K921" s="18">
        <v>2</v>
      </c>
      <c r="L921" s="18" t="s">
        <v>37</v>
      </c>
      <c r="M921" s="20">
        <f t="shared" si="29"/>
        <v>68000</v>
      </c>
      <c r="N921" s="20">
        <f>'Working Sheet'!$J921*'Working Sheet'!$K921</f>
        <v>170000</v>
      </c>
      <c r="O921" s="21">
        <f>'Working Sheet'!$M921*'Working Sheet'!$K921</f>
        <v>136000</v>
      </c>
      <c r="P921" s="20">
        <f>'Working Sheet'!$N921-'Working Sheet'!$O921</f>
        <v>34000</v>
      </c>
    </row>
    <row r="922" spans="1:16" ht="14.25" customHeight="1" x14ac:dyDescent="0.25">
      <c r="A922" s="23" t="str">
        <f t="shared" ca="1" si="28"/>
        <v>ID_619</v>
      </c>
      <c r="B922" s="22">
        <v>45772</v>
      </c>
      <c r="C922" s="23" t="str">
        <f>TEXT('Working Sheet'!$B922,"mmm")</f>
        <v>Apr</v>
      </c>
      <c r="D922" s="23" t="s">
        <v>11</v>
      </c>
      <c r="E922" s="23" t="s">
        <v>32</v>
      </c>
      <c r="F922" s="23" t="s">
        <v>23</v>
      </c>
      <c r="G922" s="23" t="s">
        <v>14</v>
      </c>
      <c r="H922" s="23" t="s">
        <v>15</v>
      </c>
      <c r="I922" s="23" t="s">
        <v>16</v>
      </c>
      <c r="J922" s="24">
        <v>85000</v>
      </c>
      <c r="K922" s="23">
        <v>1</v>
      </c>
      <c r="L922" s="23" t="s">
        <v>28</v>
      </c>
      <c r="M922" s="25">
        <f t="shared" si="29"/>
        <v>68000</v>
      </c>
      <c r="N922" s="25">
        <f>'Working Sheet'!$J922*'Working Sheet'!$K922</f>
        <v>85000</v>
      </c>
      <c r="O922" s="26">
        <f>'Working Sheet'!$M922*'Working Sheet'!$K922</f>
        <v>68000</v>
      </c>
      <c r="P922" s="25">
        <f>'Working Sheet'!$N922-'Working Sheet'!$O922</f>
        <v>17000</v>
      </c>
    </row>
    <row r="923" spans="1:16" ht="14.25" customHeight="1" x14ac:dyDescent="0.25">
      <c r="A923" s="18" t="str">
        <f t="shared" ca="1" si="28"/>
        <v>ID_1881</v>
      </c>
      <c r="B923" s="17">
        <v>45674</v>
      </c>
      <c r="C923" s="18" t="str">
        <f>TEXT('Working Sheet'!$B923,"mmm")</f>
        <v>Jan</v>
      </c>
      <c r="D923" s="18" t="s">
        <v>29</v>
      </c>
      <c r="E923" s="18" t="s">
        <v>26</v>
      </c>
      <c r="F923" s="18" t="s">
        <v>13</v>
      </c>
      <c r="G923" s="18" t="s">
        <v>14</v>
      </c>
      <c r="H923" s="18" t="s">
        <v>33</v>
      </c>
      <c r="I923" s="18" t="s">
        <v>22</v>
      </c>
      <c r="J923" s="19">
        <v>180000</v>
      </c>
      <c r="K923" s="18">
        <v>4</v>
      </c>
      <c r="L923" s="18" t="s">
        <v>39</v>
      </c>
      <c r="M923" s="20">
        <f t="shared" si="29"/>
        <v>144000</v>
      </c>
      <c r="N923" s="20">
        <f>'Working Sheet'!$J923*'Working Sheet'!$K923</f>
        <v>720000</v>
      </c>
      <c r="O923" s="21">
        <f>'Working Sheet'!$M923*'Working Sheet'!$K923</f>
        <v>576000</v>
      </c>
      <c r="P923" s="20">
        <f>'Working Sheet'!$N923-'Working Sheet'!$O923</f>
        <v>144000</v>
      </c>
    </row>
    <row r="924" spans="1:16" ht="14.25" customHeight="1" x14ac:dyDescent="0.25">
      <c r="A924" s="23" t="str">
        <f t="shared" ca="1" si="28"/>
        <v>ID_1627</v>
      </c>
      <c r="B924" s="22">
        <v>45762</v>
      </c>
      <c r="C924" s="23" t="str">
        <f>TEXT('Working Sheet'!$B924,"mmm")</f>
        <v>Apr</v>
      </c>
      <c r="D924" s="23" t="s">
        <v>18</v>
      </c>
      <c r="E924" s="23" t="s">
        <v>12</v>
      </c>
      <c r="F924" s="23" t="s">
        <v>23</v>
      </c>
      <c r="G924" s="23" t="s">
        <v>14</v>
      </c>
      <c r="H924" s="23" t="s">
        <v>38</v>
      </c>
      <c r="I924" s="23" t="s">
        <v>31</v>
      </c>
      <c r="J924" s="24">
        <v>420000</v>
      </c>
      <c r="K924" s="23">
        <v>8</v>
      </c>
      <c r="L924" s="23" t="s">
        <v>24</v>
      </c>
      <c r="M924" s="25">
        <f t="shared" si="29"/>
        <v>336000</v>
      </c>
      <c r="N924" s="25">
        <f>'Working Sheet'!$J924*'Working Sheet'!$K924</f>
        <v>3360000</v>
      </c>
      <c r="O924" s="26">
        <f>'Working Sheet'!$M924*'Working Sheet'!$K924</f>
        <v>2688000</v>
      </c>
      <c r="P924" s="25">
        <f>'Working Sheet'!$N924-'Working Sheet'!$O924</f>
        <v>672000</v>
      </c>
    </row>
    <row r="925" spans="1:16" ht="14.25" customHeight="1" x14ac:dyDescent="0.25">
      <c r="A925" s="18" t="str">
        <f t="shared" ca="1" si="28"/>
        <v>ID_230</v>
      </c>
      <c r="B925" s="17">
        <v>45722</v>
      </c>
      <c r="C925" s="18" t="str">
        <f>TEXT('Working Sheet'!$B925,"mmm")</f>
        <v>Mar</v>
      </c>
      <c r="D925" s="18" t="s">
        <v>11</v>
      </c>
      <c r="E925" s="18" t="s">
        <v>26</v>
      </c>
      <c r="F925" s="18" t="s">
        <v>23</v>
      </c>
      <c r="G925" s="18" t="s">
        <v>20</v>
      </c>
      <c r="H925" s="18" t="s">
        <v>33</v>
      </c>
      <c r="I925" s="18" t="s">
        <v>22</v>
      </c>
      <c r="J925" s="19">
        <v>180000</v>
      </c>
      <c r="K925" s="18">
        <v>9</v>
      </c>
      <c r="L925" s="18" t="s">
        <v>24</v>
      </c>
      <c r="M925" s="20">
        <f t="shared" si="29"/>
        <v>144000</v>
      </c>
      <c r="N925" s="20">
        <f>'Working Sheet'!$J925*'Working Sheet'!$K925</f>
        <v>1620000</v>
      </c>
      <c r="O925" s="21">
        <f>'Working Sheet'!$M925*'Working Sheet'!$K925</f>
        <v>1296000</v>
      </c>
      <c r="P925" s="20">
        <f>'Working Sheet'!$N925-'Working Sheet'!$O925</f>
        <v>324000</v>
      </c>
    </row>
    <row r="926" spans="1:16" ht="14.25" customHeight="1" x14ac:dyDescent="0.25">
      <c r="A926" s="23" t="str">
        <f t="shared" ca="1" si="28"/>
        <v>ID_2091</v>
      </c>
      <c r="B926" s="22">
        <v>45668</v>
      </c>
      <c r="C926" s="23" t="str">
        <f>TEXT('Working Sheet'!$B926,"mmm")</f>
        <v>Jan</v>
      </c>
      <c r="D926" s="23" t="s">
        <v>29</v>
      </c>
      <c r="E926" s="23" t="s">
        <v>19</v>
      </c>
      <c r="F926" s="23" t="s">
        <v>23</v>
      </c>
      <c r="G926" s="23" t="s">
        <v>20</v>
      </c>
      <c r="H926" s="23" t="s">
        <v>30</v>
      </c>
      <c r="I926" s="23" t="s">
        <v>31</v>
      </c>
      <c r="J926" s="24">
        <v>300000</v>
      </c>
      <c r="K926" s="23">
        <v>5</v>
      </c>
      <c r="L926" s="23" t="s">
        <v>39</v>
      </c>
      <c r="M926" s="25">
        <f t="shared" si="29"/>
        <v>240000</v>
      </c>
      <c r="N926" s="25">
        <f>'Working Sheet'!$J926*'Working Sheet'!$K926</f>
        <v>1500000</v>
      </c>
      <c r="O926" s="26">
        <f>'Working Sheet'!$M926*'Working Sheet'!$K926</f>
        <v>1200000</v>
      </c>
      <c r="P926" s="25">
        <f>'Working Sheet'!$N926-'Working Sheet'!$O926</f>
        <v>300000</v>
      </c>
    </row>
    <row r="927" spans="1:16" ht="14.25" customHeight="1" x14ac:dyDescent="0.25">
      <c r="A927" s="18" t="str">
        <f t="shared" ca="1" si="28"/>
        <v>ID_762</v>
      </c>
      <c r="B927" s="17">
        <v>45662</v>
      </c>
      <c r="C927" s="18" t="str">
        <f>TEXT('Working Sheet'!$B927,"mmm")</f>
        <v>Jan</v>
      </c>
      <c r="D927" s="18" t="s">
        <v>11</v>
      </c>
      <c r="E927" s="18" t="s">
        <v>26</v>
      </c>
      <c r="F927" s="18" t="s">
        <v>23</v>
      </c>
      <c r="G927" s="18" t="s">
        <v>20</v>
      </c>
      <c r="H927" s="18" t="s">
        <v>27</v>
      </c>
      <c r="I927" s="18" t="s">
        <v>22</v>
      </c>
      <c r="J927" s="19">
        <v>60000</v>
      </c>
      <c r="K927" s="18">
        <v>4</v>
      </c>
      <c r="L927" s="18" t="s">
        <v>37</v>
      </c>
      <c r="M927" s="20">
        <f t="shared" si="29"/>
        <v>48000</v>
      </c>
      <c r="N927" s="20">
        <f>'Working Sheet'!$J927*'Working Sheet'!$K927</f>
        <v>240000</v>
      </c>
      <c r="O927" s="21">
        <f>'Working Sheet'!$M927*'Working Sheet'!$K927</f>
        <v>192000</v>
      </c>
      <c r="P927" s="20">
        <f>'Working Sheet'!$N927-'Working Sheet'!$O927</f>
        <v>48000</v>
      </c>
    </row>
    <row r="928" spans="1:16" ht="14.25" customHeight="1" x14ac:dyDescent="0.25">
      <c r="A928" s="23" t="str">
        <f t="shared" ca="1" si="28"/>
        <v>ID_900</v>
      </c>
      <c r="B928" s="22">
        <v>45667</v>
      </c>
      <c r="C928" s="23" t="str">
        <f>TEXT('Working Sheet'!$B928,"mmm")</f>
        <v>Jan</v>
      </c>
      <c r="D928" s="23" t="s">
        <v>18</v>
      </c>
      <c r="E928" s="23" t="s">
        <v>19</v>
      </c>
      <c r="F928" s="23" t="s">
        <v>23</v>
      </c>
      <c r="G928" s="23" t="s">
        <v>14</v>
      </c>
      <c r="H928" s="23" t="s">
        <v>40</v>
      </c>
      <c r="I928" s="23" t="s">
        <v>31</v>
      </c>
      <c r="J928" s="24">
        <v>250000</v>
      </c>
      <c r="K928" s="23">
        <v>4</v>
      </c>
      <c r="L928" s="23" t="s">
        <v>37</v>
      </c>
      <c r="M928" s="25">
        <f t="shared" si="29"/>
        <v>200000</v>
      </c>
      <c r="N928" s="25">
        <f>'Working Sheet'!$J928*'Working Sheet'!$K928</f>
        <v>1000000</v>
      </c>
      <c r="O928" s="26">
        <f>'Working Sheet'!$M928*'Working Sheet'!$K928</f>
        <v>800000</v>
      </c>
      <c r="P928" s="25">
        <f>'Working Sheet'!$N928-'Working Sheet'!$O928</f>
        <v>200000</v>
      </c>
    </row>
    <row r="929" spans="1:16" ht="14.25" customHeight="1" x14ac:dyDescent="0.25">
      <c r="A929" s="18" t="str">
        <f t="shared" ca="1" si="28"/>
        <v>ID_572</v>
      </c>
      <c r="B929" s="17">
        <v>45730</v>
      </c>
      <c r="C929" s="18" t="str">
        <f>TEXT('Working Sheet'!$B929,"mmm")</f>
        <v>Mar</v>
      </c>
      <c r="D929" s="18" t="s">
        <v>29</v>
      </c>
      <c r="E929" s="18" t="s">
        <v>12</v>
      </c>
      <c r="F929" s="18" t="s">
        <v>13</v>
      </c>
      <c r="G929" s="18" t="s">
        <v>20</v>
      </c>
      <c r="H929" s="18" t="s">
        <v>41</v>
      </c>
      <c r="I929" s="18" t="s">
        <v>22</v>
      </c>
      <c r="J929" s="19">
        <v>220000</v>
      </c>
      <c r="K929" s="18">
        <v>6</v>
      </c>
      <c r="L929" s="18" t="s">
        <v>39</v>
      </c>
      <c r="M929" s="20">
        <f t="shared" si="29"/>
        <v>176000</v>
      </c>
      <c r="N929" s="20">
        <f>'Working Sheet'!$J929*'Working Sheet'!$K929</f>
        <v>1320000</v>
      </c>
      <c r="O929" s="21">
        <f>'Working Sheet'!$M929*'Working Sheet'!$K929</f>
        <v>1056000</v>
      </c>
      <c r="P929" s="20">
        <f>'Working Sheet'!$N929-'Working Sheet'!$O929</f>
        <v>264000</v>
      </c>
    </row>
    <row r="930" spans="1:16" ht="14.25" customHeight="1" x14ac:dyDescent="0.25">
      <c r="A930" s="23" t="str">
        <f t="shared" ca="1" si="28"/>
        <v>ID_750</v>
      </c>
      <c r="B930" s="22">
        <v>45762</v>
      </c>
      <c r="C930" s="23" t="str">
        <f>TEXT('Working Sheet'!$B930,"mmm")</f>
        <v>Apr</v>
      </c>
      <c r="D930" s="23" t="s">
        <v>18</v>
      </c>
      <c r="E930" s="23" t="s">
        <v>19</v>
      </c>
      <c r="F930" s="23" t="s">
        <v>23</v>
      </c>
      <c r="G930" s="23" t="s">
        <v>14</v>
      </c>
      <c r="H930" s="23" t="s">
        <v>30</v>
      </c>
      <c r="I930" s="23" t="s">
        <v>31</v>
      </c>
      <c r="J930" s="24">
        <v>300000</v>
      </c>
      <c r="K930" s="23">
        <v>7</v>
      </c>
      <c r="L930" s="23" t="s">
        <v>28</v>
      </c>
      <c r="M930" s="25">
        <f t="shared" si="29"/>
        <v>240000</v>
      </c>
      <c r="N930" s="25">
        <f>'Working Sheet'!$J930*'Working Sheet'!$K930</f>
        <v>2100000</v>
      </c>
      <c r="O930" s="26">
        <f>'Working Sheet'!$M930*'Working Sheet'!$K930</f>
        <v>1680000</v>
      </c>
      <c r="P930" s="25">
        <f>'Working Sheet'!$N930-'Working Sheet'!$O930</f>
        <v>420000</v>
      </c>
    </row>
    <row r="931" spans="1:16" ht="14.25" customHeight="1" x14ac:dyDescent="0.25">
      <c r="A931" s="18" t="str">
        <f t="shared" ca="1" si="28"/>
        <v>ID_784</v>
      </c>
      <c r="B931" s="17">
        <v>45746</v>
      </c>
      <c r="C931" s="18" t="str">
        <f>TEXT('Working Sheet'!$B931,"mmm")</f>
        <v>Mar</v>
      </c>
      <c r="D931" s="18" t="s">
        <v>25</v>
      </c>
      <c r="E931" s="18" t="s">
        <v>19</v>
      </c>
      <c r="F931" s="18" t="s">
        <v>13</v>
      </c>
      <c r="G931" s="18" t="s">
        <v>14</v>
      </c>
      <c r="H931" s="18" t="s">
        <v>38</v>
      </c>
      <c r="I931" s="18" t="s">
        <v>31</v>
      </c>
      <c r="J931" s="19">
        <v>420000</v>
      </c>
      <c r="K931" s="18">
        <v>10</v>
      </c>
      <c r="L931" s="18" t="s">
        <v>28</v>
      </c>
      <c r="M931" s="20">
        <f t="shared" si="29"/>
        <v>336000</v>
      </c>
      <c r="N931" s="20">
        <f>'Working Sheet'!$J931*'Working Sheet'!$K931</f>
        <v>4200000</v>
      </c>
      <c r="O931" s="21">
        <f>'Working Sheet'!$M931*'Working Sheet'!$K931</f>
        <v>3360000</v>
      </c>
      <c r="P931" s="20">
        <f>'Working Sheet'!$N931-'Working Sheet'!$O931</f>
        <v>840000</v>
      </c>
    </row>
    <row r="932" spans="1:16" ht="14.25" customHeight="1" x14ac:dyDescent="0.25">
      <c r="A932" s="23" t="str">
        <f t="shared" ca="1" si="28"/>
        <v>ID_689</v>
      </c>
      <c r="B932" s="22">
        <v>45709</v>
      </c>
      <c r="C932" s="23" t="str">
        <f>TEXT('Working Sheet'!$B932,"mmm")</f>
        <v>Feb</v>
      </c>
      <c r="D932" s="23" t="s">
        <v>11</v>
      </c>
      <c r="E932" s="23" t="s">
        <v>19</v>
      </c>
      <c r="F932" s="23" t="s">
        <v>23</v>
      </c>
      <c r="G932" s="23" t="s">
        <v>20</v>
      </c>
      <c r="H932" s="23" t="s">
        <v>21</v>
      </c>
      <c r="I932" s="23" t="s">
        <v>22</v>
      </c>
      <c r="J932" s="24">
        <v>30000</v>
      </c>
      <c r="K932" s="23">
        <v>7</v>
      </c>
      <c r="L932" s="23" t="s">
        <v>28</v>
      </c>
      <c r="M932" s="25">
        <f t="shared" si="29"/>
        <v>24000</v>
      </c>
      <c r="N932" s="25">
        <f>'Working Sheet'!$J932*'Working Sheet'!$K932</f>
        <v>210000</v>
      </c>
      <c r="O932" s="26">
        <f>'Working Sheet'!$M932*'Working Sheet'!$K932</f>
        <v>168000</v>
      </c>
      <c r="P932" s="25">
        <f>'Working Sheet'!$N932-'Working Sheet'!$O932</f>
        <v>42000</v>
      </c>
    </row>
    <row r="933" spans="1:16" ht="14.25" customHeight="1" x14ac:dyDescent="0.25">
      <c r="A933" s="18" t="str">
        <f t="shared" ca="1" si="28"/>
        <v>ID_1833</v>
      </c>
      <c r="B933" s="17">
        <v>45758</v>
      </c>
      <c r="C933" s="18" t="str">
        <f>TEXT('Working Sheet'!$B933,"mmm")</f>
        <v>Apr</v>
      </c>
      <c r="D933" s="18" t="s">
        <v>29</v>
      </c>
      <c r="E933" s="18" t="s">
        <v>19</v>
      </c>
      <c r="F933" s="18" t="s">
        <v>23</v>
      </c>
      <c r="G933" s="18" t="s">
        <v>14</v>
      </c>
      <c r="H933" s="18" t="s">
        <v>41</v>
      </c>
      <c r="I933" s="18" t="s">
        <v>22</v>
      </c>
      <c r="J933" s="19">
        <v>220000</v>
      </c>
      <c r="K933" s="18">
        <v>8</v>
      </c>
      <c r="L933" s="18" t="s">
        <v>37</v>
      </c>
      <c r="M933" s="20">
        <f t="shared" si="29"/>
        <v>176000</v>
      </c>
      <c r="N933" s="20">
        <f>'Working Sheet'!$J933*'Working Sheet'!$K933</f>
        <v>1760000</v>
      </c>
      <c r="O933" s="21">
        <f>'Working Sheet'!$M933*'Working Sheet'!$K933</f>
        <v>1408000</v>
      </c>
      <c r="P933" s="20">
        <f>'Working Sheet'!$N933-'Working Sheet'!$O933</f>
        <v>352000</v>
      </c>
    </row>
    <row r="934" spans="1:16" ht="14.25" customHeight="1" x14ac:dyDescent="0.25">
      <c r="A934" s="23" t="str">
        <f t="shared" ca="1" si="28"/>
        <v>ID_1540</v>
      </c>
      <c r="B934" s="22">
        <v>45677</v>
      </c>
      <c r="C934" s="23" t="str">
        <f>TEXT('Working Sheet'!$B934,"mmm")</f>
        <v>Jan</v>
      </c>
      <c r="D934" s="23" t="s">
        <v>25</v>
      </c>
      <c r="E934" s="23" t="s">
        <v>32</v>
      </c>
      <c r="F934" s="23" t="s">
        <v>13</v>
      </c>
      <c r="G934" s="23" t="s">
        <v>20</v>
      </c>
      <c r="H934" s="23" t="s">
        <v>34</v>
      </c>
      <c r="I934" s="23" t="s">
        <v>16</v>
      </c>
      <c r="J934" s="24">
        <v>320000</v>
      </c>
      <c r="K934" s="23">
        <v>9</v>
      </c>
      <c r="L934" s="23" t="s">
        <v>24</v>
      </c>
      <c r="M934" s="25">
        <f t="shared" si="29"/>
        <v>256000</v>
      </c>
      <c r="N934" s="25">
        <f>'Working Sheet'!$J934*'Working Sheet'!$K934</f>
        <v>2880000</v>
      </c>
      <c r="O934" s="26">
        <f>'Working Sheet'!$M934*'Working Sheet'!$K934</f>
        <v>2304000</v>
      </c>
      <c r="P934" s="25">
        <f>'Working Sheet'!$N934-'Working Sheet'!$O934</f>
        <v>576000</v>
      </c>
    </row>
    <row r="935" spans="1:16" ht="14.25" customHeight="1" x14ac:dyDescent="0.25">
      <c r="A935" s="18" t="str">
        <f t="shared" ca="1" si="28"/>
        <v>ID_885</v>
      </c>
      <c r="B935" s="17">
        <v>45679</v>
      </c>
      <c r="C935" s="18" t="str">
        <f>TEXT('Working Sheet'!$B935,"mmm")</f>
        <v>Jan</v>
      </c>
      <c r="D935" s="18" t="s">
        <v>18</v>
      </c>
      <c r="E935" s="18" t="s">
        <v>26</v>
      </c>
      <c r="F935" s="18" t="s">
        <v>23</v>
      </c>
      <c r="G935" s="18" t="s">
        <v>20</v>
      </c>
      <c r="H935" s="18" t="s">
        <v>33</v>
      </c>
      <c r="I935" s="18" t="s">
        <v>22</v>
      </c>
      <c r="J935" s="19">
        <v>180000</v>
      </c>
      <c r="K935" s="18">
        <v>8</v>
      </c>
      <c r="L935" s="18" t="s">
        <v>28</v>
      </c>
      <c r="M935" s="20">
        <f t="shared" si="29"/>
        <v>144000</v>
      </c>
      <c r="N935" s="20">
        <f>'Working Sheet'!$J935*'Working Sheet'!$K935</f>
        <v>1440000</v>
      </c>
      <c r="O935" s="21">
        <f>'Working Sheet'!$M935*'Working Sheet'!$K935</f>
        <v>1152000</v>
      </c>
      <c r="P935" s="20">
        <f>'Working Sheet'!$N935-'Working Sheet'!$O935</f>
        <v>288000</v>
      </c>
    </row>
    <row r="936" spans="1:16" ht="14.25" customHeight="1" x14ac:dyDescent="0.25">
      <c r="A936" s="23" t="str">
        <f t="shared" ca="1" si="28"/>
        <v>ID_392</v>
      </c>
      <c r="B936" s="22">
        <v>45773</v>
      </c>
      <c r="C936" s="23" t="str">
        <f>TEXT('Working Sheet'!$B936,"mmm")</f>
        <v>Apr</v>
      </c>
      <c r="D936" s="23" t="s">
        <v>29</v>
      </c>
      <c r="E936" s="23" t="s">
        <v>12</v>
      </c>
      <c r="F936" s="23" t="s">
        <v>13</v>
      </c>
      <c r="G936" s="23" t="s">
        <v>14</v>
      </c>
      <c r="H936" s="23" t="s">
        <v>21</v>
      </c>
      <c r="I936" s="23" t="s">
        <v>22</v>
      </c>
      <c r="J936" s="24">
        <v>30000</v>
      </c>
      <c r="K936" s="23">
        <v>5</v>
      </c>
      <c r="L936" s="23" t="s">
        <v>35</v>
      </c>
      <c r="M936" s="25">
        <f t="shared" si="29"/>
        <v>24000</v>
      </c>
      <c r="N936" s="25">
        <f>'Working Sheet'!$J936*'Working Sheet'!$K936</f>
        <v>150000</v>
      </c>
      <c r="O936" s="26">
        <f>'Working Sheet'!$M936*'Working Sheet'!$K936</f>
        <v>120000</v>
      </c>
      <c r="P936" s="25">
        <f>'Working Sheet'!$N936-'Working Sheet'!$O936</f>
        <v>30000</v>
      </c>
    </row>
    <row r="937" spans="1:16" ht="14.25" customHeight="1" x14ac:dyDescent="0.25">
      <c r="A937" s="18" t="str">
        <f t="shared" ca="1" si="28"/>
        <v>ID_1146</v>
      </c>
      <c r="B937" s="17">
        <v>45708</v>
      </c>
      <c r="C937" s="18" t="str">
        <f>TEXT('Working Sheet'!$B937,"mmm")</f>
        <v>Feb</v>
      </c>
      <c r="D937" s="18" t="s">
        <v>25</v>
      </c>
      <c r="E937" s="18" t="s">
        <v>26</v>
      </c>
      <c r="F937" s="18" t="s">
        <v>13</v>
      </c>
      <c r="G937" s="18" t="s">
        <v>20</v>
      </c>
      <c r="H937" s="18" t="s">
        <v>34</v>
      </c>
      <c r="I937" s="18" t="s">
        <v>16</v>
      </c>
      <c r="J937" s="19">
        <v>320000</v>
      </c>
      <c r="K937" s="18">
        <v>8</v>
      </c>
      <c r="L937" s="18" t="s">
        <v>28</v>
      </c>
      <c r="M937" s="20">
        <f t="shared" si="29"/>
        <v>256000</v>
      </c>
      <c r="N937" s="20">
        <f>'Working Sheet'!$J937*'Working Sheet'!$K937</f>
        <v>2560000</v>
      </c>
      <c r="O937" s="21">
        <f>'Working Sheet'!$M937*'Working Sheet'!$K937</f>
        <v>2048000</v>
      </c>
      <c r="P937" s="20">
        <f>'Working Sheet'!$N937-'Working Sheet'!$O937</f>
        <v>512000</v>
      </c>
    </row>
    <row r="938" spans="1:16" ht="14.25" customHeight="1" x14ac:dyDescent="0.25">
      <c r="A938" s="23" t="str">
        <f t="shared" ca="1" si="28"/>
        <v>ID_1727</v>
      </c>
      <c r="B938" s="22">
        <v>45747</v>
      </c>
      <c r="C938" s="23" t="str">
        <f>TEXT('Working Sheet'!$B938,"mmm")</f>
        <v>Mar</v>
      </c>
      <c r="D938" s="23" t="s">
        <v>29</v>
      </c>
      <c r="E938" s="23" t="s">
        <v>19</v>
      </c>
      <c r="F938" s="23" t="s">
        <v>13</v>
      </c>
      <c r="G938" s="23" t="s">
        <v>20</v>
      </c>
      <c r="H938" s="23" t="s">
        <v>34</v>
      </c>
      <c r="I938" s="23" t="s">
        <v>16</v>
      </c>
      <c r="J938" s="24">
        <v>320000</v>
      </c>
      <c r="K938" s="23">
        <v>8</v>
      </c>
      <c r="L938" s="23" t="s">
        <v>24</v>
      </c>
      <c r="M938" s="25">
        <f t="shared" si="29"/>
        <v>256000</v>
      </c>
      <c r="N938" s="25">
        <f>'Working Sheet'!$J938*'Working Sheet'!$K938</f>
        <v>2560000</v>
      </c>
      <c r="O938" s="26">
        <f>'Working Sheet'!$M938*'Working Sheet'!$K938</f>
        <v>2048000</v>
      </c>
      <c r="P938" s="25">
        <f>'Working Sheet'!$N938-'Working Sheet'!$O938</f>
        <v>512000</v>
      </c>
    </row>
    <row r="939" spans="1:16" ht="14.25" customHeight="1" x14ac:dyDescent="0.25">
      <c r="A939" s="18" t="str">
        <f t="shared" ca="1" si="28"/>
        <v>ID_785</v>
      </c>
      <c r="B939" s="17">
        <v>45672</v>
      </c>
      <c r="C939" s="18" t="str">
        <f>TEXT('Working Sheet'!$B939,"mmm")</f>
        <v>Jan</v>
      </c>
      <c r="D939" s="18" t="s">
        <v>18</v>
      </c>
      <c r="E939" s="18" t="s">
        <v>26</v>
      </c>
      <c r="F939" s="18" t="s">
        <v>23</v>
      </c>
      <c r="G939" s="18" t="s">
        <v>20</v>
      </c>
      <c r="H939" s="18" t="s">
        <v>21</v>
      </c>
      <c r="I939" s="18" t="s">
        <v>22</v>
      </c>
      <c r="J939" s="19">
        <v>30000</v>
      </c>
      <c r="K939" s="18">
        <v>4</v>
      </c>
      <c r="L939" s="18" t="s">
        <v>28</v>
      </c>
      <c r="M939" s="20">
        <f t="shared" si="29"/>
        <v>24000</v>
      </c>
      <c r="N939" s="20">
        <f>'Working Sheet'!$J939*'Working Sheet'!$K939</f>
        <v>120000</v>
      </c>
      <c r="O939" s="21">
        <f>'Working Sheet'!$M939*'Working Sheet'!$K939</f>
        <v>96000</v>
      </c>
      <c r="P939" s="20">
        <f>'Working Sheet'!$N939-'Working Sheet'!$O939</f>
        <v>24000</v>
      </c>
    </row>
    <row r="940" spans="1:16" ht="14.25" customHeight="1" x14ac:dyDescent="0.25">
      <c r="A940" s="23" t="str">
        <f t="shared" ca="1" si="28"/>
        <v>ID_236</v>
      </c>
      <c r="B940" s="22">
        <v>45776</v>
      </c>
      <c r="C940" s="23" t="str">
        <f>TEXT('Working Sheet'!$B940,"mmm")</f>
        <v>Apr</v>
      </c>
      <c r="D940" s="23" t="s">
        <v>11</v>
      </c>
      <c r="E940" s="23" t="s">
        <v>32</v>
      </c>
      <c r="F940" s="23" t="s">
        <v>13</v>
      </c>
      <c r="G940" s="23" t="s">
        <v>20</v>
      </c>
      <c r="H940" s="23" t="s">
        <v>33</v>
      </c>
      <c r="I940" s="23" t="s">
        <v>22</v>
      </c>
      <c r="J940" s="24">
        <v>180000</v>
      </c>
      <c r="K940" s="23">
        <v>3</v>
      </c>
      <c r="L940" s="23" t="s">
        <v>35</v>
      </c>
      <c r="M940" s="25">
        <f t="shared" si="29"/>
        <v>144000</v>
      </c>
      <c r="N940" s="25">
        <f>'Working Sheet'!$J940*'Working Sheet'!$K940</f>
        <v>540000</v>
      </c>
      <c r="O940" s="26">
        <f>'Working Sheet'!$M940*'Working Sheet'!$K940</f>
        <v>432000</v>
      </c>
      <c r="P940" s="25">
        <f>'Working Sheet'!$N940-'Working Sheet'!$O940</f>
        <v>108000</v>
      </c>
    </row>
    <row r="941" spans="1:16" ht="14.25" customHeight="1" x14ac:dyDescent="0.25">
      <c r="A941" s="18" t="str">
        <f t="shared" ca="1" si="28"/>
        <v>ID_140</v>
      </c>
      <c r="B941" s="17">
        <v>45778</v>
      </c>
      <c r="C941" s="18" t="str">
        <f>TEXT('Working Sheet'!$B941,"mmm")</f>
        <v>May</v>
      </c>
      <c r="D941" s="18" t="s">
        <v>29</v>
      </c>
      <c r="E941" s="18" t="s">
        <v>26</v>
      </c>
      <c r="F941" s="18" t="s">
        <v>13</v>
      </c>
      <c r="G941" s="18" t="s">
        <v>14</v>
      </c>
      <c r="H941" s="18" t="s">
        <v>33</v>
      </c>
      <c r="I941" s="18" t="s">
        <v>22</v>
      </c>
      <c r="J941" s="19">
        <v>180000</v>
      </c>
      <c r="K941" s="18">
        <v>9</v>
      </c>
      <c r="L941" s="18" t="s">
        <v>35</v>
      </c>
      <c r="M941" s="20">
        <f t="shared" si="29"/>
        <v>144000</v>
      </c>
      <c r="N941" s="20">
        <f>'Working Sheet'!$J941*'Working Sheet'!$K941</f>
        <v>1620000</v>
      </c>
      <c r="O941" s="21">
        <f>'Working Sheet'!$M941*'Working Sheet'!$K941</f>
        <v>1296000</v>
      </c>
      <c r="P941" s="20">
        <f>'Working Sheet'!$N941-'Working Sheet'!$O941</f>
        <v>324000</v>
      </c>
    </row>
    <row r="942" spans="1:16" ht="14.25" customHeight="1" x14ac:dyDescent="0.25">
      <c r="A942" s="23" t="str">
        <f t="shared" ca="1" si="28"/>
        <v>ID_846</v>
      </c>
      <c r="B942" s="22">
        <v>45703</v>
      </c>
      <c r="C942" s="23" t="str">
        <f>TEXT('Working Sheet'!$B942,"mmm")</f>
        <v>Feb</v>
      </c>
      <c r="D942" s="23" t="s">
        <v>29</v>
      </c>
      <c r="E942" s="23" t="s">
        <v>19</v>
      </c>
      <c r="F942" s="23" t="s">
        <v>23</v>
      </c>
      <c r="G942" s="23" t="s">
        <v>20</v>
      </c>
      <c r="H942" s="23" t="s">
        <v>33</v>
      </c>
      <c r="I942" s="23" t="s">
        <v>22</v>
      </c>
      <c r="J942" s="24">
        <v>180000</v>
      </c>
      <c r="K942" s="23">
        <v>1</v>
      </c>
      <c r="L942" s="23" t="s">
        <v>28</v>
      </c>
      <c r="M942" s="25">
        <f t="shared" si="29"/>
        <v>144000</v>
      </c>
      <c r="N942" s="25">
        <f>'Working Sheet'!$J942*'Working Sheet'!$K942</f>
        <v>180000</v>
      </c>
      <c r="O942" s="26">
        <f>'Working Sheet'!$M942*'Working Sheet'!$K942</f>
        <v>144000</v>
      </c>
      <c r="P942" s="25">
        <f>'Working Sheet'!$N942-'Working Sheet'!$O942</f>
        <v>36000</v>
      </c>
    </row>
    <row r="943" spans="1:16" ht="14.25" customHeight="1" x14ac:dyDescent="0.25">
      <c r="A943" s="18" t="str">
        <f t="shared" ca="1" si="28"/>
        <v>ID_564</v>
      </c>
      <c r="B943" s="17">
        <v>45704</v>
      </c>
      <c r="C943" s="18" t="str">
        <f>TEXT('Working Sheet'!$B943,"mmm")</f>
        <v>Feb</v>
      </c>
      <c r="D943" s="18" t="s">
        <v>11</v>
      </c>
      <c r="E943" s="18" t="s">
        <v>32</v>
      </c>
      <c r="F943" s="18" t="s">
        <v>23</v>
      </c>
      <c r="G943" s="18" t="s">
        <v>14</v>
      </c>
      <c r="H943" s="18" t="s">
        <v>41</v>
      </c>
      <c r="I943" s="18" t="s">
        <v>22</v>
      </c>
      <c r="J943" s="19">
        <v>220000</v>
      </c>
      <c r="K943" s="18">
        <v>6</v>
      </c>
      <c r="L943" s="18" t="s">
        <v>24</v>
      </c>
      <c r="M943" s="20">
        <f t="shared" si="29"/>
        <v>176000</v>
      </c>
      <c r="N943" s="20">
        <f>'Working Sheet'!$J943*'Working Sheet'!$K943</f>
        <v>1320000</v>
      </c>
      <c r="O943" s="21">
        <f>'Working Sheet'!$M943*'Working Sheet'!$K943</f>
        <v>1056000</v>
      </c>
      <c r="P943" s="20">
        <f>'Working Sheet'!$N943-'Working Sheet'!$O943</f>
        <v>264000</v>
      </c>
    </row>
    <row r="944" spans="1:16" ht="14.25" customHeight="1" x14ac:dyDescent="0.25">
      <c r="A944" s="23" t="str">
        <f t="shared" ca="1" si="28"/>
        <v>ID_1324</v>
      </c>
      <c r="B944" s="22">
        <v>45749</v>
      </c>
      <c r="C944" s="23" t="str">
        <f>TEXT('Working Sheet'!$B944,"mmm")</f>
        <v>Apr</v>
      </c>
      <c r="D944" s="23" t="s">
        <v>18</v>
      </c>
      <c r="E944" s="23" t="s">
        <v>19</v>
      </c>
      <c r="F944" s="23" t="s">
        <v>13</v>
      </c>
      <c r="G944" s="23" t="s">
        <v>14</v>
      </c>
      <c r="H944" s="23" t="s">
        <v>30</v>
      </c>
      <c r="I944" s="23" t="s">
        <v>31</v>
      </c>
      <c r="J944" s="24">
        <v>300000</v>
      </c>
      <c r="K944" s="23">
        <v>3</v>
      </c>
      <c r="L944" s="23" t="s">
        <v>24</v>
      </c>
      <c r="M944" s="25">
        <f t="shared" si="29"/>
        <v>240000</v>
      </c>
      <c r="N944" s="25">
        <f>'Working Sheet'!$J944*'Working Sheet'!$K944</f>
        <v>900000</v>
      </c>
      <c r="O944" s="26">
        <f>'Working Sheet'!$M944*'Working Sheet'!$K944</f>
        <v>720000</v>
      </c>
      <c r="P944" s="25">
        <f>'Working Sheet'!$N944-'Working Sheet'!$O944</f>
        <v>180000</v>
      </c>
    </row>
    <row r="945" spans="1:16" ht="14.25" customHeight="1" x14ac:dyDescent="0.25">
      <c r="A945" s="18" t="str">
        <f t="shared" ca="1" si="28"/>
        <v>ID_1161</v>
      </c>
      <c r="B945" s="17">
        <v>45705</v>
      </c>
      <c r="C945" s="18" t="str">
        <f>TEXT('Working Sheet'!$B945,"mmm")</f>
        <v>Feb</v>
      </c>
      <c r="D945" s="18" t="s">
        <v>25</v>
      </c>
      <c r="E945" s="18" t="s">
        <v>19</v>
      </c>
      <c r="F945" s="18" t="s">
        <v>23</v>
      </c>
      <c r="G945" s="18" t="s">
        <v>20</v>
      </c>
      <c r="H945" s="18" t="s">
        <v>34</v>
      </c>
      <c r="I945" s="18" t="s">
        <v>16</v>
      </c>
      <c r="J945" s="19">
        <v>320000</v>
      </c>
      <c r="K945" s="18">
        <v>1</v>
      </c>
      <c r="L945" s="18" t="s">
        <v>35</v>
      </c>
      <c r="M945" s="20">
        <f t="shared" si="29"/>
        <v>256000</v>
      </c>
      <c r="N945" s="20">
        <f>'Working Sheet'!$J945*'Working Sheet'!$K945</f>
        <v>320000</v>
      </c>
      <c r="O945" s="21">
        <f>'Working Sheet'!$M945*'Working Sheet'!$K945</f>
        <v>256000</v>
      </c>
      <c r="P945" s="20">
        <f>'Working Sheet'!$N945-'Working Sheet'!$O945</f>
        <v>64000</v>
      </c>
    </row>
    <row r="946" spans="1:16" ht="14.25" customHeight="1" x14ac:dyDescent="0.25">
      <c r="A946" s="23" t="str">
        <f t="shared" ca="1" si="28"/>
        <v>ID_553</v>
      </c>
      <c r="B946" s="22">
        <v>45737</v>
      </c>
      <c r="C946" s="23" t="str">
        <f>TEXT('Working Sheet'!$B946,"mmm")</f>
        <v>Mar</v>
      </c>
      <c r="D946" s="23" t="s">
        <v>25</v>
      </c>
      <c r="E946" s="23" t="s">
        <v>12</v>
      </c>
      <c r="F946" s="23" t="s">
        <v>23</v>
      </c>
      <c r="G946" s="23" t="s">
        <v>20</v>
      </c>
      <c r="H946" s="23" t="s">
        <v>36</v>
      </c>
      <c r="I946" s="23" t="s">
        <v>31</v>
      </c>
      <c r="J946" s="24">
        <v>150000</v>
      </c>
      <c r="K946" s="23">
        <v>6</v>
      </c>
      <c r="L946" s="23" t="s">
        <v>35</v>
      </c>
      <c r="M946" s="25">
        <f t="shared" si="29"/>
        <v>120000</v>
      </c>
      <c r="N946" s="25">
        <f>'Working Sheet'!$J946*'Working Sheet'!$K946</f>
        <v>900000</v>
      </c>
      <c r="O946" s="26">
        <f>'Working Sheet'!$M946*'Working Sheet'!$K946</f>
        <v>720000</v>
      </c>
      <c r="P946" s="25">
        <f>'Working Sheet'!$N946-'Working Sheet'!$O946</f>
        <v>180000</v>
      </c>
    </row>
    <row r="947" spans="1:16" ht="14.25" customHeight="1" x14ac:dyDescent="0.25">
      <c r="A947" s="18" t="str">
        <f t="shared" ca="1" si="28"/>
        <v>ID_814</v>
      </c>
      <c r="B947" s="17">
        <v>45696</v>
      </c>
      <c r="C947" s="18" t="str">
        <f>TEXT('Working Sheet'!$B947,"mmm")</f>
        <v>Feb</v>
      </c>
      <c r="D947" s="18" t="s">
        <v>18</v>
      </c>
      <c r="E947" s="18" t="s">
        <v>19</v>
      </c>
      <c r="F947" s="18" t="s">
        <v>23</v>
      </c>
      <c r="G947" s="18" t="s">
        <v>20</v>
      </c>
      <c r="H947" s="18" t="s">
        <v>41</v>
      </c>
      <c r="I947" s="18" t="s">
        <v>22</v>
      </c>
      <c r="J947" s="19">
        <v>220000</v>
      </c>
      <c r="K947" s="18">
        <v>7</v>
      </c>
      <c r="L947" s="18" t="s">
        <v>24</v>
      </c>
      <c r="M947" s="20">
        <f t="shared" si="29"/>
        <v>176000</v>
      </c>
      <c r="N947" s="20">
        <f>'Working Sheet'!$J947*'Working Sheet'!$K947</f>
        <v>1540000</v>
      </c>
      <c r="O947" s="21">
        <f>'Working Sheet'!$M947*'Working Sheet'!$K947</f>
        <v>1232000</v>
      </c>
      <c r="P947" s="20">
        <f>'Working Sheet'!$N947-'Working Sheet'!$O947</f>
        <v>308000</v>
      </c>
    </row>
    <row r="948" spans="1:16" ht="14.25" customHeight="1" x14ac:dyDescent="0.25">
      <c r="A948" s="23" t="str">
        <f t="shared" ca="1" si="28"/>
        <v>ID_1938</v>
      </c>
      <c r="B948" s="22">
        <v>45692</v>
      </c>
      <c r="C948" s="23" t="str">
        <f>TEXT('Working Sheet'!$B948,"mmm")</f>
        <v>Feb</v>
      </c>
      <c r="D948" s="23" t="s">
        <v>11</v>
      </c>
      <c r="E948" s="23" t="s">
        <v>19</v>
      </c>
      <c r="F948" s="23" t="s">
        <v>13</v>
      </c>
      <c r="G948" s="23" t="s">
        <v>14</v>
      </c>
      <c r="H948" s="23" t="s">
        <v>41</v>
      </c>
      <c r="I948" s="23" t="s">
        <v>22</v>
      </c>
      <c r="J948" s="24">
        <v>220000</v>
      </c>
      <c r="K948" s="23">
        <v>1</v>
      </c>
      <c r="L948" s="23" t="s">
        <v>28</v>
      </c>
      <c r="M948" s="25">
        <f t="shared" si="29"/>
        <v>176000</v>
      </c>
      <c r="N948" s="25">
        <f>'Working Sheet'!$J948*'Working Sheet'!$K948</f>
        <v>220000</v>
      </c>
      <c r="O948" s="26">
        <f>'Working Sheet'!$M948*'Working Sheet'!$K948</f>
        <v>176000</v>
      </c>
      <c r="P948" s="25">
        <f>'Working Sheet'!$N948-'Working Sheet'!$O948</f>
        <v>44000</v>
      </c>
    </row>
    <row r="949" spans="1:16" ht="14.25" customHeight="1" x14ac:dyDescent="0.25">
      <c r="A949" s="18" t="str">
        <f t="shared" ca="1" si="28"/>
        <v>ID_868</v>
      </c>
      <c r="B949" s="17">
        <v>45693</v>
      </c>
      <c r="C949" s="18" t="str">
        <f>TEXT('Working Sheet'!$B949,"mmm")</f>
        <v>Feb</v>
      </c>
      <c r="D949" s="18" t="s">
        <v>18</v>
      </c>
      <c r="E949" s="18" t="s">
        <v>12</v>
      </c>
      <c r="F949" s="18" t="s">
        <v>13</v>
      </c>
      <c r="G949" s="18" t="s">
        <v>14</v>
      </c>
      <c r="H949" s="18" t="s">
        <v>15</v>
      </c>
      <c r="I949" s="18" t="s">
        <v>16</v>
      </c>
      <c r="J949" s="19">
        <v>85000</v>
      </c>
      <c r="K949" s="18">
        <v>4</v>
      </c>
      <c r="L949" s="18" t="s">
        <v>35</v>
      </c>
      <c r="M949" s="20">
        <f t="shared" si="29"/>
        <v>68000</v>
      </c>
      <c r="N949" s="20">
        <f>'Working Sheet'!$J949*'Working Sheet'!$K949</f>
        <v>340000</v>
      </c>
      <c r="O949" s="21">
        <f>'Working Sheet'!$M949*'Working Sheet'!$K949</f>
        <v>272000</v>
      </c>
      <c r="P949" s="20">
        <f>'Working Sheet'!$N949-'Working Sheet'!$O949</f>
        <v>68000</v>
      </c>
    </row>
    <row r="950" spans="1:16" ht="14.25" customHeight="1" x14ac:dyDescent="0.25">
      <c r="A950" s="23" t="str">
        <f t="shared" ca="1" si="28"/>
        <v>ID_923</v>
      </c>
      <c r="B950" s="22">
        <v>45724</v>
      </c>
      <c r="C950" s="23" t="str">
        <f>TEXT('Working Sheet'!$B950,"mmm")</f>
        <v>Mar</v>
      </c>
      <c r="D950" s="23" t="s">
        <v>11</v>
      </c>
      <c r="E950" s="23" t="s">
        <v>32</v>
      </c>
      <c r="F950" s="23" t="s">
        <v>23</v>
      </c>
      <c r="G950" s="23" t="s">
        <v>14</v>
      </c>
      <c r="H950" s="23" t="s">
        <v>40</v>
      </c>
      <c r="I950" s="23" t="s">
        <v>31</v>
      </c>
      <c r="J950" s="24">
        <v>250000</v>
      </c>
      <c r="K950" s="23">
        <v>10</v>
      </c>
      <c r="L950" s="23" t="s">
        <v>35</v>
      </c>
      <c r="M950" s="25">
        <f t="shared" si="29"/>
        <v>200000</v>
      </c>
      <c r="N950" s="25">
        <f>'Working Sheet'!$J950*'Working Sheet'!$K950</f>
        <v>2500000</v>
      </c>
      <c r="O950" s="26">
        <f>'Working Sheet'!$M950*'Working Sheet'!$K950</f>
        <v>2000000</v>
      </c>
      <c r="P950" s="25">
        <f>'Working Sheet'!$N950-'Working Sheet'!$O950</f>
        <v>500000</v>
      </c>
    </row>
    <row r="951" spans="1:16" ht="14.25" customHeight="1" x14ac:dyDescent="0.25">
      <c r="A951" s="18" t="str">
        <f t="shared" ca="1" si="28"/>
        <v>ID_1781</v>
      </c>
      <c r="B951" s="17">
        <v>45713</v>
      </c>
      <c r="C951" s="18" t="str">
        <f>TEXT('Working Sheet'!$B951,"mmm")</f>
        <v>Feb</v>
      </c>
      <c r="D951" s="18" t="s">
        <v>29</v>
      </c>
      <c r="E951" s="18" t="s">
        <v>32</v>
      </c>
      <c r="F951" s="18" t="s">
        <v>13</v>
      </c>
      <c r="G951" s="18" t="s">
        <v>20</v>
      </c>
      <c r="H951" s="18" t="s">
        <v>34</v>
      </c>
      <c r="I951" s="18" t="s">
        <v>16</v>
      </c>
      <c r="J951" s="19">
        <v>320000</v>
      </c>
      <c r="K951" s="18">
        <v>1</v>
      </c>
      <c r="L951" s="18" t="s">
        <v>37</v>
      </c>
      <c r="M951" s="20">
        <f t="shared" si="29"/>
        <v>256000</v>
      </c>
      <c r="N951" s="20">
        <f>'Working Sheet'!$J951*'Working Sheet'!$K951</f>
        <v>320000</v>
      </c>
      <c r="O951" s="21">
        <f>'Working Sheet'!$M951*'Working Sheet'!$K951</f>
        <v>256000</v>
      </c>
      <c r="P951" s="20">
        <f>'Working Sheet'!$N951-'Working Sheet'!$O951</f>
        <v>64000</v>
      </c>
    </row>
    <row r="952" spans="1:16" ht="14.25" customHeight="1" x14ac:dyDescent="0.25">
      <c r="A952" s="23" t="str">
        <f t="shared" ca="1" si="28"/>
        <v>ID_421</v>
      </c>
      <c r="B952" s="22">
        <v>45699</v>
      </c>
      <c r="C952" s="23" t="str">
        <f>TEXT('Working Sheet'!$B952,"mmm")</f>
        <v>Feb</v>
      </c>
      <c r="D952" s="23" t="s">
        <v>11</v>
      </c>
      <c r="E952" s="23" t="s">
        <v>12</v>
      </c>
      <c r="F952" s="23" t="s">
        <v>23</v>
      </c>
      <c r="G952" s="23" t="s">
        <v>20</v>
      </c>
      <c r="H952" s="23" t="s">
        <v>27</v>
      </c>
      <c r="I952" s="23" t="s">
        <v>22</v>
      </c>
      <c r="J952" s="24">
        <v>60000</v>
      </c>
      <c r="K952" s="23">
        <v>8</v>
      </c>
      <c r="L952" s="23" t="s">
        <v>24</v>
      </c>
      <c r="M952" s="25">
        <f t="shared" si="29"/>
        <v>48000</v>
      </c>
      <c r="N952" s="25">
        <f>'Working Sheet'!$J952*'Working Sheet'!$K952</f>
        <v>480000</v>
      </c>
      <c r="O952" s="26">
        <f>'Working Sheet'!$M952*'Working Sheet'!$K952</f>
        <v>384000</v>
      </c>
      <c r="P952" s="25">
        <f>'Working Sheet'!$N952-'Working Sheet'!$O952</f>
        <v>96000</v>
      </c>
    </row>
    <row r="953" spans="1:16" ht="14.25" customHeight="1" x14ac:dyDescent="0.25">
      <c r="A953" s="18" t="str">
        <f t="shared" ca="1" si="28"/>
        <v>ID_1127</v>
      </c>
      <c r="B953" s="17">
        <v>45754</v>
      </c>
      <c r="C953" s="18" t="str">
        <f>TEXT('Working Sheet'!$B953,"mmm")</f>
        <v>Apr</v>
      </c>
      <c r="D953" s="18" t="s">
        <v>29</v>
      </c>
      <c r="E953" s="18" t="s">
        <v>32</v>
      </c>
      <c r="F953" s="18" t="s">
        <v>13</v>
      </c>
      <c r="G953" s="18" t="s">
        <v>20</v>
      </c>
      <c r="H953" s="18" t="s">
        <v>38</v>
      </c>
      <c r="I953" s="18" t="s">
        <v>31</v>
      </c>
      <c r="J953" s="19">
        <v>420000</v>
      </c>
      <c r="K953" s="18">
        <v>2</v>
      </c>
      <c r="L953" s="18" t="s">
        <v>37</v>
      </c>
      <c r="M953" s="20">
        <f t="shared" si="29"/>
        <v>336000</v>
      </c>
      <c r="N953" s="20">
        <f>'Working Sheet'!$J953*'Working Sheet'!$K953</f>
        <v>840000</v>
      </c>
      <c r="O953" s="21">
        <f>'Working Sheet'!$M953*'Working Sheet'!$K953</f>
        <v>672000</v>
      </c>
      <c r="P953" s="20">
        <f>'Working Sheet'!$N953-'Working Sheet'!$O953</f>
        <v>168000</v>
      </c>
    </row>
    <row r="954" spans="1:16" ht="14.25" customHeight="1" x14ac:dyDescent="0.25">
      <c r="A954" s="23" t="str">
        <f t="shared" ca="1" si="28"/>
        <v>ID_626</v>
      </c>
      <c r="B954" s="22">
        <v>45743</v>
      </c>
      <c r="C954" s="23" t="str">
        <f>TEXT('Working Sheet'!$B954,"mmm")</f>
        <v>Mar</v>
      </c>
      <c r="D954" s="23" t="s">
        <v>29</v>
      </c>
      <c r="E954" s="23" t="s">
        <v>26</v>
      </c>
      <c r="F954" s="23" t="s">
        <v>23</v>
      </c>
      <c r="G954" s="23" t="s">
        <v>14</v>
      </c>
      <c r="H954" s="23" t="s">
        <v>40</v>
      </c>
      <c r="I954" s="23" t="s">
        <v>31</v>
      </c>
      <c r="J954" s="24">
        <v>250000</v>
      </c>
      <c r="K954" s="23">
        <v>2</v>
      </c>
      <c r="L954" s="23" t="s">
        <v>17</v>
      </c>
      <c r="M954" s="25">
        <f t="shared" si="29"/>
        <v>200000</v>
      </c>
      <c r="N954" s="25">
        <f>'Working Sheet'!$J954*'Working Sheet'!$K954</f>
        <v>500000</v>
      </c>
      <c r="O954" s="26">
        <f>'Working Sheet'!$M954*'Working Sheet'!$K954</f>
        <v>400000</v>
      </c>
      <c r="P954" s="25">
        <f>'Working Sheet'!$N954-'Working Sheet'!$O954</f>
        <v>100000</v>
      </c>
    </row>
    <row r="955" spans="1:16" ht="14.25" customHeight="1" x14ac:dyDescent="0.25">
      <c r="A955" s="18" t="str">
        <f t="shared" ca="1" si="28"/>
        <v>ID_656</v>
      </c>
      <c r="B955" s="17">
        <v>45746</v>
      </c>
      <c r="C955" s="18" t="str">
        <f>TEXT('Working Sheet'!$B955,"mmm")</f>
        <v>Mar</v>
      </c>
      <c r="D955" s="18" t="s">
        <v>11</v>
      </c>
      <c r="E955" s="18" t="s">
        <v>19</v>
      </c>
      <c r="F955" s="18" t="s">
        <v>13</v>
      </c>
      <c r="G955" s="18" t="s">
        <v>20</v>
      </c>
      <c r="H955" s="18" t="s">
        <v>41</v>
      </c>
      <c r="I955" s="18" t="s">
        <v>22</v>
      </c>
      <c r="J955" s="19">
        <v>220000</v>
      </c>
      <c r="K955" s="18">
        <v>6</v>
      </c>
      <c r="L955" s="18" t="s">
        <v>39</v>
      </c>
      <c r="M955" s="20">
        <f t="shared" si="29"/>
        <v>176000</v>
      </c>
      <c r="N955" s="20">
        <f>'Working Sheet'!$J955*'Working Sheet'!$K955</f>
        <v>1320000</v>
      </c>
      <c r="O955" s="21">
        <f>'Working Sheet'!$M955*'Working Sheet'!$K955</f>
        <v>1056000</v>
      </c>
      <c r="P955" s="20">
        <f>'Working Sheet'!$N955-'Working Sheet'!$O955</f>
        <v>264000</v>
      </c>
    </row>
    <row r="956" spans="1:16" ht="14.25" customHeight="1" x14ac:dyDescent="0.25">
      <c r="A956" s="23" t="str">
        <f t="shared" ca="1" si="28"/>
        <v>ID_361</v>
      </c>
      <c r="B956" s="22">
        <v>45776</v>
      </c>
      <c r="C956" s="23" t="str">
        <f>TEXT('Working Sheet'!$B956,"mmm")</f>
        <v>Apr</v>
      </c>
      <c r="D956" s="23" t="s">
        <v>29</v>
      </c>
      <c r="E956" s="23" t="s">
        <v>19</v>
      </c>
      <c r="F956" s="23" t="s">
        <v>23</v>
      </c>
      <c r="G956" s="23" t="s">
        <v>20</v>
      </c>
      <c r="H956" s="23" t="s">
        <v>27</v>
      </c>
      <c r="I956" s="23" t="s">
        <v>22</v>
      </c>
      <c r="J956" s="24">
        <v>60000</v>
      </c>
      <c r="K956" s="23">
        <v>1</v>
      </c>
      <c r="L956" s="23" t="s">
        <v>35</v>
      </c>
      <c r="M956" s="25">
        <f t="shared" si="29"/>
        <v>48000</v>
      </c>
      <c r="N956" s="25">
        <f>'Working Sheet'!$J956*'Working Sheet'!$K956</f>
        <v>60000</v>
      </c>
      <c r="O956" s="26">
        <f>'Working Sheet'!$M956*'Working Sheet'!$K956</f>
        <v>48000</v>
      </c>
      <c r="P956" s="25">
        <f>'Working Sheet'!$N956-'Working Sheet'!$O956</f>
        <v>12000</v>
      </c>
    </row>
    <row r="957" spans="1:16" ht="14.25" customHeight="1" x14ac:dyDescent="0.25">
      <c r="A957" s="18" t="str">
        <f t="shared" ca="1" si="28"/>
        <v>ID_1988</v>
      </c>
      <c r="B957" s="17">
        <v>45689</v>
      </c>
      <c r="C957" s="18" t="str">
        <f>TEXT('Working Sheet'!$B957,"mmm")</f>
        <v>Feb</v>
      </c>
      <c r="D957" s="18" t="s">
        <v>11</v>
      </c>
      <c r="E957" s="18" t="s">
        <v>12</v>
      </c>
      <c r="F957" s="18" t="s">
        <v>13</v>
      </c>
      <c r="G957" s="18" t="s">
        <v>20</v>
      </c>
      <c r="H957" s="18" t="s">
        <v>15</v>
      </c>
      <c r="I957" s="18" t="s">
        <v>16</v>
      </c>
      <c r="J957" s="19">
        <v>85000</v>
      </c>
      <c r="K957" s="18">
        <v>9</v>
      </c>
      <c r="L957" s="18" t="s">
        <v>39</v>
      </c>
      <c r="M957" s="20">
        <f t="shared" si="29"/>
        <v>68000</v>
      </c>
      <c r="N957" s="20">
        <f>'Working Sheet'!$J957*'Working Sheet'!$K957</f>
        <v>765000</v>
      </c>
      <c r="O957" s="21">
        <f>'Working Sheet'!$M957*'Working Sheet'!$K957</f>
        <v>612000</v>
      </c>
      <c r="P957" s="20">
        <f>'Working Sheet'!$N957-'Working Sheet'!$O957</f>
        <v>153000</v>
      </c>
    </row>
    <row r="958" spans="1:16" ht="14.25" customHeight="1" x14ac:dyDescent="0.25">
      <c r="A958" s="23" t="str">
        <f t="shared" ca="1" si="28"/>
        <v>ID_141</v>
      </c>
      <c r="B958" s="22">
        <v>45682</v>
      </c>
      <c r="C958" s="23" t="str">
        <f>TEXT('Working Sheet'!$B958,"mmm")</f>
        <v>Jan</v>
      </c>
      <c r="D958" s="23" t="s">
        <v>25</v>
      </c>
      <c r="E958" s="23" t="s">
        <v>19</v>
      </c>
      <c r="F958" s="23" t="s">
        <v>13</v>
      </c>
      <c r="G958" s="23" t="s">
        <v>20</v>
      </c>
      <c r="H958" s="23" t="s">
        <v>27</v>
      </c>
      <c r="I958" s="23" t="s">
        <v>22</v>
      </c>
      <c r="J958" s="24">
        <v>60000</v>
      </c>
      <c r="K958" s="23">
        <v>9</v>
      </c>
      <c r="L958" s="23" t="s">
        <v>37</v>
      </c>
      <c r="M958" s="25">
        <f t="shared" si="29"/>
        <v>48000</v>
      </c>
      <c r="N958" s="25">
        <f>'Working Sheet'!$J958*'Working Sheet'!$K958</f>
        <v>540000</v>
      </c>
      <c r="O958" s="26">
        <f>'Working Sheet'!$M958*'Working Sheet'!$K958</f>
        <v>432000</v>
      </c>
      <c r="P958" s="25">
        <f>'Working Sheet'!$N958-'Working Sheet'!$O958</f>
        <v>108000</v>
      </c>
    </row>
    <row r="959" spans="1:16" ht="14.25" customHeight="1" x14ac:dyDescent="0.25">
      <c r="A959" s="18" t="str">
        <f t="shared" ca="1" si="28"/>
        <v>ID_1230</v>
      </c>
      <c r="B959" s="17">
        <v>45760</v>
      </c>
      <c r="C959" s="18" t="str">
        <f>TEXT('Working Sheet'!$B959,"mmm")</f>
        <v>Apr</v>
      </c>
      <c r="D959" s="18" t="s">
        <v>18</v>
      </c>
      <c r="E959" s="18" t="s">
        <v>26</v>
      </c>
      <c r="F959" s="18" t="s">
        <v>23</v>
      </c>
      <c r="G959" s="18" t="s">
        <v>20</v>
      </c>
      <c r="H959" s="18" t="s">
        <v>15</v>
      </c>
      <c r="I959" s="18" t="s">
        <v>16</v>
      </c>
      <c r="J959" s="19">
        <v>85000</v>
      </c>
      <c r="K959" s="18">
        <v>7</v>
      </c>
      <c r="L959" s="18" t="s">
        <v>24</v>
      </c>
      <c r="M959" s="20">
        <f t="shared" si="29"/>
        <v>68000</v>
      </c>
      <c r="N959" s="20">
        <f>'Working Sheet'!$J959*'Working Sheet'!$K959</f>
        <v>595000</v>
      </c>
      <c r="O959" s="21">
        <f>'Working Sheet'!$M959*'Working Sheet'!$K959</f>
        <v>476000</v>
      </c>
      <c r="P959" s="20">
        <f>'Working Sheet'!$N959-'Working Sheet'!$O959</f>
        <v>119000</v>
      </c>
    </row>
    <row r="960" spans="1:16" ht="14.25" customHeight="1" x14ac:dyDescent="0.25">
      <c r="A960" s="23" t="str">
        <f t="shared" ca="1" si="28"/>
        <v>ID_2026</v>
      </c>
      <c r="B960" s="22">
        <v>45696</v>
      </c>
      <c r="C960" s="23" t="str">
        <f>TEXT('Working Sheet'!$B960,"mmm")</f>
        <v>Feb</v>
      </c>
      <c r="D960" s="23" t="s">
        <v>25</v>
      </c>
      <c r="E960" s="23" t="s">
        <v>32</v>
      </c>
      <c r="F960" s="23" t="s">
        <v>13</v>
      </c>
      <c r="G960" s="23" t="s">
        <v>14</v>
      </c>
      <c r="H960" s="23" t="s">
        <v>34</v>
      </c>
      <c r="I960" s="23" t="s">
        <v>16</v>
      </c>
      <c r="J960" s="24">
        <v>320000</v>
      </c>
      <c r="K960" s="23">
        <v>4</v>
      </c>
      <c r="L960" s="23" t="s">
        <v>28</v>
      </c>
      <c r="M960" s="25">
        <f t="shared" si="29"/>
        <v>256000</v>
      </c>
      <c r="N960" s="25">
        <f>'Working Sheet'!$J960*'Working Sheet'!$K960</f>
        <v>1280000</v>
      </c>
      <c r="O960" s="26">
        <f>'Working Sheet'!$M960*'Working Sheet'!$K960</f>
        <v>1024000</v>
      </c>
      <c r="P960" s="25">
        <f>'Working Sheet'!$N960-'Working Sheet'!$O960</f>
        <v>256000</v>
      </c>
    </row>
    <row r="961" spans="1:16" ht="14.25" customHeight="1" x14ac:dyDescent="0.25">
      <c r="A961" s="18" t="str">
        <f t="shared" ca="1" si="28"/>
        <v>ID_1299</v>
      </c>
      <c r="B961" s="17">
        <v>45762</v>
      </c>
      <c r="C961" s="18" t="str">
        <f>TEXT('Working Sheet'!$B961,"mmm")</f>
        <v>Apr</v>
      </c>
      <c r="D961" s="18" t="s">
        <v>25</v>
      </c>
      <c r="E961" s="18" t="s">
        <v>32</v>
      </c>
      <c r="F961" s="18" t="s">
        <v>23</v>
      </c>
      <c r="G961" s="18" t="s">
        <v>14</v>
      </c>
      <c r="H961" s="18" t="s">
        <v>40</v>
      </c>
      <c r="I961" s="18" t="s">
        <v>31</v>
      </c>
      <c r="J961" s="19">
        <v>250000</v>
      </c>
      <c r="K961" s="18">
        <v>4</v>
      </c>
      <c r="L961" s="18" t="s">
        <v>35</v>
      </c>
      <c r="M961" s="20">
        <f t="shared" si="29"/>
        <v>200000</v>
      </c>
      <c r="N961" s="20">
        <f>'Working Sheet'!$J961*'Working Sheet'!$K961</f>
        <v>1000000</v>
      </c>
      <c r="O961" s="21">
        <f>'Working Sheet'!$M961*'Working Sheet'!$K961</f>
        <v>800000</v>
      </c>
      <c r="P961" s="20">
        <f>'Working Sheet'!$N961-'Working Sheet'!$O961</f>
        <v>200000</v>
      </c>
    </row>
    <row r="962" spans="1:16" ht="14.25" customHeight="1" x14ac:dyDescent="0.25">
      <c r="A962" s="23" t="str">
        <f t="shared" ref="A962:A1025" ca="1" si="30">"ID_"&amp; RANDBETWEEN(1,2098)</f>
        <v>ID_2068</v>
      </c>
      <c r="B962" s="22">
        <v>45726</v>
      </c>
      <c r="C962" s="23" t="str">
        <f>TEXT('Working Sheet'!$B962,"mmm")</f>
        <v>Mar</v>
      </c>
      <c r="D962" s="23" t="s">
        <v>18</v>
      </c>
      <c r="E962" s="23" t="s">
        <v>26</v>
      </c>
      <c r="F962" s="23" t="s">
        <v>23</v>
      </c>
      <c r="G962" s="23" t="s">
        <v>14</v>
      </c>
      <c r="H962" s="23" t="s">
        <v>27</v>
      </c>
      <c r="I962" s="23" t="s">
        <v>22</v>
      </c>
      <c r="J962" s="24">
        <v>60000</v>
      </c>
      <c r="K962" s="23">
        <v>8</v>
      </c>
      <c r="L962" s="23" t="s">
        <v>24</v>
      </c>
      <c r="M962" s="25">
        <f t="shared" ref="M962:M1025" si="31">J962-J962*0.2</f>
        <v>48000</v>
      </c>
      <c r="N962" s="25">
        <f>'Working Sheet'!$J962*'Working Sheet'!$K962</f>
        <v>480000</v>
      </c>
      <c r="O962" s="26">
        <f>'Working Sheet'!$M962*'Working Sheet'!$K962</f>
        <v>384000</v>
      </c>
      <c r="P962" s="25">
        <f>'Working Sheet'!$N962-'Working Sheet'!$O962</f>
        <v>96000</v>
      </c>
    </row>
    <row r="963" spans="1:16" ht="14.25" customHeight="1" x14ac:dyDescent="0.25">
      <c r="A963" s="18" t="str">
        <f t="shared" ca="1" si="30"/>
        <v>ID_782</v>
      </c>
      <c r="B963" s="17">
        <v>45777</v>
      </c>
      <c r="C963" s="18" t="str">
        <f>TEXT('Working Sheet'!$B963,"mmm")</f>
        <v>Apr</v>
      </c>
      <c r="D963" s="18" t="s">
        <v>11</v>
      </c>
      <c r="E963" s="18" t="s">
        <v>26</v>
      </c>
      <c r="F963" s="18" t="s">
        <v>23</v>
      </c>
      <c r="G963" s="18" t="s">
        <v>14</v>
      </c>
      <c r="H963" s="18" t="s">
        <v>38</v>
      </c>
      <c r="I963" s="18" t="s">
        <v>31</v>
      </c>
      <c r="J963" s="19">
        <v>420000</v>
      </c>
      <c r="K963" s="18">
        <v>2</v>
      </c>
      <c r="L963" s="18" t="s">
        <v>39</v>
      </c>
      <c r="M963" s="20">
        <f t="shared" si="31"/>
        <v>336000</v>
      </c>
      <c r="N963" s="20">
        <f>'Working Sheet'!$J963*'Working Sheet'!$K963</f>
        <v>840000</v>
      </c>
      <c r="O963" s="21">
        <f>'Working Sheet'!$M963*'Working Sheet'!$K963</f>
        <v>672000</v>
      </c>
      <c r="P963" s="20">
        <f>'Working Sheet'!$N963-'Working Sheet'!$O963</f>
        <v>168000</v>
      </c>
    </row>
    <row r="964" spans="1:16" ht="14.25" customHeight="1" x14ac:dyDescent="0.25">
      <c r="A964" s="23" t="str">
        <f t="shared" ca="1" si="30"/>
        <v>ID_1189</v>
      </c>
      <c r="B964" s="22">
        <v>45661</v>
      </c>
      <c r="C964" s="23" t="str">
        <f>TEXT('Working Sheet'!$B964,"mmm")</f>
        <v>Jan</v>
      </c>
      <c r="D964" s="23" t="s">
        <v>18</v>
      </c>
      <c r="E964" s="23" t="s">
        <v>32</v>
      </c>
      <c r="F964" s="23" t="s">
        <v>23</v>
      </c>
      <c r="G964" s="23" t="s">
        <v>20</v>
      </c>
      <c r="H964" s="23" t="s">
        <v>36</v>
      </c>
      <c r="I964" s="23" t="s">
        <v>31</v>
      </c>
      <c r="J964" s="24">
        <v>150000</v>
      </c>
      <c r="K964" s="23">
        <v>1</v>
      </c>
      <c r="L964" s="23" t="s">
        <v>35</v>
      </c>
      <c r="M964" s="25">
        <f t="shared" si="31"/>
        <v>120000</v>
      </c>
      <c r="N964" s="25">
        <f>'Working Sheet'!$J964*'Working Sheet'!$K964</f>
        <v>150000</v>
      </c>
      <c r="O964" s="26">
        <f>'Working Sheet'!$M964*'Working Sheet'!$K964</f>
        <v>120000</v>
      </c>
      <c r="P964" s="25">
        <f>'Working Sheet'!$N964-'Working Sheet'!$O964</f>
        <v>30000</v>
      </c>
    </row>
    <row r="965" spans="1:16" ht="14.25" customHeight="1" x14ac:dyDescent="0.25">
      <c r="A965" s="18" t="str">
        <f t="shared" ca="1" si="30"/>
        <v>ID_738</v>
      </c>
      <c r="B965" s="17">
        <v>45774</v>
      </c>
      <c r="C965" s="18" t="str">
        <f>TEXT('Working Sheet'!$B965,"mmm")</f>
        <v>Apr</v>
      </c>
      <c r="D965" s="18" t="s">
        <v>25</v>
      </c>
      <c r="E965" s="18" t="s">
        <v>19</v>
      </c>
      <c r="F965" s="18" t="s">
        <v>13</v>
      </c>
      <c r="G965" s="18" t="s">
        <v>14</v>
      </c>
      <c r="H965" s="18" t="s">
        <v>40</v>
      </c>
      <c r="I965" s="18" t="s">
        <v>31</v>
      </c>
      <c r="J965" s="19">
        <v>250000</v>
      </c>
      <c r="K965" s="18">
        <v>8</v>
      </c>
      <c r="L965" s="18" t="s">
        <v>37</v>
      </c>
      <c r="M965" s="20">
        <f t="shared" si="31"/>
        <v>200000</v>
      </c>
      <c r="N965" s="20">
        <f>'Working Sheet'!$J965*'Working Sheet'!$K965</f>
        <v>2000000</v>
      </c>
      <c r="O965" s="21">
        <f>'Working Sheet'!$M965*'Working Sheet'!$K965</f>
        <v>1600000</v>
      </c>
      <c r="P965" s="20">
        <f>'Working Sheet'!$N965-'Working Sheet'!$O965</f>
        <v>400000</v>
      </c>
    </row>
    <row r="966" spans="1:16" ht="14.25" customHeight="1" x14ac:dyDescent="0.25">
      <c r="A966" s="23" t="str">
        <f t="shared" ca="1" si="30"/>
        <v>ID_332</v>
      </c>
      <c r="B966" s="22">
        <v>45771</v>
      </c>
      <c r="C966" s="23" t="str">
        <f>TEXT('Working Sheet'!$B966,"mmm")</f>
        <v>Apr</v>
      </c>
      <c r="D966" s="23" t="s">
        <v>11</v>
      </c>
      <c r="E966" s="23" t="s">
        <v>32</v>
      </c>
      <c r="F966" s="23" t="s">
        <v>13</v>
      </c>
      <c r="G966" s="23" t="s">
        <v>14</v>
      </c>
      <c r="H966" s="23" t="s">
        <v>30</v>
      </c>
      <c r="I966" s="23" t="s">
        <v>31</v>
      </c>
      <c r="J966" s="24">
        <v>300000</v>
      </c>
      <c r="K966" s="23">
        <v>10</v>
      </c>
      <c r="L966" s="23" t="s">
        <v>39</v>
      </c>
      <c r="M966" s="25">
        <f t="shared" si="31"/>
        <v>240000</v>
      </c>
      <c r="N966" s="25">
        <f>'Working Sheet'!$J966*'Working Sheet'!$K966</f>
        <v>3000000</v>
      </c>
      <c r="O966" s="26">
        <f>'Working Sheet'!$M966*'Working Sheet'!$K966</f>
        <v>2400000</v>
      </c>
      <c r="P966" s="25">
        <f>'Working Sheet'!$N966-'Working Sheet'!$O966</f>
        <v>600000</v>
      </c>
    </row>
    <row r="967" spans="1:16" ht="14.25" customHeight="1" x14ac:dyDescent="0.25">
      <c r="A967" s="18" t="str">
        <f t="shared" ca="1" si="30"/>
        <v>ID_793</v>
      </c>
      <c r="B967" s="17">
        <v>45727</v>
      </c>
      <c r="C967" s="18" t="str">
        <f>TEXT('Working Sheet'!$B967,"mmm")</f>
        <v>Mar</v>
      </c>
      <c r="D967" s="18" t="s">
        <v>18</v>
      </c>
      <c r="E967" s="18" t="s">
        <v>19</v>
      </c>
      <c r="F967" s="18" t="s">
        <v>23</v>
      </c>
      <c r="G967" s="18" t="s">
        <v>20</v>
      </c>
      <c r="H967" s="18" t="s">
        <v>27</v>
      </c>
      <c r="I967" s="18" t="s">
        <v>22</v>
      </c>
      <c r="J967" s="19">
        <v>60000</v>
      </c>
      <c r="K967" s="18">
        <v>3</v>
      </c>
      <c r="L967" s="18" t="s">
        <v>24</v>
      </c>
      <c r="M967" s="20">
        <f t="shared" si="31"/>
        <v>48000</v>
      </c>
      <c r="N967" s="20">
        <f>'Working Sheet'!$J967*'Working Sheet'!$K967</f>
        <v>180000</v>
      </c>
      <c r="O967" s="21">
        <f>'Working Sheet'!$M967*'Working Sheet'!$K967</f>
        <v>144000</v>
      </c>
      <c r="P967" s="20">
        <f>'Working Sheet'!$N967-'Working Sheet'!$O967</f>
        <v>36000</v>
      </c>
    </row>
    <row r="968" spans="1:16" ht="14.25" customHeight="1" x14ac:dyDescent="0.25">
      <c r="A968" s="23" t="str">
        <f t="shared" ca="1" si="30"/>
        <v>ID_1062</v>
      </c>
      <c r="B968" s="22">
        <v>45688</v>
      </c>
      <c r="C968" s="23" t="str">
        <f>TEXT('Working Sheet'!$B968,"mmm")</f>
        <v>Jan</v>
      </c>
      <c r="D968" s="23" t="s">
        <v>11</v>
      </c>
      <c r="E968" s="23" t="s">
        <v>32</v>
      </c>
      <c r="F968" s="23" t="s">
        <v>23</v>
      </c>
      <c r="G968" s="23" t="s">
        <v>14</v>
      </c>
      <c r="H968" s="23" t="s">
        <v>15</v>
      </c>
      <c r="I968" s="23" t="s">
        <v>16</v>
      </c>
      <c r="J968" s="24">
        <v>85000</v>
      </c>
      <c r="K968" s="23">
        <v>1</v>
      </c>
      <c r="L968" s="23" t="s">
        <v>24</v>
      </c>
      <c r="M968" s="25">
        <f t="shared" si="31"/>
        <v>68000</v>
      </c>
      <c r="N968" s="25">
        <f>'Working Sheet'!$J968*'Working Sheet'!$K968</f>
        <v>85000</v>
      </c>
      <c r="O968" s="26">
        <f>'Working Sheet'!$M968*'Working Sheet'!$K968</f>
        <v>68000</v>
      </c>
      <c r="P968" s="25">
        <f>'Working Sheet'!$N968-'Working Sheet'!$O968</f>
        <v>17000</v>
      </c>
    </row>
    <row r="969" spans="1:16" ht="14.25" customHeight="1" x14ac:dyDescent="0.25">
      <c r="A969" s="18" t="str">
        <f t="shared" ca="1" si="30"/>
        <v>ID_313</v>
      </c>
      <c r="B969" s="17">
        <v>45704</v>
      </c>
      <c r="C969" s="18" t="str">
        <f>TEXT('Working Sheet'!$B969,"mmm")</f>
        <v>Feb</v>
      </c>
      <c r="D969" s="18" t="s">
        <v>18</v>
      </c>
      <c r="E969" s="18" t="s">
        <v>19</v>
      </c>
      <c r="F969" s="18" t="s">
        <v>23</v>
      </c>
      <c r="G969" s="18" t="s">
        <v>14</v>
      </c>
      <c r="H969" s="18" t="s">
        <v>33</v>
      </c>
      <c r="I969" s="18" t="s">
        <v>22</v>
      </c>
      <c r="J969" s="19">
        <v>180000</v>
      </c>
      <c r="K969" s="18">
        <v>7</v>
      </c>
      <c r="L969" s="18" t="s">
        <v>17</v>
      </c>
      <c r="M969" s="20">
        <f t="shared" si="31"/>
        <v>144000</v>
      </c>
      <c r="N969" s="20">
        <f>'Working Sheet'!$J969*'Working Sheet'!$K969</f>
        <v>1260000</v>
      </c>
      <c r="O969" s="21">
        <f>'Working Sheet'!$M969*'Working Sheet'!$K969</f>
        <v>1008000</v>
      </c>
      <c r="P969" s="20">
        <f>'Working Sheet'!$N969-'Working Sheet'!$O969</f>
        <v>252000</v>
      </c>
    </row>
    <row r="970" spans="1:16" ht="14.25" customHeight="1" x14ac:dyDescent="0.25">
      <c r="A970" s="23" t="str">
        <f t="shared" ca="1" si="30"/>
        <v>ID_1131</v>
      </c>
      <c r="B970" s="22">
        <v>45726</v>
      </c>
      <c r="C970" s="23" t="str">
        <f>TEXT('Working Sheet'!$B970,"mmm")</f>
        <v>Mar</v>
      </c>
      <c r="D970" s="23" t="s">
        <v>18</v>
      </c>
      <c r="E970" s="23" t="s">
        <v>26</v>
      </c>
      <c r="F970" s="23" t="s">
        <v>23</v>
      </c>
      <c r="G970" s="23" t="s">
        <v>14</v>
      </c>
      <c r="H970" s="23" t="s">
        <v>40</v>
      </c>
      <c r="I970" s="23" t="s">
        <v>31</v>
      </c>
      <c r="J970" s="24">
        <v>250000</v>
      </c>
      <c r="K970" s="23">
        <v>6</v>
      </c>
      <c r="L970" s="23" t="s">
        <v>28</v>
      </c>
      <c r="M970" s="25">
        <f t="shared" si="31"/>
        <v>200000</v>
      </c>
      <c r="N970" s="25">
        <f>'Working Sheet'!$J970*'Working Sheet'!$K970</f>
        <v>1500000</v>
      </c>
      <c r="O970" s="26">
        <f>'Working Sheet'!$M970*'Working Sheet'!$K970</f>
        <v>1200000</v>
      </c>
      <c r="P970" s="25">
        <f>'Working Sheet'!$N970-'Working Sheet'!$O970</f>
        <v>300000</v>
      </c>
    </row>
    <row r="971" spans="1:16" ht="14.25" customHeight="1" x14ac:dyDescent="0.25">
      <c r="A971" s="18" t="str">
        <f t="shared" ca="1" si="30"/>
        <v>ID_1626</v>
      </c>
      <c r="B971" s="17">
        <v>45663</v>
      </c>
      <c r="C971" s="18" t="str">
        <f>TEXT('Working Sheet'!$B971,"mmm")</f>
        <v>Jan</v>
      </c>
      <c r="D971" s="18" t="s">
        <v>11</v>
      </c>
      <c r="E971" s="18" t="s">
        <v>12</v>
      </c>
      <c r="F971" s="18" t="s">
        <v>23</v>
      </c>
      <c r="G971" s="18" t="s">
        <v>14</v>
      </c>
      <c r="H971" s="18" t="s">
        <v>38</v>
      </c>
      <c r="I971" s="18" t="s">
        <v>31</v>
      </c>
      <c r="J971" s="19">
        <v>420000</v>
      </c>
      <c r="K971" s="18">
        <v>3</v>
      </c>
      <c r="L971" s="18" t="s">
        <v>17</v>
      </c>
      <c r="M971" s="20">
        <f t="shared" si="31"/>
        <v>336000</v>
      </c>
      <c r="N971" s="20">
        <f>'Working Sheet'!$J971*'Working Sheet'!$K971</f>
        <v>1260000</v>
      </c>
      <c r="O971" s="21">
        <f>'Working Sheet'!$M971*'Working Sheet'!$K971</f>
        <v>1008000</v>
      </c>
      <c r="P971" s="20">
        <f>'Working Sheet'!$N971-'Working Sheet'!$O971</f>
        <v>252000</v>
      </c>
    </row>
    <row r="972" spans="1:16" ht="14.25" customHeight="1" x14ac:dyDescent="0.25">
      <c r="A972" s="23" t="str">
        <f t="shared" ca="1" si="30"/>
        <v>ID_265</v>
      </c>
      <c r="B972" s="22">
        <v>45748</v>
      </c>
      <c r="C972" s="23" t="str">
        <f>TEXT('Working Sheet'!$B972,"mmm")</f>
        <v>Apr</v>
      </c>
      <c r="D972" s="23" t="s">
        <v>11</v>
      </c>
      <c r="E972" s="23" t="s">
        <v>12</v>
      </c>
      <c r="F972" s="23" t="s">
        <v>13</v>
      </c>
      <c r="G972" s="23" t="s">
        <v>14</v>
      </c>
      <c r="H972" s="23" t="s">
        <v>21</v>
      </c>
      <c r="I972" s="23" t="s">
        <v>22</v>
      </c>
      <c r="J972" s="24">
        <v>30000</v>
      </c>
      <c r="K972" s="23">
        <v>1</v>
      </c>
      <c r="L972" s="23" t="s">
        <v>28</v>
      </c>
      <c r="M972" s="25">
        <f t="shared" si="31"/>
        <v>24000</v>
      </c>
      <c r="N972" s="25">
        <f>'Working Sheet'!$J972*'Working Sheet'!$K972</f>
        <v>30000</v>
      </c>
      <c r="O972" s="26">
        <f>'Working Sheet'!$M972*'Working Sheet'!$K972</f>
        <v>24000</v>
      </c>
      <c r="P972" s="25">
        <f>'Working Sheet'!$N972-'Working Sheet'!$O972</f>
        <v>6000</v>
      </c>
    </row>
    <row r="973" spans="1:16" ht="14.25" customHeight="1" x14ac:dyDescent="0.25">
      <c r="A973" s="18" t="str">
        <f t="shared" ca="1" si="30"/>
        <v>ID_660</v>
      </c>
      <c r="B973" s="17">
        <v>45664</v>
      </c>
      <c r="C973" s="18" t="str">
        <f>TEXT('Working Sheet'!$B973,"mmm")</f>
        <v>Jan</v>
      </c>
      <c r="D973" s="18" t="s">
        <v>29</v>
      </c>
      <c r="E973" s="18" t="s">
        <v>12</v>
      </c>
      <c r="F973" s="18" t="s">
        <v>23</v>
      </c>
      <c r="G973" s="18" t="s">
        <v>20</v>
      </c>
      <c r="H973" s="18" t="s">
        <v>40</v>
      </c>
      <c r="I973" s="18" t="s">
        <v>31</v>
      </c>
      <c r="J973" s="19">
        <v>250000</v>
      </c>
      <c r="K973" s="18">
        <v>3</v>
      </c>
      <c r="L973" s="18" t="s">
        <v>17</v>
      </c>
      <c r="M973" s="20">
        <f t="shared" si="31"/>
        <v>200000</v>
      </c>
      <c r="N973" s="20">
        <f>'Working Sheet'!$J973*'Working Sheet'!$K973</f>
        <v>750000</v>
      </c>
      <c r="O973" s="21">
        <f>'Working Sheet'!$M973*'Working Sheet'!$K973</f>
        <v>600000</v>
      </c>
      <c r="P973" s="20">
        <f>'Working Sheet'!$N973-'Working Sheet'!$O973</f>
        <v>150000</v>
      </c>
    </row>
    <row r="974" spans="1:16" ht="14.25" customHeight="1" x14ac:dyDescent="0.25">
      <c r="A974" s="23" t="str">
        <f t="shared" ca="1" si="30"/>
        <v>ID_1833</v>
      </c>
      <c r="B974" s="22">
        <v>45742</v>
      </c>
      <c r="C974" s="23" t="str">
        <f>TEXT('Working Sheet'!$B974,"mmm")</f>
        <v>Mar</v>
      </c>
      <c r="D974" s="23" t="s">
        <v>18</v>
      </c>
      <c r="E974" s="23" t="s">
        <v>26</v>
      </c>
      <c r="F974" s="23" t="s">
        <v>13</v>
      </c>
      <c r="G974" s="23" t="s">
        <v>14</v>
      </c>
      <c r="H974" s="23" t="s">
        <v>34</v>
      </c>
      <c r="I974" s="23" t="s">
        <v>16</v>
      </c>
      <c r="J974" s="24">
        <v>320000</v>
      </c>
      <c r="K974" s="23">
        <v>10</v>
      </c>
      <c r="L974" s="23" t="s">
        <v>17</v>
      </c>
      <c r="M974" s="25">
        <f t="shared" si="31"/>
        <v>256000</v>
      </c>
      <c r="N974" s="25">
        <f>'Working Sheet'!$J974*'Working Sheet'!$K974</f>
        <v>3200000</v>
      </c>
      <c r="O974" s="26">
        <f>'Working Sheet'!$M974*'Working Sheet'!$K974</f>
        <v>2560000</v>
      </c>
      <c r="P974" s="25">
        <f>'Working Sheet'!$N974-'Working Sheet'!$O974</f>
        <v>640000</v>
      </c>
    </row>
    <row r="975" spans="1:16" ht="14.25" customHeight="1" x14ac:dyDescent="0.25">
      <c r="A975" s="18" t="str">
        <f t="shared" ca="1" si="30"/>
        <v>ID_1166</v>
      </c>
      <c r="B975" s="17">
        <v>45754</v>
      </c>
      <c r="C975" s="18" t="str">
        <f>TEXT('Working Sheet'!$B975,"mmm")</f>
        <v>Apr</v>
      </c>
      <c r="D975" s="18" t="s">
        <v>11</v>
      </c>
      <c r="E975" s="18" t="s">
        <v>12</v>
      </c>
      <c r="F975" s="18" t="s">
        <v>13</v>
      </c>
      <c r="G975" s="18" t="s">
        <v>20</v>
      </c>
      <c r="H975" s="18" t="s">
        <v>40</v>
      </c>
      <c r="I975" s="18" t="s">
        <v>31</v>
      </c>
      <c r="J975" s="19">
        <v>250000</v>
      </c>
      <c r="K975" s="18">
        <v>7</v>
      </c>
      <c r="L975" s="18" t="s">
        <v>24</v>
      </c>
      <c r="M975" s="20">
        <f t="shared" si="31"/>
        <v>200000</v>
      </c>
      <c r="N975" s="20">
        <f>'Working Sheet'!$J975*'Working Sheet'!$K975</f>
        <v>1750000</v>
      </c>
      <c r="O975" s="21">
        <f>'Working Sheet'!$M975*'Working Sheet'!$K975</f>
        <v>1400000</v>
      </c>
      <c r="P975" s="20">
        <f>'Working Sheet'!$N975-'Working Sheet'!$O975</f>
        <v>350000</v>
      </c>
    </row>
    <row r="976" spans="1:16" ht="14.25" customHeight="1" x14ac:dyDescent="0.25">
      <c r="A976" s="23" t="str">
        <f t="shared" ca="1" si="30"/>
        <v>ID_174</v>
      </c>
      <c r="B976" s="22">
        <v>45706</v>
      </c>
      <c r="C976" s="23" t="str">
        <f>TEXT('Working Sheet'!$B976,"mmm")</f>
        <v>Feb</v>
      </c>
      <c r="D976" s="23" t="s">
        <v>29</v>
      </c>
      <c r="E976" s="23" t="s">
        <v>19</v>
      </c>
      <c r="F976" s="23" t="s">
        <v>23</v>
      </c>
      <c r="G976" s="23" t="s">
        <v>14</v>
      </c>
      <c r="H976" s="23" t="s">
        <v>34</v>
      </c>
      <c r="I976" s="23" t="s">
        <v>16</v>
      </c>
      <c r="J976" s="24">
        <v>320000</v>
      </c>
      <c r="K976" s="23">
        <v>2</v>
      </c>
      <c r="L976" s="23" t="s">
        <v>28</v>
      </c>
      <c r="M976" s="25">
        <f t="shared" si="31"/>
        <v>256000</v>
      </c>
      <c r="N976" s="25">
        <f>'Working Sheet'!$J976*'Working Sheet'!$K976</f>
        <v>640000</v>
      </c>
      <c r="O976" s="26">
        <f>'Working Sheet'!$M976*'Working Sheet'!$K976</f>
        <v>512000</v>
      </c>
      <c r="P976" s="25">
        <f>'Working Sheet'!$N976-'Working Sheet'!$O976</f>
        <v>128000</v>
      </c>
    </row>
    <row r="977" spans="1:16" ht="14.25" customHeight="1" x14ac:dyDescent="0.25">
      <c r="A977" s="18" t="str">
        <f t="shared" ca="1" si="30"/>
        <v>ID_1433</v>
      </c>
      <c r="B977" s="17">
        <v>45777</v>
      </c>
      <c r="C977" s="18" t="str">
        <f>TEXT('Working Sheet'!$B977,"mmm")</f>
        <v>Apr</v>
      </c>
      <c r="D977" s="18" t="s">
        <v>29</v>
      </c>
      <c r="E977" s="18" t="s">
        <v>12</v>
      </c>
      <c r="F977" s="18" t="s">
        <v>23</v>
      </c>
      <c r="G977" s="18" t="s">
        <v>20</v>
      </c>
      <c r="H977" s="18" t="s">
        <v>41</v>
      </c>
      <c r="I977" s="18" t="s">
        <v>22</v>
      </c>
      <c r="J977" s="19">
        <v>220000</v>
      </c>
      <c r="K977" s="18">
        <v>5</v>
      </c>
      <c r="L977" s="18" t="s">
        <v>35</v>
      </c>
      <c r="M977" s="20">
        <f t="shared" si="31"/>
        <v>176000</v>
      </c>
      <c r="N977" s="20">
        <f>'Working Sheet'!$J977*'Working Sheet'!$K977</f>
        <v>1100000</v>
      </c>
      <c r="O977" s="21">
        <f>'Working Sheet'!$M977*'Working Sheet'!$K977</f>
        <v>880000</v>
      </c>
      <c r="P977" s="20">
        <f>'Working Sheet'!$N977-'Working Sheet'!$O977</f>
        <v>220000</v>
      </c>
    </row>
    <row r="978" spans="1:16" ht="14.25" customHeight="1" x14ac:dyDescent="0.25">
      <c r="A978" s="23" t="str">
        <f t="shared" ca="1" si="30"/>
        <v>ID_448</v>
      </c>
      <c r="B978" s="22">
        <v>45711</v>
      </c>
      <c r="C978" s="23" t="str">
        <f>TEXT('Working Sheet'!$B978,"mmm")</f>
        <v>Feb</v>
      </c>
      <c r="D978" s="23" t="s">
        <v>29</v>
      </c>
      <c r="E978" s="23" t="s">
        <v>32</v>
      </c>
      <c r="F978" s="23" t="s">
        <v>23</v>
      </c>
      <c r="G978" s="23" t="s">
        <v>20</v>
      </c>
      <c r="H978" s="23" t="s">
        <v>38</v>
      </c>
      <c r="I978" s="23" t="s">
        <v>31</v>
      </c>
      <c r="J978" s="24">
        <v>420000</v>
      </c>
      <c r="K978" s="23">
        <v>3</v>
      </c>
      <c r="L978" s="23" t="s">
        <v>35</v>
      </c>
      <c r="M978" s="25">
        <f t="shared" si="31"/>
        <v>336000</v>
      </c>
      <c r="N978" s="25">
        <f>'Working Sheet'!$J978*'Working Sheet'!$K978</f>
        <v>1260000</v>
      </c>
      <c r="O978" s="26">
        <f>'Working Sheet'!$M978*'Working Sheet'!$K978</f>
        <v>1008000</v>
      </c>
      <c r="P978" s="25">
        <f>'Working Sheet'!$N978-'Working Sheet'!$O978</f>
        <v>252000</v>
      </c>
    </row>
    <row r="979" spans="1:16" ht="14.25" customHeight="1" x14ac:dyDescent="0.25">
      <c r="A979" s="18" t="str">
        <f t="shared" ca="1" si="30"/>
        <v>ID_1273</v>
      </c>
      <c r="B979" s="17">
        <v>45697</v>
      </c>
      <c r="C979" s="18" t="str">
        <f>TEXT('Working Sheet'!$B979,"mmm")</f>
        <v>Feb</v>
      </c>
      <c r="D979" s="18" t="s">
        <v>29</v>
      </c>
      <c r="E979" s="18" t="s">
        <v>19</v>
      </c>
      <c r="F979" s="18" t="s">
        <v>23</v>
      </c>
      <c r="G979" s="18" t="s">
        <v>14</v>
      </c>
      <c r="H979" s="18" t="s">
        <v>41</v>
      </c>
      <c r="I979" s="18" t="s">
        <v>22</v>
      </c>
      <c r="J979" s="19">
        <v>220000</v>
      </c>
      <c r="K979" s="18">
        <v>3</v>
      </c>
      <c r="L979" s="18" t="s">
        <v>28</v>
      </c>
      <c r="M979" s="20">
        <f t="shared" si="31"/>
        <v>176000</v>
      </c>
      <c r="N979" s="20">
        <f>'Working Sheet'!$J979*'Working Sheet'!$K979</f>
        <v>660000</v>
      </c>
      <c r="O979" s="21">
        <f>'Working Sheet'!$M979*'Working Sheet'!$K979</f>
        <v>528000</v>
      </c>
      <c r="P979" s="20">
        <f>'Working Sheet'!$N979-'Working Sheet'!$O979</f>
        <v>132000</v>
      </c>
    </row>
    <row r="980" spans="1:16" ht="14.25" customHeight="1" x14ac:dyDescent="0.25">
      <c r="A980" s="23" t="str">
        <f t="shared" ca="1" si="30"/>
        <v>ID_97</v>
      </c>
      <c r="B980" s="22">
        <v>45760</v>
      </c>
      <c r="C980" s="23" t="str">
        <f>TEXT('Working Sheet'!$B980,"mmm")</f>
        <v>Apr</v>
      </c>
      <c r="D980" s="23" t="s">
        <v>25</v>
      </c>
      <c r="E980" s="23" t="s">
        <v>12</v>
      </c>
      <c r="F980" s="23" t="s">
        <v>23</v>
      </c>
      <c r="G980" s="23" t="s">
        <v>14</v>
      </c>
      <c r="H980" s="23" t="s">
        <v>34</v>
      </c>
      <c r="I980" s="23" t="s">
        <v>16</v>
      </c>
      <c r="J980" s="24">
        <v>320000</v>
      </c>
      <c r="K980" s="23">
        <v>5</v>
      </c>
      <c r="L980" s="23" t="s">
        <v>24</v>
      </c>
      <c r="M980" s="25">
        <f t="shared" si="31"/>
        <v>256000</v>
      </c>
      <c r="N980" s="25">
        <f>'Working Sheet'!$J980*'Working Sheet'!$K980</f>
        <v>1600000</v>
      </c>
      <c r="O980" s="26">
        <f>'Working Sheet'!$M980*'Working Sheet'!$K980</f>
        <v>1280000</v>
      </c>
      <c r="P980" s="25">
        <f>'Working Sheet'!$N980-'Working Sheet'!$O980</f>
        <v>320000</v>
      </c>
    </row>
    <row r="981" spans="1:16" ht="14.25" customHeight="1" x14ac:dyDescent="0.25">
      <c r="A981" s="18" t="str">
        <f t="shared" ca="1" si="30"/>
        <v>ID_823</v>
      </c>
      <c r="B981" s="17">
        <v>45701</v>
      </c>
      <c r="C981" s="18" t="str">
        <f>TEXT('Working Sheet'!$B981,"mmm")</f>
        <v>Feb</v>
      </c>
      <c r="D981" s="18" t="s">
        <v>18</v>
      </c>
      <c r="E981" s="18" t="s">
        <v>26</v>
      </c>
      <c r="F981" s="18" t="s">
        <v>13</v>
      </c>
      <c r="G981" s="18" t="s">
        <v>20</v>
      </c>
      <c r="H981" s="18" t="s">
        <v>15</v>
      </c>
      <c r="I981" s="18" t="s">
        <v>16</v>
      </c>
      <c r="J981" s="19">
        <v>85000</v>
      </c>
      <c r="K981" s="18">
        <v>8</v>
      </c>
      <c r="L981" s="18" t="s">
        <v>17</v>
      </c>
      <c r="M981" s="20">
        <f t="shared" si="31"/>
        <v>68000</v>
      </c>
      <c r="N981" s="20">
        <f>'Working Sheet'!$J981*'Working Sheet'!$K981</f>
        <v>680000</v>
      </c>
      <c r="O981" s="21">
        <f>'Working Sheet'!$M981*'Working Sheet'!$K981</f>
        <v>544000</v>
      </c>
      <c r="P981" s="20">
        <f>'Working Sheet'!$N981-'Working Sheet'!$O981</f>
        <v>136000</v>
      </c>
    </row>
    <row r="982" spans="1:16" ht="14.25" customHeight="1" x14ac:dyDescent="0.25">
      <c r="A982" s="23" t="str">
        <f t="shared" ca="1" si="30"/>
        <v>ID_1593</v>
      </c>
      <c r="B982" s="22">
        <v>45701</v>
      </c>
      <c r="C982" s="23" t="str">
        <f>TEXT('Working Sheet'!$B982,"mmm")</f>
        <v>Feb</v>
      </c>
      <c r="D982" s="23" t="s">
        <v>18</v>
      </c>
      <c r="E982" s="23" t="s">
        <v>32</v>
      </c>
      <c r="F982" s="23" t="s">
        <v>23</v>
      </c>
      <c r="G982" s="23" t="s">
        <v>20</v>
      </c>
      <c r="H982" s="23" t="s">
        <v>36</v>
      </c>
      <c r="I982" s="23" t="s">
        <v>31</v>
      </c>
      <c r="J982" s="24">
        <v>150000</v>
      </c>
      <c r="K982" s="23">
        <v>9</v>
      </c>
      <c r="L982" s="23" t="s">
        <v>39</v>
      </c>
      <c r="M982" s="25">
        <f t="shared" si="31"/>
        <v>120000</v>
      </c>
      <c r="N982" s="25">
        <f>'Working Sheet'!$J982*'Working Sheet'!$K982</f>
        <v>1350000</v>
      </c>
      <c r="O982" s="26">
        <f>'Working Sheet'!$M982*'Working Sheet'!$K982</f>
        <v>1080000</v>
      </c>
      <c r="P982" s="25">
        <f>'Working Sheet'!$N982-'Working Sheet'!$O982</f>
        <v>270000</v>
      </c>
    </row>
    <row r="983" spans="1:16" ht="14.25" customHeight="1" x14ac:dyDescent="0.25">
      <c r="A983" s="18" t="str">
        <f t="shared" ca="1" si="30"/>
        <v>ID_1718</v>
      </c>
      <c r="B983" s="17">
        <v>45700</v>
      </c>
      <c r="C983" s="18" t="str">
        <f>TEXT('Working Sheet'!$B983,"mmm")</f>
        <v>Feb</v>
      </c>
      <c r="D983" s="18" t="s">
        <v>11</v>
      </c>
      <c r="E983" s="18" t="s">
        <v>12</v>
      </c>
      <c r="F983" s="18" t="s">
        <v>23</v>
      </c>
      <c r="G983" s="18" t="s">
        <v>14</v>
      </c>
      <c r="H983" s="18" t="s">
        <v>40</v>
      </c>
      <c r="I983" s="18" t="s">
        <v>31</v>
      </c>
      <c r="J983" s="19">
        <v>250000</v>
      </c>
      <c r="K983" s="18">
        <v>4</v>
      </c>
      <c r="L983" s="18" t="s">
        <v>35</v>
      </c>
      <c r="M983" s="20">
        <f t="shared" si="31"/>
        <v>200000</v>
      </c>
      <c r="N983" s="20">
        <f>'Working Sheet'!$J983*'Working Sheet'!$K983</f>
        <v>1000000</v>
      </c>
      <c r="O983" s="21">
        <f>'Working Sheet'!$M983*'Working Sheet'!$K983</f>
        <v>800000</v>
      </c>
      <c r="P983" s="20">
        <f>'Working Sheet'!$N983-'Working Sheet'!$O983</f>
        <v>200000</v>
      </c>
    </row>
    <row r="984" spans="1:16" ht="14.25" customHeight="1" x14ac:dyDescent="0.25">
      <c r="A984" s="23" t="str">
        <f t="shared" ca="1" si="30"/>
        <v>ID_1616</v>
      </c>
      <c r="B984" s="22">
        <v>45696</v>
      </c>
      <c r="C984" s="23" t="str">
        <f>TEXT('Working Sheet'!$B984,"mmm")</f>
        <v>Feb</v>
      </c>
      <c r="D984" s="23" t="s">
        <v>29</v>
      </c>
      <c r="E984" s="23" t="s">
        <v>19</v>
      </c>
      <c r="F984" s="23" t="s">
        <v>13</v>
      </c>
      <c r="G984" s="23" t="s">
        <v>20</v>
      </c>
      <c r="H984" s="23" t="s">
        <v>41</v>
      </c>
      <c r="I984" s="23" t="s">
        <v>22</v>
      </c>
      <c r="J984" s="24">
        <v>220000</v>
      </c>
      <c r="K984" s="23">
        <v>4</v>
      </c>
      <c r="L984" s="23" t="s">
        <v>35</v>
      </c>
      <c r="M984" s="25">
        <f t="shared" si="31"/>
        <v>176000</v>
      </c>
      <c r="N984" s="25">
        <f>'Working Sheet'!$J984*'Working Sheet'!$K984</f>
        <v>880000</v>
      </c>
      <c r="O984" s="26">
        <f>'Working Sheet'!$M984*'Working Sheet'!$K984</f>
        <v>704000</v>
      </c>
      <c r="P984" s="25">
        <f>'Working Sheet'!$N984-'Working Sheet'!$O984</f>
        <v>176000</v>
      </c>
    </row>
    <row r="985" spans="1:16" ht="14.25" customHeight="1" x14ac:dyDescent="0.25">
      <c r="A985" s="18" t="str">
        <f t="shared" ca="1" si="30"/>
        <v>ID_552</v>
      </c>
      <c r="B985" s="17">
        <v>45749</v>
      </c>
      <c r="C985" s="18" t="str">
        <f>TEXT('Working Sheet'!$B985,"mmm")</f>
        <v>Apr</v>
      </c>
      <c r="D985" s="18" t="s">
        <v>29</v>
      </c>
      <c r="E985" s="18" t="s">
        <v>12</v>
      </c>
      <c r="F985" s="18" t="s">
        <v>23</v>
      </c>
      <c r="G985" s="18" t="s">
        <v>20</v>
      </c>
      <c r="H985" s="18" t="s">
        <v>15</v>
      </c>
      <c r="I985" s="18" t="s">
        <v>16</v>
      </c>
      <c r="J985" s="19">
        <v>85000</v>
      </c>
      <c r="K985" s="18">
        <v>2</v>
      </c>
      <c r="L985" s="18" t="s">
        <v>17</v>
      </c>
      <c r="M985" s="20">
        <f t="shared" si="31"/>
        <v>68000</v>
      </c>
      <c r="N985" s="20">
        <f>'Working Sheet'!$J985*'Working Sheet'!$K985</f>
        <v>170000</v>
      </c>
      <c r="O985" s="21">
        <f>'Working Sheet'!$M985*'Working Sheet'!$K985</f>
        <v>136000</v>
      </c>
      <c r="P985" s="20">
        <f>'Working Sheet'!$N985-'Working Sheet'!$O985</f>
        <v>34000</v>
      </c>
    </row>
    <row r="986" spans="1:16" ht="14.25" customHeight="1" x14ac:dyDescent="0.25">
      <c r="A986" s="23" t="str">
        <f t="shared" ca="1" si="30"/>
        <v>ID_815</v>
      </c>
      <c r="B986" s="22">
        <v>45690</v>
      </c>
      <c r="C986" s="23" t="str">
        <f>TEXT('Working Sheet'!$B986,"mmm")</f>
        <v>Feb</v>
      </c>
      <c r="D986" s="23" t="s">
        <v>18</v>
      </c>
      <c r="E986" s="23" t="s">
        <v>12</v>
      </c>
      <c r="F986" s="23" t="s">
        <v>13</v>
      </c>
      <c r="G986" s="23" t="s">
        <v>14</v>
      </c>
      <c r="H986" s="23" t="s">
        <v>40</v>
      </c>
      <c r="I986" s="23" t="s">
        <v>31</v>
      </c>
      <c r="J986" s="24">
        <v>250000</v>
      </c>
      <c r="K986" s="23">
        <v>3</v>
      </c>
      <c r="L986" s="23" t="s">
        <v>35</v>
      </c>
      <c r="M986" s="25">
        <f t="shared" si="31"/>
        <v>200000</v>
      </c>
      <c r="N986" s="25">
        <f>'Working Sheet'!$J986*'Working Sheet'!$K986</f>
        <v>750000</v>
      </c>
      <c r="O986" s="26">
        <f>'Working Sheet'!$M986*'Working Sheet'!$K986</f>
        <v>600000</v>
      </c>
      <c r="P986" s="25">
        <f>'Working Sheet'!$N986-'Working Sheet'!$O986</f>
        <v>150000</v>
      </c>
    </row>
    <row r="987" spans="1:16" ht="14.25" customHeight="1" x14ac:dyDescent="0.25">
      <c r="A987" s="18" t="str">
        <f t="shared" ca="1" si="30"/>
        <v>ID_1275</v>
      </c>
      <c r="B987" s="17">
        <v>45669</v>
      </c>
      <c r="C987" s="18" t="str">
        <f>TEXT('Working Sheet'!$B987,"mmm")</f>
        <v>Jan</v>
      </c>
      <c r="D987" s="18" t="s">
        <v>29</v>
      </c>
      <c r="E987" s="18" t="s">
        <v>26</v>
      </c>
      <c r="F987" s="18" t="s">
        <v>23</v>
      </c>
      <c r="G987" s="18" t="s">
        <v>14</v>
      </c>
      <c r="H987" s="18" t="s">
        <v>36</v>
      </c>
      <c r="I987" s="18" t="s">
        <v>31</v>
      </c>
      <c r="J987" s="19">
        <v>150000</v>
      </c>
      <c r="K987" s="18">
        <v>4</v>
      </c>
      <c r="L987" s="18" t="s">
        <v>35</v>
      </c>
      <c r="M987" s="20">
        <f t="shared" si="31"/>
        <v>120000</v>
      </c>
      <c r="N987" s="20">
        <f>'Working Sheet'!$J987*'Working Sheet'!$K987</f>
        <v>600000</v>
      </c>
      <c r="O987" s="21">
        <f>'Working Sheet'!$M987*'Working Sheet'!$K987</f>
        <v>480000</v>
      </c>
      <c r="P987" s="20">
        <f>'Working Sheet'!$N987-'Working Sheet'!$O987</f>
        <v>120000</v>
      </c>
    </row>
    <row r="988" spans="1:16" ht="14.25" customHeight="1" x14ac:dyDescent="0.25">
      <c r="A988" s="23" t="str">
        <f t="shared" ca="1" si="30"/>
        <v>ID_1019</v>
      </c>
      <c r="B988" s="22">
        <v>45703</v>
      </c>
      <c r="C988" s="23" t="str">
        <f>TEXT('Working Sheet'!$B988,"mmm")</f>
        <v>Feb</v>
      </c>
      <c r="D988" s="23" t="s">
        <v>29</v>
      </c>
      <c r="E988" s="23" t="s">
        <v>12</v>
      </c>
      <c r="F988" s="23" t="s">
        <v>13</v>
      </c>
      <c r="G988" s="23" t="s">
        <v>14</v>
      </c>
      <c r="H988" s="23" t="s">
        <v>15</v>
      </c>
      <c r="I988" s="23" t="s">
        <v>16</v>
      </c>
      <c r="J988" s="24">
        <v>85000</v>
      </c>
      <c r="K988" s="23">
        <v>2</v>
      </c>
      <c r="L988" s="23" t="s">
        <v>17</v>
      </c>
      <c r="M988" s="25">
        <f t="shared" si="31"/>
        <v>68000</v>
      </c>
      <c r="N988" s="25">
        <f>'Working Sheet'!$J988*'Working Sheet'!$K988</f>
        <v>170000</v>
      </c>
      <c r="O988" s="26">
        <f>'Working Sheet'!$M988*'Working Sheet'!$K988</f>
        <v>136000</v>
      </c>
      <c r="P988" s="25">
        <f>'Working Sheet'!$N988-'Working Sheet'!$O988</f>
        <v>34000</v>
      </c>
    </row>
    <row r="989" spans="1:16" ht="14.25" customHeight="1" x14ac:dyDescent="0.25">
      <c r="A989" s="18" t="str">
        <f t="shared" ca="1" si="30"/>
        <v>ID_1028</v>
      </c>
      <c r="B989" s="17">
        <v>45674</v>
      </c>
      <c r="C989" s="18" t="str">
        <f>TEXT('Working Sheet'!$B989,"mmm")</f>
        <v>Jan</v>
      </c>
      <c r="D989" s="18" t="s">
        <v>11</v>
      </c>
      <c r="E989" s="18" t="s">
        <v>26</v>
      </c>
      <c r="F989" s="18" t="s">
        <v>23</v>
      </c>
      <c r="G989" s="18" t="s">
        <v>20</v>
      </c>
      <c r="H989" s="18" t="s">
        <v>36</v>
      </c>
      <c r="I989" s="18" t="s">
        <v>31</v>
      </c>
      <c r="J989" s="19">
        <v>150000</v>
      </c>
      <c r="K989" s="18">
        <v>4</v>
      </c>
      <c r="L989" s="18" t="s">
        <v>28</v>
      </c>
      <c r="M989" s="20">
        <f t="shared" si="31"/>
        <v>120000</v>
      </c>
      <c r="N989" s="20">
        <f>'Working Sheet'!$J989*'Working Sheet'!$K989</f>
        <v>600000</v>
      </c>
      <c r="O989" s="21">
        <f>'Working Sheet'!$M989*'Working Sheet'!$K989</f>
        <v>480000</v>
      </c>
      <c r="P989" s="20">
        <f>'Working Sheet'!$N989-'Working Sheet'!$O989</f>
        <v>120000</v>
      </c>
    </row>
    <row r="990" spans="1:16" ht="14.25" customHeight="1" x14ac:dyDescent="0.25">
      <c r="A990" s="23" t="str">
        <f t="shared" ca="1" si="30"/>
        <v>ID_1285</v>
      </c>
      <c r="B990" s="22">
        <v>45701</v>
      </c>
      <c r="C990" s="23" t="str">
        <f>TEXT('Working Sheet'!$B990,"mmm")</f>
        <v>Feb</v>
      </c>
      <c r="D990" s="23" t="s">
        <v>29</v>
      </c>
      <c r="E990" s="23" t="s">
        <v>12</v>
      </c>
      <c r="F990" s="23" t="s">
        <v>13</v>
      </c>
      <c r="G990" s="23" t="s">
        <v>14</v>
      </c>
      <c r="H990" s="23" t="s">
        <v>36</v>
      </c>
      <c r="I990" s="23" t="s">
        <v>31</v>
      </c>
      <c r="J990" s="24">
        <v>150000</v>
      </c>
      <c r="K990" s="23">
        <v>3</v>
      </c>
      <c r="L990" s="23" t="s">
        <v>24</v>
      </c>
      <c r="M990" s="25">
        <f t="shared" si="31"/>
        <v>120000</v>
      </c>
      <c r="N990" s="25">
        <f>'Working Sheet'!$J990*'Working Sheet'!$K990</f>
        <v>450000</v>
      </c>
      <c r="O990" s="26">
        <f>'Working Sheet'!$M990*'Working Sheet'!$K990</f>
        <v>360000</v>
      </c>
      <c r="P990" s="25">
        <f>'Working Sheet'!$N990-'Working Sheet'!$O990</f>
        <v>90000</v>
      </c>
    </row>
    <row r="991" spans="1:16" ht="14.25" customHeight="1" x14ac:dyDescent="0.25">
      <c r="A991" s="18" t="str">
        <f t="shared" ca="1" si="30"/>
        <v>ID_231</v>
      </c>
      <c r="B991" s="17">
        <v>45686</v>
      </c>
      <c r="C991" s="18" t="str">
        <f>TEXT('Working Sheet'!$B991,"mmm")</f>
        <v>Jan</v>
      </c>
      <c r="D991" s="18" t="s">
        <v>29</v>
      </c>
      <c r="E991" s="18" t="s">
        <v>12</v>
      </c>
      <c r="F991" s="18" t="s">
        <v>23</v>
      </c>
      <c r="G991" s="18" t="s">
        <v>14</v>
      </c>
      <c r="H991" s="18" t="s">
        <v>21</v>
      </c>
      <c r="I991" s="18" t="s">
        <v>22</v>
      </c>
      <c r="J991" s="19">
        <v>30000</v>
      </c>
      <c r="K991" s="18">
        <v>3</v>
      </c>
      <c r="L991" s="18" t="s">
        <v>24</v>
      </c>
      <c r="M991" s="20">
        <f t="shared" si="31"/>
        <v>24000</v>
      </c>
      <c r="N991" s="20">
        <f>'Working Sheet'!$J991*'Working Sheet'!$K991</f>
        <v>90000</v>
      </c>
      <c r="O991" s="21">
        <f>'Working Sheet'!$M991*'Working Sheet'!$K991</f>
        <v>72000</v>
      </c>
      <c r="P991" s="20">
        <f>'Working Sheet'!$N991-'Working Sheet'!$O991</f>
        <v>18000</v>
      </c>
    </row>
    <row r="992" spans="1:16" ht="14.25" customHeight="1" x14ac:dyDescent="0.25">
      <c r="A992" s="23" t="str">
        <f t="shared" ca="1" si="30"/>
        <v>ID_408</v>
      </c>
      <c r="B992" s="22">
        <v>45772</v>
      </c>
      <c r="C992" s="23" t="str">
        <f>TEXT('Working Sheet'!$B992,"mmm")</f>
        <v>Apr</v>
      </c>
      <c r="D992" s="23" t="s">
        <v>29</v>
      </c>
      <c r="E992" s="23" t="s">
        <v>19</v>
      </c>
      <c r="F992" s="23" t="s">
        <v>23</v>
      </c>
      <c r="G992" s="23" t="s">
        <v>20</v>
      </c>
      <c r="H992" s="23" t="s">
        <v>34</v>
      </c>
      <c r="I992" s="23" t="s">
        <v>16</v>
      </c>
      <c r="J992" s="24">
        <v>320000</v>
      </c>
      <c r="K992" s="23">
        <v>5</v>
      </c>
      <c r="L992" s="23" t="s">
        <v>39</v>
      </c>
      <c r="M992" s="25">
        <f t="shared" si="31"/>
        <v>256000</v>
      </c>
      <c r="N992" s="25">
        <f>'Working Sheet'!$J992*'Working Sheet'!$K992</f>
        <v>1600000</v>
      </c>
      <c r="O992" s="26">
        <f>'Working Sheet'!$M992*'Working Sheet'!$K992</f>
        <v>1280000</v>
      </c>
      <c r="P992" s="25">
        <f>'Working Sheet'!$N992-'Working Sheet'!$O992</f>
        <v>320000</v>
      </c>
    </row>
    <row r="993" spans="1:16" ht="14.25" customHeight="1" x14ac:dyDescent="0.25">
      <c r="A993" s="18" t="str">
        <f t="shared" ca="1" si="30"/>
        <v>ID_1903</v>
      </c>
      <c r="B993" s="17">
        <v>45772</v>
      </c>
      <c r="C993" s="18" t="str">
        <f>TEXT('Working Sheet'!$B993,"mmm")</f>
        <v>Apr</v>
      </c>
      <c r="D993" s="18" t="s">
        <v>18</v>
      </c>
      <c r="E993" s="18" t="s">
        <v>32</v>
      </c>
      <c r="F993" s="18" t="s">
        <v>23</v>
      </c>
      <c r="G993" s="18" t="s">
        <v>14</v>
      </c>
      <c r="H993" s="18" t="s">
        <v>40</v>
      </c>
      <c r="I993" s="18" t="s">
        <v>31</v>
      </c>
      <c r="J993" s="19">
        <v>250000</v>
      </c>
      <c r="K993" s="18">
        <v>3</v>
      </c>
      <c r="L993" s="18" t="s">
        <v>17</v>
      </c>
      <c r="M993" s="20">
        <f t="shared" si="31"/>
        <v>200000</v>
      </c>
      <c r="N993" s="20">
        <f>'Working Sheet'!$J993*'Working Sheet'!$K993</f>
        <v>750000</v>
      </c>
      <c r="O993" s="21">
        <f>'Working Sheet'!$M993*'Working Sheet'!$K993</f>
        <v>600000</v>
      </c>
      <c r="P993" s="20">
        <f>'Working Sheet'!$N993-'Working Sheet'!$O993</f>
        <v>150000</v>
      </c>
    </row>
    <row r="994" spans="1:16" ht="14.25" customHeight="1" x14ac:dyDescent="0.25">
      <c r="A994" s="23" t="str">
        <f t="shared" ca="1" si="30"/>
        <v>ID_973</v>
      </c>
      <c r="B994" s="22">
        <v>45714</v>
      </c>
      <c r="C994" s="23" t="str">
        <f>TEXT('Working Sheet'!$B994,"mmm")</f>
        <v>Feb</v>
      </c>
      <c r="D994" s="23" t="s">
        <v>18</v>
      </c>
      <c r="E994" s="23" t="s">
        <v>26</v>
      </c>
      <c r="F994" s="23" t="s">
        <v>23</v>
      </c>
      <c r="G994" s="23" t="s">
        <v>20</v>
      </c>
      <c r="H994" s="23" t="s">
        <v>27</v>
      </c>
      <c r="I994" s="23" t="s">
        <v>22</v>
      </c>
      <c r="J994" s="24">
        <v>60000</v>
      </c>
      <c r="K994" s="23">
        <v>10</v>
      </c>
      <c r="L994" s="23" t="s">
        <v>39</v>
      </c>
      <c r="M994" s="25">
        <f t="shared" si="31"/>
        <v>48000</v>
      </c>
      <c r="N994" s="25">
        <f>'Working Sheet'!$J994*'Working Sheet'!$K994</f>
        <v>600000</v>
      </c>
      <c r="O994" s="26">
        <f>'Working Sheet'!$M994*'Working Sheet'!$K994</f>
        <v>480000</v>
      </c>
      <c r="P994" s="25">
        <f>'Working Sheet'!$N994-'Working Sheet'!$O994</f>
        <v>120000</v>
      </c>
    </row>
    <row r="995" spans="1:16" ht="14.25" customHeight="1" x14ac:dyDescent="0.25">
      <c r="A995" s="18" t="str">
        <f t="shared" ca="1" si="30"/>
        <v>ID_734</v>
      </c>
      <c r="B995" s="17">
        <v>45714</v>
      </c>
      <c r="C995" s="18" t="str">
        <f>TEXT('Working Sheet'!$B995,"mmm")</f>
        <v>Feb</v>
      </c>
      <c r="D995" s="18" t="s">
        <v>29</v>
      </c>
      <c r="E995" s="18" t="s">
        <v>12</v>
      </c>
      <c r="F995" s="18" t="s">
        <v>13</v>
      </c>
      <c r="G995" s="18" t="s">
        <v>20</v>
      </c>
      <c r="H995" s="18" t="s">
        <v>27</v>
      </c>
      <c r="I995" s="18" t="s">
        <v>22</v>
      </c>
      <c r="J995" s="19">
        <v>60000</v>
      </c>
      <c r="K995" s="18">
        <v>3</v>
      </c>
      <c r="L995" s="18" t="s">
        <v>37</v>
      </c>
      <c r="M995" s="20">
        <f t="shared" si="31"/>
        <v>48000</v>
      </c>
      <c r="N995" s="20">
        <f>'Working Sheet'!$J995*'Working Sheet'!$K995</f>
        <v>180000</v>
      </c>
      <c r="O995" s="21">
        <f>'Working Sheet'!$M995*'Working Sheet'!$K995</f>
        <v>144000</v>
      </c>
      <c r="P995" s="20">
        <f>'Working Sheet'!$N995-'Working Sheet'!$O995</f>
        <v>36000</v>
      </c>
    </row>
    <row r="996" spans="1:16" ht="14.25" customHeight="1" x14ac:dyDescent="0.25">
      <c r="A996" s="23" t="str">
        <f t="shared" ca="1" si="30"/>
        <v>ID_1930</v>
      </c>
      <c r="B996" s="22">
        <v>45708</v>
      </c>
      <c r="C996" s="23" t="str">
        <f>TEXT('Working Sheet'!$B996,"mmm")</f>
        <v>Feb</v>
      </c>
      <c r="D996" s="23" t="s">
        <v>18</v>
      </c>
      <c r="E996" s="23" t="s">
        <v>19</v>
      </c>
      <c r="F996" s="23" t="s">
        <v>23</v>
      </c>
      <c r="G996" s="23" t="s">
        <v>20</v>
      </c>
      <c r="H996" s="23" t="s">
        <v>15</v>
      </c>
      <c r="I996" s="23" t="s">
        <v>16</v>
      </c>
      <c r="J996" s="24">
        <v>85000</v>
      </c>
      <c r="K996" s="23">
        <v>9</v>
      </c>
      <c r="L996" s="23" t="s">
        <v>35</v>
      </c>
      <c r="M996" s="25">
        <f t="shared" si="31"/>
        <v>68000</v>
      </c>
      <c r="N996" s="25">
        <f>'Working Sheet'!$J996*'Working Sheet'!$K996</f>
        <v>765000</v>
      </c>
      <c r="O996" s="26">
        <f>'Working Sheet'!$M996*'Working Sheet'!$K996</f>
        <v>612000</v>
      </c>
      <c r="P996" s="25">
        <f>'Working Sheet'!$N996-'Working Sheet'!$O996</f>
        <v>153000</v>
      </c>
    </row>
    <row r="997" spans="1:16" ht="14.25" customHeight="1" x14ac:dyDescent="0.25">
      <c r="A997" s="18" t="str">
        <f t="shared" ca="1" si="30"/>
        <v>ID_186</v>
      </c>
      <c r="B997" s="17">
        <v>45737</v>
      </c>
      <c r="C997" s="18" t="str">
        <f>TEXT('Working Sheet'!$B997,"mmm")</f>
        <v>Mar</v>
      </c>
      <c r="D997" s="18" t="s">
        <v>18</v>
      </c>
      <c r="E997" s="18" t="s">
        <v>32</v>
      </c>
      <c r="F997" s="18" t="s">
        <v>23</v>
      </c>
      <c r="G997" s="18" t="s">
        <v>20</v>
      </c>
      <c r="H997" s="18" t="s">
        <v>38</v>
      </c>
      <c r="I997" s="18" t="s">
        <v>31</v>
      </c>
      <c r="J997" s="19">
        <v>420000</v>
      </c>
      <c r="K997" s="18">
        <v>4</v>
      </c>
      <c r="L997" s="18" t="s">
        <v>35</v>
      </c>
      <c r="M997" s="20">
        <f t="shared" si="31"/>
        <v>336000</v>
      </c>
      <c r="N997" s="20">
        <f>'Working Sheet'!$J997*'Working Sheet'!$K997</f>
        <v>1680000</v>
      </c>
      <c r="O997" s="21">
        <f>'Working Sheet'!$M997*'Working Sheet'!$K997</f>
        <v>1344000</v>
      </c>
      <c r="P997" s="20">
        <f>'Working Sheet'!$N997-'Working Sheet'!$O997</f>
        <v>336000</v>
      </c>
    </row>
    <row r="998" spans="1:16" ht="14.25" customHeight="1" x14ac:dyDescent="0.25">
      <c r="A998" s="23" t="str">
        <f t="shared" ca="1" si="30"/>
        <v>ID_753</v>
      </c>
      <c r="B998" s="22">
        <v>45658</v>
      </c>
      <c r="C998" s="23" t="str">
        <f>TEXT('Working Sheet'!$B998,"mmm")</f>
        <v>Jan</v>
      </c>
      <c r="D998" s="23" t="s">
        <v>29</v>
      </c>
      <c r="E998" s="23" t="s">
        <v>26</v>
      </c>
      <c r="F998" s="23" t="s">
        <v>23</v>
      </c>
      <c r="G998" s="23" t="s">
        <v>14</v>
      </c>
      <c r="H998" s="23" t="s">
        <v>36</v>
      </c>
      <c r="I998" s="23" t="s">
        <v>31</v>
      </c>
      <c r="J998" s="24">
        <v>150000</v>
      </c>
      <c r="K998" s="23">
        <v>6</v>
      </c>
      <c r="L998" s="23" t="s">
        <v>37</v>
      </c>
      <c r="M998" s="25">
        <f t="shared" si="31"/>
        <v>120000</v>
      </c>
      <c r="N998" s="25">
        <f>'Working Sheet'!$J998*'Working Sheet'!$K998</f>
        <v>900000</v>
      </c>
      <c r="O998" s="26">
        <f>'Working Sheet'!$M998*'Working Sheet'!$K998</f>
        <v>720000</v>
      </c>
      <c r="P998" s="25">
        <f>'Working Sheet'!$N998-'Working Sheet'!$O998</f>
        <v>180000</v>
      </c>
    </row>
    <row r="999" spans="1:16" ht="14.25" customHeight="1" x14ac:dyDescent="0.25">
      <c r="A999" s="18" t="str">
        <f t="shared" ca="1" si="30"/>
        <v>ID_1586</v>
      </c>
      <c r="B999" s="17">
        <v>45769</v>
      </c>
      <c r="C999" s="18" t="str">
        <f>TEXT('Working Sheet'!$B999,"mmm")</f>
        <v>Apr</v>
      </c>
      <c r="D999" s="18" t="s">
        <v>29</v>
      </c>
      <c r="E999" s="18" t="s">
        <v>26</v>
      </c>
      <c r="F999" s="18" t="s">
        <v>23</v>
      </c>
      <c r="G999" s="18" t="s">
        <v>14</v>
      </c>
      <c r="H999" s="18" t="s">
        <v>34</v>
      </c>
      <c r="I999" s="18" t="s">
        <v>16</v>
      </c>
      <c r="J999" s="19">
        <v>320000</v>
      </c>
      <c r="K999" s="18">
        <v>3</v>
      </c>
      <c r="L999" s="18" t="s">
        <v>35</v>
      </c>
      <c r="M999" s="20">
        <f t="shared" si="31"/>
        <v>256000</v>
      </c>
      <c r="N999" s="20">
        <f>'Working Sheet'!$J999*'Working Sheet'!$K999</f>
        <v>960000</v>
      </c>
      <c r="O999" s="21">
        <f>'Working Sheet'!$M999*'Working Sheet'!$K999</f>
        <v>768000</v>
      </c>
      <c r="P999" s="20">
        <f>'Working Sheet'!$N999-'Working Sheet'!$O999</f>
        <v>192000</v>
      </c>
    </row>
    <row r="1000" spans="1:16" ht="14.25" customHeight="1" x14ac:dyDescent="0.25">
      <c r="A1000" s="23" t="str">
        <f t="shared" ca="1" si="30"/>
        <v>ID_2037</v>
      </c>
      <c r="B1000" s="22">
        <v>45747</v>
      </c>
      <c r="C1000" s="23" t="str">
        <f>TEXT('Working Sheet'!$B1000,"mmm")</f>
        <v>Mar</v>
      </c>
      <c r="D1000" s="23" t="s">
        <v>25</v>
      </c>
      <c r="E1000" s="23" t="s">
        <v>32</v>
      </c>
      <c r="F1000" s="23" t="s">
        <v>13</v>
      </c>
      <c r="G1000" s="23" t="s">
        <v>20</v>
      </c>
      <c r="H1000" s="23" t="s">
        <v>30</v>
      </c>
      <c r="I1000" s="23" t="s">
        <v>31</v>
      </c>
      <c r="J1000" s="24">
        <v>300000</v>
      </c>
      <c r="K1000" s="23">
        <v>2</v>
      </c>
      <c r="L1000" s="23" t="s">
        <v>17</v>
      </c>
      <c r="M1000" s="25">
        <f t="shared" si="31"/>
        <v>240000</v>
      </c>
      <c r="N1000" s="25">
        <f>'Working Sheet'!$J1000*'Working Sheet'!$K1000</f>
        <v>600000</v>
      </c>
      <c r="O1000" s="26">
        <f>'Working Sheet'!$M1000*'Working Sheet'!$K1000</f>
        <v>480000</v>
      </c>
      <c r="P1000" s="25">
        <f>'Working Sheet'!$N1000-'Working Sheet'!$O1000</f>
        <v>120000</v>
      </c>
    </row>
    <row r="1001" spans="1:16" ht="14.25" customHeight="1" x14ac:dyDescent="0.25">
      <c r="A1001" s="18" t="str">
        <f t="shared" ca="1" si="30"/>
        <v>ID_1590</v>
      </c>
      <c r="B1001" s="17">
        <v>45683</v>
      </c>
      <c r="C1001" s="18" t="str">
        <f>TEXT('Working Sheet'!$B1001,"mmm")</f>
        <v>Jan</v>
      </c>
      <c r="D1001" s="18" t="s">
        <v>18</v>
      </c>
      <c r="E1001" s="18" t="s">
        <v>26</v>
      </c>
      <c r="F1001" s="18" t="s">
        <v>23</v>
      </c>
      <c r="G1001" s="18" t="s">
        <v>14</v>
      </c>
      <c r="H1001" s="18" t="s">
        <v>36</v>
      </c>
      <c r="I1001" s="18" t="s">
        <v>31</v>
      </c>
      <c r="J1001" s="19">
        <v>150000</v>
      </c>
      <c r="K1001" s="18">
        <v>10</v>
      </c>
      <c r="L1001" s="18" t="s">
        <v>37</v>
      </c>
      <c r="M1001" s="20">
        <f t="shared" si="31"/>
        <v>120000</v>
      </c>
      <c r="N1001" s="20">
        <f>'Working Sheet'!$J1001*'Working Sheet'!$K1001</f>
        <v>1500000</v>
      </c>
      <c r="O1001" s="21">
        <f>'Working Sheet'!$M1001*'Working Sheet'!$K1001</f>
        <v>1200000</v>
      </c>
      <c r="P1001" s="20">
        <f>'Working Sheet'!$N1001-'Working Sheet'!$O1001</f>
        <v>300000</v>
      </c>
    </row>
    <row r="1002" spans="1:16" ht="14.25" customHeight="1" x14ac:dyDescent="0.25">
      <c r="A1002" s="23" t="str">
        <f t="shared" ca="1" si="30"/>
        <v>ID_954</v>
      </c>
      <c r="B1002" s="22">
        <v>45705</v>
      </c>
      <c r="C1002" s="23" t="str">
        <f>TEXT('Working Sheet'!$B1002,"mmm")</f>
        <v>Feb</v>
      </c>
      <c r="D1002" s="23" t="s">
        <v>18</v>
      </c>
      <c r="E1002" s="23" t="s">
        <v>32</v>
      </c>
      <c r="F1002" s="23" t="s">
        <v>13</v>
      </c>
      <c r="G1002" s="23" t="s">
        <v>20</v>
      </c>
      <c r="H1002" s="23" t="s">
        <v>38</v>
      </c>
      <c r="I1002" s="23" t="s">
        <v>31</v>
      </c>
      <c r="J1002" s="24">
        <v>420000</v>
      </c>
      <c r="K1002" s="23">
        <v>10</v>
      </c>
      <c r="L1002" s="23" t="s">
        <v>28</v>
      </c>
      <c r="M1002" s="25">
        <f t="shared" si="31"/>
        <v>336000</v>
      </c>
      <c r="N1002" s="25">
        <f>'Working Sheet'!$J1002*'Working Sheet'!$K1002</f>
        <v>4200000</v>
      </c>
      <c r="O1002" s="26">
        <f>'Working Sheet'!$M1002*'Working Sheet'!$K1002</f>
        <v>3360000</v>
      </c>
      <c r="P1002" s="25">
        <f>'Working Sheet'!$N1002-'Working Sheet'!$O1002</f>
        <v>840000</v>
      </c>
    </row>
    <row r="1003" spans="1:16" ht="14.25" customHeight="1" x14ac:dyDescent="0.25">
      <c r="A1003" s="18" t="str">
        <f t="shared" ca="1" si="30"/>
        <v>ID_210</v>
      </c>
      <c r="B1003" s="17">
        <v>45724</v>
      </c>
      <c r="C1003" s="18" t="str">
        <f>TEXT('Working Sheet'!$B1003,"mmm")</f>
        <v>Mar</v>
      </c>
      <c r="D1003" s="18" t="s">
        <v>29</v>
      </c>
      <c r="E1003" s="18" t="s">
        <v>32</v>
      </c>
      <c r="F1003" s="18" t="s">
        <v>23</v>
      </c>
      <c r="G1003" s="18" t="s">
        <v>20</v>
      </c>
      <c r="H1003" s="18" t="s">
        <v>33</v>
      </c>
      <c r="I1003" s="18" t="s">
        <v>22</v>
      </c>
      <c r="J1003" s="19">
        <v>180000</v>
      </c>
      <c r="K1003" s="18">
        <v>5</v>
      </c>
      <c r="L1003" s="18" t="s">
        <v>37</v>
      </c>
      <c r="M1003" s="20">
        <f t="shared" si="31"/>
        <v>144000</v>
      </c>
      <c r="N1003" s="20">
        <f>'Working Sheet'!$J1003*'Working Sheet'!$K1003</f>
        <v>900000</v>
      </c>
      <c r="O1003" s="21">
        <f>'Working Sheet'!$M1003*'Working Sheet'!$K1003</f>
        <v>720000</v>
      </c>
      <c r="P1003" s="20">
        <f>'Working Sheet'!$N1003-'Working Sheet'!$O1003</f>
        <v>180000</v>
      </c>
    </row>
    <row r="1004" spans="1:16" ht="14.25" customHeight="1" x14ac:dyDescent="0.25">
      <c r="A1004" s="23" t="str">
        <f t="shared" ca="1" si="30"/>
        <v>ID_1257</v>
      </c>
      <c r="B1004" s="22">
        <v>45686</v>
      </c>
      <c r="C1004" s="23" t="str">
        <f>TEXT('Working Sheet'!$B1004,"mmm")</f>
        <v>Jan</v>
      </c>
      <c r="D1004" s="23" t="s">
        <v>18</v>
      </c>
      <c r="E1004" s="23" t="s">
        <v>32</v>
      </c>
      <c r="F1004" s="23" t="s">
        <v>23</v>
      </c>
      <c r="G1004" s="23" t="s">
        <v>20</v>
      </c>
      <c r="H1004" s="23" t="s">
        <v>40</v>
      </c>
      <c r="I1004" s="23" t="s">
        <v>31</v>
      </c>
      <c r="J1004" s="24">
        <v>250000</v>
      </c>
      <c r="K1004" s="23">
        <v>7</v>
      </c>
      <c r="L1004" s="23" t="s">
        <v>28</v>
      </c>
      <c r="M1004" s="25">
        <f t="shared" si="31"/>
        <v>200000</v>
      </c>
      <c r="N1004" s="25">
        <f>'Working Sheet'!$J1004*'Working Sheet'!$K1004</f>
        <v>1750000</v>
      </c>
      <c r="O1004" s="26">
        <f>'Working Sheet'!$M1004*'Working Sheet'!$K1004</f>
        <v>1400000</v>
      </c>
      <c r="P1004" s="25">
        <f>'Working Sheet'!$N1004-'Working Sheet'!$O1004</f>
        <v>350000</v>
      </c>
    </row>
    <row r="1005" spans="1:16" ht="14.25" customHeight="1" x14ac:dyDescent="0.25">
      <c r="A1005" s="18" t="str">
        <f t="shared" ca="1" si="30"/>
        <v>ID_1064</v>
      </c>
      <c r="B1005" s="17">
        <v>45764</v>
      </c>
      <c r="C1005" s="18" t="str">
        <f>TEXT('Working Sheet'!$B1005,"mmm")</f>
        <v>Apr</v>
      </c>
      <c r="D1005" s="18" t="s">
        <v>11</v>
      </c>
      <c r="E1005" s="18" t="s">
        <v>19</v>
      </c>
      <c r="F1005" s="18" t="s">
        <v>13</v>
      </c>
      <c r="G1005" s="18" t="s">
        <v>20</v>
      </c>
      <c r="H1005" s="18" t="s">
        <v>34</v>
      </c>
      <c r="I1005" s="18" t="s">
        <v>16</v>
      </c>
      <c r="J1005" s="19">
        <v>320000</v>
      </c>
      <c r="K1005" s="18">
        <v>4</v>
      </c>
      <c r="L1005" s="18" t="s">
        <v>24</v>
      </c>
      <c r="M1005" s="20">
        <f t="shared" si="31"/>
        <v>256000</v>
      </c>
      <c r="N1005" s="20">
        <f>'Working Sheet'!$J1005*'Working Sheet'!$K1005</f>
        <v>1280000</v>
      </c>
      <c r="O1005" s="21">
        <f>'Working Sheet'!$M1005*'Working Sheet'!$K1005</f>
        <v>1024000</v>
      </c>
      <c r="P1005" s="20">
        <f>'Working Sheet'!$N1005-'Working Sheet'!$O1005</f>
        <v>256000</v>
      </c>
    </row>
    <row r="1006" spans="1:16" ht="14.25" customHeight="1" x14ac:dyDescent="0.25">
      <c r="A1006" s="23" t="str">
        <f t="shared" ca="1" si="30"/>
        <v>ID_1994</v>
      </c>
      <c r="B1006" s="22">
        <v>45665</v>
      </c>
      <c r="C1006" s="23" t="str">
        <f>TEXT('Working Sheet'!$B1006,"mmm")</f>
        <v>Jan</v>
      </c>
      <c r="D1006" s="23" t="s">
        <v>18</v>
      </c>
      <c r="E1006" s="23" t="s">
        <v>19</v>
      </c>
      <c r="F1006" s="23" t="s">
        <v>13</v>
      </c>
      <c r="G1006" s="23" t="s">
        <v>14</v>
      </c>
      <c r="H1006" s="23" t="s">
        <v>21</v>
      </c>
      <c r="I1006" s="23" t="s">
        <v>22</v>
      </c>
      <c r="J1006" s="24">
        <v>30000</v>
      </c>
      <c r="K1006" s="23">
        <v>2</v>
      </c>
      <c r="L1006" s="23" t="s">
        <v>17</v>
      </c>
      <c r="M1006" s="25">
        <f t="shared" si="31"/>
        <v>24000</v>
      </c>
      <c r="N1006" s="25">
        <f>'Working Sheet'!$J1006*'Working Sheet'!$K1006</f>
        <v>60000</v>
      </c>
      <c r="O1006" s="26">
        <f>'Working Sheet'!$M1006*'Working Sheet'!$K1006</f>
        <v>48000</v>
      </c>
      <c r="P1006" s="25">
        <f>'Working Sheet'!$N1006-'Working Sheet'!$O1006</f>
        <v>12000</v>
      </c>
    </row>
    <row r="1007" spans="1:16" ht="14.25" customHeight="1" x14ac:dyDescent="0.25">
      <c r="A1007" s="18" t="str">
        <f t="shared" ca="1" si="30"/>
        <v>ID_822</v>
      </c>
      <c r="B1007" s="17">
        <v>45677</v>
      </c>
      <c r="C1007" s="18" t="str">
        <f>TEXT('Working Sheet'!$B1007,"mmm")</f>
        <v>Jan</v>
      </c>
      <c r="D1007" s="18" t="s">
        <v>29</v>
      </c>
      <c r="E1007" s="18" t="s">
        <v>32</v>
      </c>
      <c r="F1007" s="18" t="s">
        <v>13</v>
      </c>
      <c r="G1007" s="18" t="s">
        <v>14</v>
      </c>
      <c r="H1007" s="18" t="s">
        <v>36</v>
      </c>
      <c r="I1007" s="18" t="s">
        <v>31</v>
      </c>
      <c r="J1007" s="19">
        <v>150000</v>
      </c>
      <c r="K1007" s="18">
        <v>4</v>
      </c>
      <c r="L1007" s="18" t="s">
        <v>17</v>
      </c>
      <c r="M1007" s="20">
        <f t="shared" si="31"/>
        <v>120000</v>
      </c>
      <c r="N1007" s="20">
        <f>'Working Sheet'!$J1007*'Working Sheet'!$K1007</f>
        <v>600000</v>
      </c>
      <c r="O1007" s="21">
        <f>'Working Sheet'!$M1007*'Working Sheet'!$K1007</f>
        <v>480000</v>
      </c>
      <c r="P1007" s="20">
        <f>'Working Sheet'!$N1007-'Working Sheet'!$O1007</f>
        <v>120000</v>
      </c>
    </row>
    <row r="1008" spans="1:16" ht="14.25" customHeight="1" x14ac:dyDescent="0.25">
      <c r="A1008" s="23" t="str">
        <f t="shared" ca="1" si="30"/>
        <v>ID_318</v>
      </c>
      <c r="B1008" s="22">
        <v>45761</v>
      </c>
      <c r="C1008" s="23" t="str">
        <f>TEXT('Working Sheet'!$B1008,"mmm")</f>
        <v>Apr</v>
      </c>
      <c r="D1008" s="23" t="s">
        <v>29</v>
      </c>
      <c r="E1008" s="23" t="s">
        <v>26</v>
      </c>
      <c r="F1008" s="23" t="s">
        <v>23</v>
      </c>
      <c r="G1008" s="23" t="s">
        <v>20</v>
      </c>
      <c r="H1008" s="23" t="s">
        <v>27</v>
      </c>
      <c r="I1008" s="23" t="s">
        <v>22</v>
      </c>
      <c r="J1008" s="24">
        <v>60000</v>
      </c>
      <c r="K1008" s="23">
        <v>4</v>
      </c>
      <c r="L1008" s="23" t="s">
        <v>28</v>
      </c>
      <c r="M1008" s="25">
        <f t="shared" si="31"/>
        <v>48000</v>
      </c>
      <c r="N1008" s="25">
        <f>'Working Sheet'!$J1008*'Working Sheet'!$K1008</f>
        <v>240000</v>
      </c>
      <c r="O1008" s="26">
        <f>'Working Sheet'!$M1008*'Working Sheet'!$K1008</f>
        <v>192000</v>
      </c>
      <c r="P1008" s="25">
        <f>'Working Sheet'!$N1008-'Working Sheet'!$O1008</f>
        <v>48000</v>
      </c>
    </row>
    <row r="1009" spans="1:16" ht="14.25" customHeight="1" x14ac:dyDescent="0.25">
      <c r="A1009" s="18" t="str">
        <f t="shared" ca="1" si="30"/>
        <v>ID_1384</v>
      </c>
      <c r="B1009" s="17">
        <v>45661</v>
      </c>
      <c r="C1009" s="18" t="str">
        <f>TEXT('Working Sheet'!$B1009,"mmm")</f>
        <v>Jan</v>
      </c>
      <c r="D1009" s="18" t="s">
        <v>18</v>
      </c>
      <c r="E1009" s="18" t="s">
        <v>32</v>
      </c>
      <c r="F1009" s="18" t="s">
        <v>13</v>
      </c>
      <c r="G1009" s="18" t="s">
        <v>20</v>
      </c>
      <c r="H1009" s="18" t="s">
        <v>34</v>
      </c>
      <c r="I1009" s="18" t="s">
        <v>16</v>
      </c>
      <c r="J1009" s="19">
        <v>320000</v>
      </c>
      <c r="K1009" s="18">
        <v>4</v>
      </c>
      <c r="L1009" s="18" t="s">
        <v>37</v>
      </c>
      <c r="M1009" s="20">
        <f t="shared" si="31"/>
        <v>256000</v>
      </c>
      <c r="N1009" s="20">
        <f>'Working Sheet'!$J1009*'Working Sheet'!$K1009</f>
        <v>1280000</v>
      </c>
      <c r="O1009" s="21">
        <f>'Working Sheet'!$M1009*'Working Sheet'!$K1009</f>
        <v>1024000</v>
      </c>
      <c r="P1009" s="20">
        <f>'Working Sheet'!$N1009-'Working Sheet'!$O1009</f>
        <v>256000</v>
      </c>
    </row>
    <row r="1010" spans="1:16" ht="14.25" customHeight="1" x14ac:dyDescent="0.25">
      <c r="A1010" s="23" t="str">
        <f t="shared" ca="1" si="30"/>
        <v>ID_332</v>
      </c>
      <c r="B1010" s="22">
        <v>45764</v>
      </c>
      <c r="C1010" s="23" t="str">
        <f>TEXT('Working Sheet'!$B1010,"mmm")</f>
        <v>Apr</v>
      </c>
      <c r="D1010" s="23" t="s">
        <v>29</v>
      </c>
      <c r="E1010" s="23" t="s">
        <v>19</v>
      </c>
      <c r="F1010" s="23" t="s">
        <v>13</v>
      </c>
      <c r="G1010" s="23" t="s">
        <v>14</v>
      </c>
      <c r="H1010" s="23" t="s">
        <v>27</v>
      </c>
      <c r="I1010" s="23" t="s">
        <v>22</v>
      </c>
      <c r="J1010" s="24">
        <v>60000</v>
      </c>
      <c r="K1010" s="23">
        <v>2</v>
      </c>
      <c r="L1010" s="23" t="s">
        <v>24</v>
      </c>
      <c r="M1010" s="25">
        <f t="shared" si="31"/>
        <v>48000</v>
      </c>
      <c r="N1010" s="25">
        <f>'Working Sheet'!$J1010*'Working Sheet'!$K1010</f>
        <v>120000</v>
      </c>
      <c r="O1010" s="26">
        <f>'Working Sheet'!$M1010*'Working Sheet'!$K1010</f>
        <v>96000</v>
      </c>
      <c r="P1010" s="25">
        <f>'Working Sheet'!$N1010-'Working Sheet'!$O1010</f>
        <v>24000</v>
      </c>
    </row>
    <row r="1011" spans="1:16" ht="14.25" customHeight="1" x14ac:dyDescent="0.25">
      <c r="A1011" s="18" t="str">
        <f t="shared" ca="1" si="30"/>
        <v>ID_1340</v>
      </c>
      <c r="B1011" s="17">
        <v>45772</v>
      </c>
      <c r="C1011" s="18" t="str">
        <f>TEXT('Working Sheet'!$B1011,"mmm")</f>
        <v>Apr</v>
      </c>
      <c r="D1011" s="18" t="s">
        <v>11</v>
      </c>
      <c r="E1011" s="18" t="s">
        <v>12</v>
      </c>
      <c r="F1011" s="18" t="s">
        <v>23</v>
      </c>
      <c r="G1011" s="18" t="s">
        <v>14</v>
      </c>
      <c r="H1011" s="18" t="s">
        <v>21</v>
      </c>
      <c r="I1011" s="18" t="s">
        <v>22</v>
      </c>
      <c r="J1011" s="19">
        <v>30000</v>
      </c>
      <c r="K1011" s="18">
        <v>7</v>
      </c>
      <c r="L1011" s="18" t="s">
        <v>35</v>
      </c>
      <c r="M1011" s="20">
        <f t="shared" si="31"/>
        <v>24000</v>
      </c>
      <c r="N1011" s="20">
        <f>'Working Sheet'!$J1011*'Working Sheet'!$K1011</f>
        <v>210000</v>
      </c>
      <c r="O1011" s="21">
        <f>'Working Sheet'!$M1011*'Working Sheet'!$K1011</f>
        <v>168000</v>
      </c>
      <c r="P1011" s="20">
        <f>'Working Sheet'!$N1011-'Working Sheet'!$O1011</f>
        <v>42000</v>
      </c>
    </row>
    <row r="1012" spans="1:16" ht="14.25" customHeight="1" x14ac:dyDescent="0.25">
      <c r="A1012" s="23" t="str">
        <f t="shared" ca="1" si="30"/>
        <v>ID_1926</v>
      </c>
      <c r="B1012" s="22">
        <v>45679</v>
      </c>
      <c r="C1012" s="23" t="str">
        <f>TEXT('Working Sheet'!$B1012,"mmm")</f>
        <v>Jan</v>
      </c>
      <c r="D1012" s="23" t="s">
        <v>18</v>
      </c>
      <c r="E1012" s="23" t="s">
        <v>12</v>
      </c>
      <c r="F1012" s="23" t="s">
        <v>13</v>
      </c>
      <c r="G1012" s="23" t="s">
        <v>20</v>
      </c>
      <c r="H1012" s="23" t="s">
        <v>40</v>
      </c>
      <c r="I1012" s="23" t="s">
        <v>31</v>
      </c>
      <c r="J1012" s="24">
        <v>250000</v>
      </c>
      <c r="K1012" s="23">
        <v>6</v>
      </c>
      <c r="L1012" s="23" t="s">
        <v>35</v>
      </c>
      <c r="M1012" s="25">
        <f t="shared" si="31"/>
        <v>200000</v>
      </c>
      <c r="N1012" s="25">
        <f>'Working Sheet'!$J1012*'Working Sheet'!$K1012</f>
        <v>1500000</v>
      </c>
      <c r="O1012" s="26">
        <f>'Working Sheet'!$M1012*'Working Sheet'!$K1012</f>
        <v>1200000</v>
      </c>
      <c r="P1012" s="25">
        <f>'Working Sheet'!$N1012-'Working Sheet'!$O1012</f>
        <v>300000</v>
      </c>
    </row>
    <row r="1013" spans="1:16" ht="14.25" customHeight="1" x14ac:dyDescent="0.25">
      <c r="A1013" s="18" t="str">
        <f t="shared" ca="1" si="30"/>
        <v>ID_1523</v>
      </c>
      <c r="B1013" s="17">
        <v>45717</v>
      </c>
      <c r="C1013" s="18" t="str">
        <f>TEXT('Working Sheet'!$B1013,"mmm")</f>
        <v>Mar</v>
      </c>
      <c r="D1013" s="18" t="s">
        <v>29</v>
      </c>
      <c r="E1013" s="18" t="s">
        <v>26</v>
      </c>
      <c r="F1013" s="18" t="s">
        <v>13</v>
      </c>
      <c r="G1013" s="18" t="s">
        <v>14</v>
      </c>
      <c r="H1013" s="18" t="s">
        <v>41</v>
      </c>
      <c r="I1013" s="18" t="s">
        <v>22</v>
      </c>
      <c r="J1013" s="19">
        <v>220000</v>
      </c>
      <c r="K1013" s="18">
        <v>9</v>
      </c>
      <c r="L1013" s="18" t="s">
        <v>17</v>
      </c>
      <c r="M1013" s="20">
        <f t="shared" si="31"/>
        <v>176000</v>
      </c>
      <c r="N1013" s="20">
        <f>'Working Sheet'!$J1013*'Working Sheet'!$K1013</f>
        <v>1980000</v>
      </c>
      <c r="O1013" s="21">
        <f>'Working Sheet'!$M1013*'Working Sheet'!$K1013</f>
        <v>1584000</v>
      </c>
      <c r="P1013" s="20">
        <f>'Working Sheet'!$N1013-'Working Sheet'!$O1013</f>
        <v>396000</v>
      </c>
    </row>
    <row r="1014" spans="1:16" ht="14.25" customHeight="1" x14ac:dyDescent="0.25">
      <c r="A1014" s="23" t="str">
        <f t="shared" ca="1" si="30"/>
        <v>ID_521</v>
      </c>
      <c r="B1014" s="22">
        <v>45688</v>
      </c>
      <c r="C1014" s="23" t="str">
        <f>TEXT('Working Sheet'!$B1014,"mmm")</f>
        <v>Jan</v>
      </c>
      <c r="D1014" s="23" t="s">
        <v>18</v>
      </c>
      <c r="E1014" s="23" t="s">
        <v>26</v>
      </c>
      <c r="F1014" s="23" t="s">
        <v>23</v>
      </c>
      <c r="G1014" s="23" t="s">
        <v>14</v>
      </c>
      <c r="H1014" s="23" t="s">
        <v>30</v>
      </c>
      <c r="I1014" s="23" t="s">
        <v>31</v>
      </c>
      <c r="J1014" s="24">
        <v>300000</v>
      </c>
      <c r="K1014" s="23">
        <v>2</v>
      </c>
      <c r="L1014" s="23" t="s">
        <v>24</v>
      </c>
      <c r="M1014" s="25">
        <f t="shared" si="31"/>
        <v>240000</v>
      </c>
      <c r="N1014" s="25">
        <f>'Working Sheet'!$J1014*'Working Sheet'!$K1014</f>
        <v>600000</v>
      </c>
      <c r="O1014" s="26">
        <f>'Working Sheet'!$M1014*'Working Sheet'!$K1014</f>
        <v>480000</v>
      </c>
      <c r="P1014" s="25">
        <f>'Working Sheet'!$N1014-'Working Sheet'!$O1014</f>
        <v>120000</v>
      </c>
    </row>
    <row r="1015" spans="1:16" ht="14.25" customHeight="1" x14ac:dyDescent="0.25">
      <c r="A1015" s="18" t="str">
        <f t="shared" ca="1" si="30"/>
        <v>ID_117</v>
      </c>
      <c r="B1015" s="17">
        <v>45730</v>
      </c>
      <c r="C1015" s="18" t="str">
        <f>TEXT('Working Sheet'!$B1015,"mmm")</f>
        <v>Mar</v>
      </c>
      <c r="D1015" s="18" t="s">
        <v>11</v>
      </c>
      <c r="E1015" s="18" t="s">
        <v>26</v>
      </c>
      <c r="F1015" s="18" t="s">
        <v>13</v>
      </c>
      <c r="G1015" s="18" t="s">
        <v>20</v>
      </c>
      <c r="H1015" s="18" t="s">
        <v>38</v>
      </c>
      <c r="I1015" s="18" t="s">
        <v>31</v>
      </c>
      <c r="J1015" s="19">
        <v>420000</v>
      </c>
      <c r="K1015" s="18">
        <v>2</v>
      </c>
      <c r="L1015" s="18" t="s">
        <v>24</v>
      </c>
      <c r="M1015" s="20">
        <f t="shared" si="31"/>
        <v>336000</v>
      </c>
      <c r="N1015" s="20">
        <f>'Working Sheet'!$J1015*'Working Sheet'!$K1015</f>
        <v>840000</v>
      </c>
      <c r="O1015" s="21">
        <f>'Working Sheet'!$M1015*'Working Sheet'!$K1015</f>
        <v>672000</v>
      </c>
      <c r="P1015" s="20">
        <f>'Working Sheet'!$N1015-'Working Sheet'!$O1015</f>
        <v>168000</v>
      </c>
    </row>
    <row r="1016" spans="1:16" ht="14.25" customHeight="1" x14ac:dyDescent="0.25">
      <c r="A1016" s="23" t="str">
        <f t="shared" ca="1" si="30"/>
        <v>ID_945</v>
      </c>
      <c r="B1016" s="22">
        <v>45719</v>
      </c>
      <c r="C1016" s="23" t="str">
        <f>TEXT('Working Sheet'!$B1016,"mmm")</f>
        <v>Mar</v>
      </c>
      <c r="D1016" s="23" t="s">
        <v>25</v>
      </c>
      <c r="E1016" s="23" t="s">
        <v>19</v>
      </c>
      <c r="F1016" s="23" t="s">
        <v>13</v>
      </c>
      <c r="G1016" s="23" t="s">
        <v>20</v>
      </c>
      <c r="H1016" s="23" t="s">
        <v>41</v>
      </c>
      <c r="I1016" s="23" t="s">
        <v>22</v>
      </c>
      <c r="J1016" s="24">
        <v>220000</v>
      </c>
      <c r="K1016" s="23">
        <v>3</v>
      </c>
      <c r="L1016" s="23" t="s">
        <v>35</v>
      </c>
      <c r="M1016" s="25">
        <f t="shared" si="31"/>
        <v>176000</v>
      </c>
      <c r="N1016" s="25">
        <f>'Working Sheet'!$J1016*'Working Sheet'!$K1016</f>
        <v>660000</v>
      </c>
      <c r="O1016" s="26">
        <f>'Working Sheet'!$M1016*'Working Sheet'!$K1016</f>
        <v>528000</v>
      </c>
      <c r="P1016" s="25">
        <f>'Working Sheet'!$N1016-'Working Sheet'!$O1016</f>
        <v>132000</v>
      </c>
    </row>
    <row r="1017" spans="1:16" ht="14.25" customHeight="1" x14ac:dyDescent="0.25">
      <c r="A1017" s="18" t="str">
        <f t="shared" ca="1" si="30"/>
        <v>ID_703</v>
      </c>
      <c r="B1017" s="17">
        <v>45742</v>
      </c>
      <c r="C1017" s="18" t="str">
        <f>TEXT('Working Sheet'!$B1017,"mmm")</f>
        <v>Mar</v>
      </c>
      <c r="D1017" s="18" t="s">
        <v>25</v>
      </c>
      <c r="E1017" s="18" t="s">
        <v>12</v>
      </c>
      <c r="F1017" s="18" t="s">
        <v>23</v>
      </c>
      <c r="G1017" s="18" t="s">
        <v>14</v>
      </c>
      <c r="H1017" s="18" t="s">
        <v>41</v>
      </c>
      <c r="I1017" s="18" t="s">
        <v>22</v>
      </c>
      <c r="J1017" s="19">
        <v>220000</v>
      </c>
      <c r="K1017" s="18">
        <v>10</v>
      </c>
      <c r="L1017" s="18" t="s">
        <v>35</v>
      </c>
      <c r="M1017" s="20">
        <f t="shared" si="31"/>
        <v>176000</v>
      </c>
      <c r="N1017" s="20">
        <f>'Working Sheet'!$J1017*'Working Sheet'!$K1017</f>
        <v>2200000</v>
      </c>
      <c r="O1017" s="21">
        <f>'Working Sheet'!$M1017*'Working Sheet'!$K1017</f>
        <v>1760000</v>
      </c>
      <c r="P1017" s="20">
        <f>'Working Sheet'!$N1017-'Working Sheet'!$O1017</f>
        <v>440000</v>
      </c>
    </row>
    <row r="1018" spans="1:16" ht="14.25" customHeight="1" x14ac:dyDescent="0.25">
      <c r="A1018" s="23" t="str">
        <f t="shared" ca="1" si="30"/>
        <v>ID_1294</v>
      </c>
      <c r="B1018" s="22">
        <v>45691</v>
      </c>
      <c r="C1018" s="23" t="str">
        <f>TEXT('Working Sheet'!$B1018,"mmm")</f>
        <v>Feb</v>
      </c>
      <c r="D1018" s="23" t="s">
        <v>25</v>
      </c>
      <c r="E1018" s="23" t="s">
        <v>32</v>
      </c>
      <c r="F1018" s="23" t="s">
        <v>23</v>
      </c>
      <c r="G1018" s="23" t="s">
        <v>20</v>
      </c>
      <c r="H1018" s="23" t="s">
        <v>40</v>
      </c>
      <c r="I1018" s="23" t="s">
        <v>31</v>
      </c>
      <c r="J1018" s="24">
        <v>250000</v>
      </c>
      <c r="K1018" s="23">
        <v>8</v>
      </c>
      <c r="L1018" s="23" t="s">
        <v>17</v>
      </c>
      <c r="M1018" s="25">
        <f t="shared" si="31"/>
        <v>200000</v>
      </c>
      <c r="N1018" s="25">
        <f>'Working Sheet'!$J1018*'Working Sheet'!$K1018</f>
        <v>2000000</v>
      </c>
      <c r="O1018" s="26">
        <f>'Working Sheet'!$M1018*'Working Sheet'!$K1018</f>
        <v>1600000</v>
      </c>
      <c r="P1018" s="25">
        <f>'Working Sheet'!$N1018-'Working Sheet'!$O1018</f>
        <v>400000</v>
      </c>
    </row>
    <row r="1019" spans="1:16" ht="14.25" customHeight="1" x14ac:dyDescent="0.25">
      <c r="A1019" s="18" t="str">
        <f t="shared" ca="1" si="30"/>
        <v>ID_1188</v>
      </c>
      <c r="B1019" s="17">
        <v>45708</v>
      </c>
      <c r="C1019" s="18" t="str">
        <f>TEXT('Working Sheet'!$B1019,"mmm")</f>
        <v>Feb</v>
      </c>
      <c r="D1019" s="18" t="s">
        <v>18</v>
      </c>
      <c r="E1019" s="18" t="s">
        <v>32</v>
      </c>
      <c r="F1019" s="18" t="s">
        <v>13</v>
      </c>
      <c r="G1019" s="18" t="s">
        <v>14</v>
      </c>
      <c r="H1019" s="18" t="s">
        <v>27</v>
      </c>
      <c r="I1019" s="18" t="s">
        <v>22</v>
      </c>
      <c r="J1019" s="19">
        <v>60000</v>
      </c>
      <c r="K1019" s="18">
        <v>6</v>
      </c>
      <c r="L1019" s="18" t="s">
        <v>28</v>
      </c>
      <c r="M1019" s="20">
        <f t="shared" si="31"/>
        <v>48000</v>
      </c>
      <c r="N1019" s="20">
        <f>'Working Sheet'!$J1019*'Working Sheet'!$K1019</f>
        <v>360000</v>
      </c>
      <c r="O1019" s="21">
        <f>'Working Sheet'!$M1019*'Working Sheet'!$K1019</f>
        <v>288000</v>
      </c>
      <c r="P1019" s="20">
        <f>'Working Sheet'!$N1019-'Working Sheet'!$O1019</f>
        <v>72000</v>
      </c>
    </row>
    <row r="1020" spans="1:16" ht="14.25" customHeight="1" x14ac:dyDescent="0.25">
      <c r="A1020" s="23" t="str">
        <f t="shared" ca="1" si="30"/>
        <v>ID_1751</v>
      </c>
      <c r="B1020" s="22">
        <v>45712</v>
      </c>
      <c r="C1020" s="23" t="str">
        <f>TEXT('Working Sheet'!$B1020,"mmm")</f>
        <v>Feb</v>
      </c>
      <c r="D1020" s="23" t="s">
        <v>18</v>
      </c>
      <c r="E1020" s="23" t="s">
        <v>19</v>
      </c>
      <c r="F1020" s="23" t="s">
        <v>13</v>
      </c>
      <c r="G1020" s="23" t="s">
        <v>14</v>
      </c>
      <c r="H1020" s="23" t="s">
        <v>34</v>
      </c>
      <c r="I1020" s="23" t="s">
        <v>16</v>
      </c>
      <c r="J1020" s="24">
        <v>320000</v>
      </c>
      <c r="K1020" s="23">
        <v>4</v>
      </c>
      <c r="L1020" s="23" t="s">
        <v>39</v>
      </c>
      <c r="M1020" s="25">
        <f t="shared" si="31"/>
        <v>256000</v>
      </c>
      <c r="N1020" s="25">
        <f>'Working Sheet'!$J1020*'Working Sheet'!$K1020</f>
        <v>1280000</v>
      </c>
      <c r="O1020" s="26">
        <f>'Working Sheet'!$M1020*'Working Sheet'!$K1020</f>
        <v>1024000</v>
      </c>
      <c r="P1020" s="25">
        <f>'Working Sheet'!$N1020-'Working Sheet'!$O1020</f>
        <v>256000</v>
      </c>
    </row>
    <row r="1021" spans="1:16" ht="14.25" customHeight="1" x14ac:dyDescent="0.25">
      <c r="A1021" s="18" t="str">
        <f t="shared" ca="1" si="30"/>
        <v>ID_220</v>
      </c>
      <c r="B1021" s="17">
        <v>45677</v>
      </c>
      <c r="C1021" s="18" t="str">
        <f>TEXT('Working Sheet'!$B1021,"mmm")</f>
        <v>Jan</v>
      </c>
      <c r="D1021" s="18" t="s">
        <v>18</v>
      </c>
      <c r="E1021" s="18" t="s">
        <v>12</v>
      </c>
      <c r="F1021" s="18" t="s">
        <v>13</v>
      </c>
      <c r="G1021" s="18" t="s">
        <v>20</v>
      </c>
      <c r="H1021" s="18" t="s">
        <v>33</v>
      </c>
      <c r="I1021" s="18" t="s">
        <v>22</v>
      </c>
      <c r="J1021" s="19">
        <v>180000</v>
      </c>
      <c r="K1021" s="18">
        <v>7</v>
      </c>
      <c r="L1021" s="18" t="s">
        <v>39</v>
      </c>
      <c r="M1021" s="20">
        <f t="shared" si="31"/>
        <v>144000</v>
      </c>
      <c r="N1021" s="20">
        <f>'Working Sheet'!$J1021*'Working Sheet'!$K1021</f>
        <v>1260000</v>
      </c>
      <c r="O1021" s="21">
        <f>'Working Sheet'!$M1021*'Working Sheet'!$K1021</f>
        <v>1008000</v>
      </c>
      <c r="P1021" s="20">
        <f>'Working Sheet'!$N1021-'Working Sheet'!$O1021</f>
        <v>252000</v>
      </c>
    </row>
    <row r="1022" spans="1:16" ht="14.25" customHeight="1" x14ac:dyDescent="0.25">
      <c r="A1022" s="23" t="str">
        <f t="shared" ca="1" si="30"/>
        <v>ID_724</v>
      </c>
      <c r="B1022" s="22">
        <v>45682</v>
      </c>
      <c r="C1022" s="23" t="str">
        <f>TEXT('Working Sheet'!$B1022,"mmm")</f>
        <v>Jan</v>
      </c>
      <c r="D1022" s="23" t="s">
        <v>18</v>
      </c>
      <c r="E1022" s="23" t="s">
        <v>12</v>
      </c>
      <c r="F1022" s="23" t="s">
        <v>13</v>
      </c>
      <c r="G1022" s="23" t="s">
        <v>14</v>
      </c>
      <c r="H1022" s="23" t="s">
        <v>27</v>
      </c>
      <c r="I1022" s="23" t="s">
        <v>22</v>
      </c>
      <c r="J1022" s="24">
        <v>60000</v>
      </c>
      <c r="K1022" s="23">
        <v>7</v>
      </c>
      <c r="L1022" s="23" t="s">
        <v>17</v>
      </c>
      <c r="M1022" s="25">
        <f t="shared" si="31"/>
        <v>48000</v>
      </c>
      <c r="N1022" s="25">
        <f>'Working Sheet'!$J1022*'Working Sheet'!$K1022</f>
        <v>420000</v>
      </c>
      <c r="O1022" s="26">
        <f>'Working Sheet'!$M1022*'Working Sheet'!$K1022</f>
        <v>336000</v>
      </c>
      <c r="P1022" s="25">
        <f>'Working Sheet'!$N1022-'Working Sheet'!$O1022</f>
        <v>84000</v>
      </c>
    </row>
    <row r="1023" spans="1:16" ht="14.25" customHeight="1" x14ac:dyDescent="0.25">
      <c r="A1023" s="18" t="str">
        <f t="shared" ca="1" si="30"/>
        <v>ID_413</v>
      </c>
      <c r="B1023" s="17">
        <v>45682</v>
      </c>
      <c r="C1023" s="18" t="str">
        <f>TEXT('Working Sheet'!$B1023,"mmm")</f>
        <v>Jan</v>
      </c>
      <c r="D1023" s="18" t="s">
        <v>25</v>
      </c>
      <c r="E1023" s="18" t="s">
        <v>32</v>
      </c>
      <c r="F1023" s="18" t="s">
        <v>13</v>
      </c>
      <c r="G1023" s="18" t="s">
        <v>14</v>
      </c>
      <c r="H1023" s="18" t="s">
        <v>33</v>
      </c>
      <c r="I1023" s="18" t="s">
        <v>22</v>
      </c>
      <c r="J1023" s="19">
        <v>180000</v>
      </c>
      <c r="K1023" s="18">
        <v>9</v>
      </c>
      <c r="L1023" s="18" t="s">
        <v>24</v>
      </c>
      <c r="M1023" s="20">
        <f t="shared" si="31"/>
        <v>144000</v>
      </c>
      <c r="N1023" s="20">
        <f>'Working Sheet'!$J1023*'Working Sheet'!$K1023</f>
        <v>1620000</v>
      </c>
      <c r="O1023" s="21">
        <f>'Working Sheet'!$M1023*'Working Sheet'!$K1023</f>
        <v>1296000</v>
      </c>
      <c r="P1023" s="20">
        <f>'Working Sheet'!$N1023-'Working Sheet'!$O1023</f>
        <v>324000</v>
      </c>
    </row>
    <row r="1024" spans="1:16" ht="14.25" customHeight="1" x14ac:dyDescent="0.25">
      <c r="A1024" s="23" t="str">
        <f t="shared" ca="1" si="30"/>
        <v>ID_680</v>
      </c>
      <c r="B1024" s="22">
        <v>45685</v>
      </c>
      <c r="C1024" s="23" t="str">
        <f>TEXT('Working Sheet'!$B1024,"mmm")</f>
        <v>Jan</v>
      </c>
      <c r="D1024" s="23" t="s">
        <v>29</v>
      </c>
      <c r="E1024" s="23" t="s">
        <v>12</v>
      </c>
      <c r="F1024" s="23" t="s">
        <v>23</v>
      </c>
      <c r="G1024" s="23" t="s">
        <v>14</v>
      </c>
      <c r="H1024" s="23" t="s">
        <v>21</v>
      </c>
      <c r="I1024" s="23" t="s">
        <v>22</v>
      </c>
      <c r="J1024" s="24">
        <v>30000</v>
      </c>
      <c r="K1024" s="23">
        <v>6</v>
      </c>
      <c r="L1024" s="23" t="s">
        <v>24</v>
      </c>
      <c r="M1024" s="25">
        <f t="shared" si="31"/>
        <v>24000</v>
      </c>
      <c r="N1024" s="25">
        <f>'Working Sheet'!$J1024*'Working Sheet'!$K1024</f>
        <v>180000</v>
      </c>
      <c r="O1024" s="26">
        <f>'Working Sheet'!$M1024*'Working Sheet'!$K1024</f>
        <v>144000</v>
      </c>
      <c r="P1024" s="25">
        <f>'Working Sheet'!$N1024-'Working Sheet'!$O1024</f>
        <v>36000</v>
      </c>
    </row>
    <row r="1025" spans="1:16" ht="14.25" customHeight="1" x14ac:dyDescent="0.25">
      <c r="A1025" s="18" t="str">
        <f t="shared" ca="1" si="30"/>
        <v>ID_30</v>
      </c>
      <c r="B1025" s="17">
        <v>45670</v>
      </c>
      <c r="C1025" s="18" t="str">
        <f>TEXT('Working Sheet'!$B1025,"mmm")</f>
        <v>Jan</v>
      </c>
      <c r="D1025" s="18" t="s">
        <v>25</v>
      </c>
      <c r="E1025" s="18" t="s">
        <v>19</v>
      </c>
      <c r="F1025" s="18" t="s">
        <v>13</v>
      </c>
      <c r="G1025" s="18" t="s">
        <v>14</v>
      </c>
      <c r="H1025" s="18" t="s">
        <v>30</v>
      </c>
      <c r="I1025" s="18" t="s">
        <v>31</v>
      </c>
      <c r="J1025" s="19">
        <v>300000</v>
      </c>
      <c r="K1025" s="18">
        <v>10</v>
      </c>
      <c r="L1025" s="18" t="s">
        <v>37</v>
      </c>
      <c r="M1025" s="20">
        <f t="shared" si="31"/>
        <v>240000</v>
      </c>
      <c r="N1025" s="20">
        <f>'Working Sheet'!$J1025*'Working Sheet'!$K1025</f>
        <v>3000000</v>
      </c>
      <c r="O1025" s="21">
        <f>'Working Sheet'!$M1025*'Working Sheet'!$K1025</f>
        <v>2400000</v>
      </c>
      <c r="P1025" s="20">
        <f>'Working Sheet'!$N1025-'Working Sheet'!$O1025</f>
        <v>600000</v>
      </c>
    </row>
    <row r="1026" spans="1:16" ht="14.25" customHeight="1" x14ac:dyDescent="0.25">
      <c r="A1026" s="23" t="str">
        <f t="shared" ref="A1026:A1089" ca="1" si="32">"ID_"&amp; RANDBETWEEN(1,2098)</f>
        <v>ID_1635</v>
      </c>
      <c r="B1026" s="22">
        <v>45670</v>
      </c>
      <c r="C1026" s="23" t="str">
        <f>TEXT('Working Sheet'!$B1026,"mmm")</f>
        <v>Jan</v>
      </c>
      <c r="D1026" s="23" t="s">
        <v>25</v>
      </c>
      <c r="E1026" s="23" t="s">
        <v>32</v>
      </c>
      <c r="F1026" s="23" t="s">
        <v>23</v>
      </c>
      <c r="G1026" s="23" t="s">
        <v>14</v>
      </c>
      <c r="H1026" s="23" t="s">
        <v>21</v>
      </c>
      <c r="I1026" s="23" t="s">
        <v>22</v>
      </c>
      <c r="J1026" s="24">
        <v>30000</v>
      </c>
      <c r="K1026" s="23">
        <v>2</v>
      </c>
      <c r="L1026" s="23" t="s">
        <v>28</v>
      </c>
      <c r="M1026" s="25">
        <f t="shared" ref="M1026:M1089" si="33">J1026-J1026*0.2</f>
        <v>24000</v>
      </c>
      <c r="N1026" s="25">
        <f>'Working Sheet'!$J1026*'Working Sheet'!$K1026</f>
        <v>60000</v>
      </c>
      <c r="O1026" s="26">
        <f>'Working Sheet'!$M1026*'Working Sheet'!$K1026</f>
        <v>48000</v>
      </c>
      <c r="P1026" s="25">
        <f>'Working Sheet'!$N1026-'Working Sheet'!$O1026</f>
        <v>12000</v>
      </c>
    </row>
    <row r="1027" spans="1:16" ht="14.25" customHeight="1" x14ac:dyDescent="0.25">
      <c r="A1027" s="18" t="str">
        <f t="shared" ca="1" si="32"/>
        <v>ID_1234</v>
      </c>
      <c r="B1027" s="17">
        <v>45723</v>
      </c>
      <c r="C1027" s="18" t="str">
        <f>TEXT('Working Sheet'!$B1027,"mmm")</f>
        <v>Mar</v>
      </c>
      <c r="D1027" s="18" t="s">
        <v>18</v>
      </c>
      <c r="E1027" s="18" t="s">
        <v>26</v>
      </c>
      <c r="F1027" s="18" t="s">
        <v>23</v>
      </c>
      <c r="G1027" s="18" t="s">
        <v>14</v>
      </c>
      <c r="H1027" s="18" t="s">
        <v>21</v>
      </c>
      <c r="I1027" s="18" t="s">
        <v>22</v>
      </c>
      <c r="J1027" s="19">
        <v>30000</v>
      </c>
      <c r="K1027" s="18">
        <v>8</v>
      </c>
      <c r="L1027" s="18" t="s">
        <v>39</v>
      </c>
      <c r="M1027" s="20">
        <f t="shared" si="33"/>
        <v>24000</v>
      </c>
      <c r="N1027" s="20">
        <f>'Working Sheet'!$J1027*'Working Sheet'!$K1027</f>
        <v>240000</v>
      </c>
      <c r="O1027" s="21">
        <f>'Working Sheet'!$M1027*'Working Sheet'!$K1027</f>
        <v>192000</v>
      </c>
      <c r="P1027" s="20">
        <f>'Working Sheet'!$N1027-'Working Sheet'!$O1027</f>
        <v>48000</v>
      </c>
    </row>
    <row r="1028" spans="1:16" ht="14.25" customHeight="1" x14ac:dyDescent="0.25">
      <c r="A1028" s="23" t="str">
        <f t="shared" ca="1" si="32"/>
        <v>ID_1751</v>
      </c>
      <c r="B1028" s="22">
        <v>45659</v>
      </c>
      <c r="C1028" s="23" t="str">
        <f>TEXT('Working Sheet'!$B1028,"mmm")</f>
        <v>Jan</v>
      </c>
      <c r="D1028" s="23" t="s">
        <v>25</v>
      </c>
      <c r="E1028" s="23" t="s">
        <v>26</v>
      </c>
      <c r="F1028" s="23" t="s">
        <v>23</v>
      </c>
      <c r="G1028" s="23" t="s">
        <v>20</v>
      </c>
      <c r="H1028" s="23" t="s">
        <v>21</v>
      </c>
      <c r="I1028" s="23" t="s">
        <v>22</v>
      </c>
      <c r="J1028" s="24">
        <v>30000</v>
      </c>
      <c r="K1028" s="23">
        <v>9</v>
      </c>
      <c r="L1028" s="23" t="s">
        <v>28</v>
      </c>
      <c r="M1028" s="25">
        <f t="shared" si="33"/>
        <v>24000</v>
      </c>
      <c r="N1028" s="25">
        <f>'Working Sheet'!$J1028*'Working Sheet'!$K1028</f>
        <v>270000</v>
      </c>
      <c r="O1028" s="26">
        <f>'Working Sheet'!$M1028*'Working Sheet'!$K1028</f>
        <v>216000</v>
      </c>
      <c r="P1028" s="25">
        <f>'Working Sheet'!$N1028-'Working Sheet'!$O1028</f>
        <v>54000</v>
      </c>
    </row>
    <row r="1029" spans="1:16" ht="14.25" customHeight="1" x14ac:dyDescent="0.25">
      <c r="A1029" s="18" t="str">
        <f t="shared" ca="1" si="32"/>
        <v>ID_2035</v>
      </c>
      <c r="B1029" s="17">
        <v>45744</v>
      </c>
      <c r="C1029" s="18" t="str">
        <f>TEXT('Working Sheet'!$B1029,"mmm")</f>
        <v>Mar</v>
      </c>
      <c r="D1029" s="18" t="s">
        <v>29</v>
      </c>
      <c r="E1029" s="18" t="s">
        <v>12</v>
      </c>
      <c r="F1029" s="18" t="s">
        <v>13</v>
      </c>
      <c r="G1029" s="18" t="s">
        <v>20</v>
      </c>
      <c r="H1029" s="18" t="s">
        <v>41</v>
      </c>
      <c r="I1029" s="18" t="s">
        <v>22</v>
      </c>
      <c r="J1029" s="19">
        <v>220000</v>
      </c>
      <c r="K1029" s="18">
        <v>2</v>
      </c>
      <c r="L1029" s="18" t="s">
        <v>39</v>
      </c>
      <c r="M1029" s="20">
        <f t="shared" si="33"/>
        <v>176000</v>
      </c>
      <c r="N1029" s="20">
        <f>'Working Sheet'!$J1029*'Working Sheet'!$K1029</f>
        <v>440000</v>
      </c>
      <c r="O1029" s="21">
        <f>'Working Sheet'!$M1029*'Working Sheet'!$K1029</f>
        <v>352000</v>
      </c>
      <c r="P1029" s="20">
        <f>'Working Sheet'!$N1029-'Working Sheet'!$O1029</f>
        <v>88000</v>
      </c>
    </row>
    <row r="1030" spans="1:16" ht="14.25" customHeight="1" x14ac:dyDescent="0.25">
      <c r="A1030" s="23" t="str">
        <f t="shared" ca="1" si="32"/>
        <v>ID_1351</v>
      </c>
      <c r="B1030" s="22">
        <v>45689</v>
      </c>
      <c r="C1030" s="23" t="str">
        <f>TEXT('Working Sheet'!$B1030,"mmm")</f>
        <v>Feb</v>
      </c>
      <c r="D1030" s="23" t="s">
        <v>25</v>
      </c>
      <c r="E1030" s="23" t="s">
        <v>26</v>
      </c>
      <c r="F1030" s="23" t="s">
        <v>13</v>
      </c>
      <c r="G1030" s="23" t="s">
        <v>20</v>
      </c>
      <c r="H1030" s="23" t="s">
        <v>41</v>
      </c>
      <c r="I1030" s="23" t="s">
        <v>22</v>
      </c>
      <c r="J1030" s="24">
        <v>220000</v>
      </c>
      <c r="K1030" s="23">
        <v>3</v>
      </c>
      <c r="L1030" s="23" t="s">
        <v>39</v>
      </c>
      <c r="M1030" s="25">
        <f t="shared" si="33"/>
        <v>176000</v>
      </c>
      <c r="N1030" s="25">
        <f>'Working Sheet'!$J1030*'Working Sheet'!$K1030</f>
        <v>660000</v>
      </c>
      <c r="O1030" s="26">
        <f>'Working Sheet'!$M1030*'Working Sheet'!$K1030</f>
        <v>528000</v>
      </c>
      <c r="P1030" s="25">
        <f>'Working Sheet'!$N1030-'Working Sheet'!$O1030</f>
        <v>132000</v>
      </c>
    </row>
    <row r="1031" spans="1:16" ht="14.25" customHeight="1" x14ac:dyDescent="0.25">
      <c r="A1031" s="18" t="str">
        <f t="shared" ca="1" si="32"/>
        <v>ID_1417</v>
      </c>
      <c r="B1031" s="17">
        <v>45772</v>
      </c>
      <c r="C1031" s="18" t="str">
        <f>TEXT('Working Sheet'!$B1031,"mmm")</f>
        <v>Apr</v>
      </c>
      <c r="D1031" s="18" t="s">
        <v>25</v>
      </c>
      <c r="E1031" s="18" t="s">
        <v>32</v>
      </c>
      <c r="F1031" s="18" t="s">
        <v>13</v>
      </c>
      <c r="G1031" s="18" t="s">
        <v>20</v>
      </c>
      <c r="H1031" s="18" t="s">
        <v>15</v>
      </c>
      <c r="I1031" s="18" t="s">
        <v>16</v>
      </c>
      <c r="J1031" s="19">
        <v>85000</v>
      </c>
      <c r="K1031" s="18">
        <v>3</v>
      </c>
      <c r="L1031" s="18" t="s">
        <v>24</v>
      </c>
      <c r="M1031" s="20">
        <f t="shared" si="33"/>
        <v>68000</v>
      </c>
      <c r="N1031" s="20">
        <f>'Working Sheet'!$J1031*'Working Sheet'!$K1031</f>
        <v>255000</v>
      </c>
      <c r="O1031" s="21">
        <f>'Working Sheet'!$M1031*'Working Sheet'!$K1031</f>
        <v>204000</v>
      </c>
      <c r="P1031" s="20">
        <f>'Working Sheet'!$N1031-'Working Sheet'!$O1031</f>
        <v>51000</v>
      </c>
    </row>
    <row r="1032" spans="1:16" ht="14.25" customHeight="1" x14ac:dyDescent="0.25">
      <c r="A1032" s="23" t="str">
        <f t="shared" ca="1" si="32"/>
        <v>ID_1808</v>
      </c>
      <c r="B1032" s="22">
        <v>45693</v>
      </c>
      <c r="C1032" s="23" t="str">
        <f>TEXT('Working Sheet'!$B1032,"mmm")</f>
        <v>Feb</v>
      </c>
      <c r="D1032" s="23" t="s">
        <v>11</v>
      </c>
      <c r="E1032" s="23" t="s">
        <v>19</v>
      </c>
      <c r="F1032" s="23" t="s">
        <v>23</v>
      </c>
      <c r="G1032" s="23" t="s">
        <v>14</v>
      </c>
      <c r="H1032" s="23" t="s">
        <v>27</v>
      </c>
      <c r="I1032" s="23" t="s">
        <v>22</v>
      </c>
      <c r="J1032" s="24">
        <v>60000</v>
      </c>
      <c r="K1032" s="23">
        <v>3</v>
      </c>
      <c r="L1032" s="23" t="s">
        <v>35</v>
      </c>
      <c r="M1032" s="25">
        <f t="shared" si="33"/>
        <v>48000</v>
      </c>
      <c r="N1032" s="25">
        <f>'Working Sheet'!$J1032*'Working Sheet'!$K1032</f>
        <v>180000</v>
      </c>
      <c r="O1032" s="26">
        <f>'Working Sheet'!$M1032*'Working Sheet'!$K1032</f>
        <v>144000</v>
      </c>
      <c r="P1032" s="25">
        <f>'Working Sheet'!$N1032-'Working Sheet'!$O1032</f>
        <v>36000</v>
      </c>
    </row>
    <row r="1033" spans="1:16" ht="14.25" customHeight="1" x14ac:dyDescent="0.25">
      <c r="A1033" s="18" t="str">
        <f t="shared" ca="1" si="32"/>
        <v>ID_1822</v>
      </c>
      <c r="B1033" s="17">
        <v>45772</v>
      </c>
      <c r="C1033" s="18" t="str">
        <f>TEXT('Working Sheet'!$B1033,"mmm")</f>
        <v>Apr</v>
      </c>
      <c r="D1033" s="18" t="s">
        <v>11</v>
      </c>
      <c r="E1033" s="18" t="s">
        <v>26</v>
      </c>
      <c r="F1033" s="18" t="s">
        <v>23</v>
      </c>
      <c r="G1033" s="18" t="s">
        <v>20</v>
      </c>
      <c r="H1033" s="18" t="s">
        <v>41</v>
      </c>
      <c r="I1033" s="18" t="s">
        <v>22</v>
      </c>
      <c r="J1033" s="19">
        <v>220000</v>
      </c>
      <c r="K1033" s="18">
        <v>3</v>
      </c>
      <c r="L1033" s="18" t="s">
        <v>39</v>
      </c>
      <c r="M1033" s="20">
        <f t="shared" si="33"/>
        <v>176000</v>
      </c>
      <c r="N1033" s="20">
        <f>'Working Sheet'!$J1033*'Working Sheet'!$K1033</f>
        <v>660000</v>
      </c>
      <c r="O1033" s="21">
        <f>'Working Sheet'!$M1033*'Working Sheet'!$K1033</f>
        <v>528000</v>
      </c>
      <c r="P1033" s="20">
        <f>'Working Sheet'!$N1033-'Working Sheet'!$O1033</f>
        <v>132000</v>
      </c>
    </row>
    <row r="1034" spans="1:16" ht="14.25" customHeight="1" x14ac:dyDescent="0.25">
      <c r="A1034" s="23" t="str">
        <f t="shared" ca="1" si="32"/>
        <v>ID_137</v>
      </c>
      <c r="B1034" s="22">
        <v>45728</v>
      </c>
      <c r="C1034" s="23" t="str">
        <f>TEXT('Working Sheet'!$B1034,"mmm")</f>
        <v>Mar</v>
      </c>
      <c r="D1034" s="23" t="s">
        <v>11</v>
      </c>
      <c r="E1034" s="23" t="s">
        <v>12</v>
      </c>
      <c r="F1034" s="23" t="s">
        <v>13</v>
      </c>
      <c r="G1034" s="23" t="s">
        <v>20</v>
      </c>
      <c r="H1034" s="23" t="s">
        <v>21</v>
      </c>
      <c r="I1034" s="23" t="s">
        <v>22</v>
      </c>
      <c r="J1034" s="24">
        <v>30000</v>
      </c>
      <c r="K1034" s="23">
        <v>1</v>
      </c>
      <c r="L1034" s="23" t="s">
        <v>17</v>
      </c>
      <c r="M1034" s="25">
        <f t="shared" si="33"/>
        <v>24000</v>
      </c>
      <c r="N1034" s="25">
        <f>'Working Sheet'!$J1034*'Working Sheet'!$K1034</f>
        <v>30000</v>
      </c>
      <c r="O1034" s="26">
        <f>'Working Sheet'!$M1034*'Working Sheet'!$K1034</f>
        <v>24000</v>
      </c>
      <c r="P1034" s="25">
        <f>'Working Sheet'!$N1034-'Working Sheet'!$O1034</f>
        <v>6000</v>
      </c>
    </row>
    <row r="1035" spans="1:16" ht="14.25" customHeight="1" x14ac:dyDescent="0.25">
      <c r="A1035" s="18" t="str">
        <f t="shared" ca="1" si="32"/>
        <v>ID_872</v>
      </c>
      <c r="B1035" s="17">
        <v>45692</v>
      </c>
      <c r="C1035" s="18" t="str">
        <f>TEXT('Working Sheet'!$B1035,"mmm")</f>
        <v>Feb</v>
      </c>
      <c r="D1035" s="18" t="s">
        <v>18</v>
      </c>
      <c r="E1035" s="18" t="s">
        <v>32</v>
      </c>
      <c r="F1035" s="18" t="s">
        <v>23</v>
      </c>
      <c r="G1035" s="18" t="s">
        <v>20</v>
      </c>
      <c r="H1035" s="18" t="s">
        <v>38</v>
      </c>
      <c r="I1035" s="18" t="s">
        <v>31</v>
      </c>
      <c r="J1035" s="19">
        <v>420000</v>
      </c>
      <c r="K1035" s="18">
        <v>1</v>
      </c>
      <c r="L1035" s="18" t="s">
        <v>39</v>
      </c>
      <c r="M1035" s="20">
        <f t="shared" si="33"/>
        <v>336000</v>
      </c>
      <c r="N1035" s="20">
        <f>'Working Sheet'!$J1035*'Working Sheet'!$K1035</f>
        <v>420000</v>
      </c>
      <c r="O1035" s="21">
        <f>'Working Sheet'!$M1035*'Working Sheet'!$K1035</f>
        <v>336000</v>
      </c>
      <c r="P1035" s="20">
        <f>'Working Sheet'!$N1035-'Working Sheet'!$O1035</f>
        <v>84000</v>
      </c>
    </row>
    <row r="1036" spans="1:16" ht="14.25" customHeight="1" x14ac:dyDescent="0.25">
      <c r="A1036" s="23" t="str">
        <f t="shared" ca="1" si="32"/>
        <v>ID_1022</v>
      </c>
      <c r="B1036" s="22">
        <v>45710</v>
      </c>
      <c r="C1036" s="23" t="str">
        <f>TEXT('Working Sheet'!$B1036,"mmm")</f>
        <v>Feb</v>
      </c>
      <c r="D1036" s="23" t="s">
        <v>11</v>
      </c>
      <c r="E1036" s="23" t="s">
        <v>19</v>
      </c>
      <c r="F1036" s="23" t="s">
        <v>13</v>
      </c>
      <c r="G1036" s="23" t="s">
        <v>20</v>
      </c>
      <c r="H1036" s="23" t="s">
        <v>41</v>
      </c>
      <c r="I1036" s="23" t="s">
        <v>22</v>
      </c>
      <c r="J1036" s="24">
        <v>220000</v>
      </c>
      <c r="K1036" s="23">
        <v>10</v>
      </c>
      <c r="L1036" s="23" t="s">
        <v>24</v>
      </c>
      <c r="M1036" s="25">
        <f t="shared" si="33"/>
        <v>176000</v>
      </c>
      <c r="N1036" s="25">
        <f>'Working Sheet'!$J1036*'Working Sheet'!$K1036</f>
        <v>2200000</v>
      </c>
      <c r="O1036" s="26">
        <f>'Working Sheet'!$M1036*'Working Sheet'!$K1036</f>
        <v>1760000</v>
      </c>
      <c r="P1036" s="25">
        <f>'Working Sheet'!$N1036-'Working Sheet'!$O1036</f>
        <v>440000</v>
      </c>
    </row>
    <row r="1037" spans="1:16" ht="14.25" customHeight="1" x14ac:dyDescent="0.25">
      <c r="A1037" s="18" t="str">
        <f t="shared" ca="1" si="32"/>
        <v>ID_543</v>
      </c>
      <c r="B1037" s="17">
        <v>45757</v>
      </c>
      <c r="C1037" s="18" t="str">
        <f>TEXT('Working Sheet'!$B1037,"mmm")</f>
        <v>Apr</v>
      </c>
      <c r="D1037" s="18" t="s">
        <v>25</v>
      </c>
      <c r="E1037" s="18" t="s">
        <v>26</v>
      </c>
      <c r="F1037" s="18" t="s">
        <v>23</v>
      </c>
      <c r="G1037" s="18" t="s">
        <v>20</v>
      </c>
      <c r="H1037" s="18" t="s">
        <v>33</v>
      </c>
      <c r="I1037" s="18" t="s">
        <v>22</v>
      </c>
      <c r="J1037" s="19">
        <v>180000</v>
      </c>
      <c r="K1037" s="18">
        <v>10</v>
      </c>
      <c r="L1037" s="18" t="s">
        <v>39</v>
      </c>
      <c r="M1037" s="20">
        <f t="shared" si="33"/>
        <v>144000</v>
      </c>
      <c r="N1037" s="20">
        <f>'Working Sheet'!$J1037*'Working Sheet'!$K1037</f>
        <v>1800000</v>
      </c>
      <c r="O1037" s="21">
        <f>'Working Sheet'!$M1037*'Working Sheet'!$K1037</f>
        <v>1440000</v>
      </c>
      <c r="P1037" s="20">
        <f>'Working Sheet'!$N1037-'Working Sheet'!$O1037</f>
        <v>360000</v>
      </c>
    </row>
    <row r="1038" spans="1:16" ht="14.25" customHeight="1" x14ac:dyDescent="0.25">
      <c r="A1038" s="23" t="str">
        <f t="shared" ca="1" si="32"/>
        <v>ID_1790</v>
      </c>
      <c r="B1038" s="22">
        <v>45762</v>
      </c>
      <c r="C1038" s="23" t="str">
        <f>TEXT('Working Sheet'!$B1038,"mmm")</f>
        <v>Apr</v>
      </c>
      <c r="D1038" s="23" t="s">
        <v>25</v>
      </c>
      <c r="E1038" s="23" t="s">
        <v>12</v>
      </c>
      <c r="F1038" s="23" t="s">
        <v>13</v>
      </c>
      <c r="G1038" s="23" t="s">
        <v>14</v>
      </c>
      <c r="H1038" s="23" t="s">
        <v>38</v>
      </c>
      <c r="I1038" s="23" t="s">
        <v>31</v>
      </c>
      <c r="J1038" s="24">
        <v>420000</v>
      </c>
      <c r="K1038" s="23">
        <v>3</v>
      </c>
      <c r="L1038" s="23" t="s">
        <v>37</v>
      </c>
      <c r="M1038" s="25">
        <f t="shared" si="33"/>
        <v>336000</v>
      </c>
      <c r="N1038" s="25">
        <f>'Working Sheet'!$J1038*'Working Sheet'!$K1038</f>
        <v>1260000</v>
      </c>
      <c r="O1038" s="26">
        <f>'Working Sheet'!$M1038*'Working Sheet'!$K1038</f>
        <v>1008000</v>
      </c>
      <c r="P1038" s="25">
        <f>'Working Sheet'!$N1038-'Working Sheet'!$O1038</f>
        <v>252000</v>
      </c>
    </row>
    <row r="1039" spans="1:16" ht="14.25" customHeight="1" x14ac:dyDescent="0.25">
      <c r="A1039" s="18" t="str">
        <f t="shared" ca="1" si="32"/>
        <v>ID_1006</v>
      </c>
      <c r="B1039" s="17">
        <v>45660</v>
      </c>
      <c r="C1039" s="18" t="str">
        <f>TEXT('Working Sheet'!$B1039,"mmm")</f>
        <v>Jan</v>
      </c>
      <c r="D1039" s="18" t="s">
        <v>11</v>
      </c>
      <c r="E1039" s="18" t="s">
        <v>32</v>
      </c>
      <c r="F1039" s="18" t="s">
        <v>23</v>
      </c>
      <c r="G1039" s="18" t="s">
        <v>14</v>
      </c>
      <c r="H1039" s="18" t="s">
        <v>15</v>
      </c>
      <c r="I1039" s="18" t="s">
        <v>16</v>
      </c>
      <c r="J1039" s="19">
        <v>85000</v>
      </c>
      <c r="K1039" s="18">
        <v>4</v>
      </c>
      <c r="L1039" s="18" t="s">
        <v>28</v>
      </c>
      <c r="M1039" s="20">
        <f t="shared" si="33"/>
        <v>68000</v>
      </c>
      <c r="N1039" s="20">
        <f>'Working Sheet'!$J1039*'Working Sheet'!$K1039</f>
        <v>340000</v>
      </c>
      <c r="O1039" s="21">
        <f>'Working Sheet'!$M1039*'Working Sheet'!$K1039</f>
        <v>272000</v>
      </c>
      <c r="P1039" s="20">
        <f>'Working Sheet'!$N1039-'Working Sheet'!$O1039</f>
        <v>68000</v>
      </c>
    </row>
    <row r="1040" spans="1:16" ht="14.25" customHeight="1" x14ac:dyDescent="0.25">
      <c r="A1040" s="23" t="str">
        <f t="shared" ca="1" si="32"/>
        <v>ID_1531</v>
      </c>
      <c r="B1040" s="22">
        <v>45756</v>
      </c>
      <c r="C1040" s="23" t="str">
        <f>TEXT('Working Sheet'!$B1040,"mmm")</f>
        <v>Apr</v>
      </c>
      <c r="D1040" s="23" t="s">
        <v>25</v>
      </c>
      <c r="E1040" s="23" t="s">
        <v>26</v>
      </c>
      <c r="F1040" s="23" t="s">
        <v>23</v>
      </c>
      <c r="G1040" s="23" t="s">
        <v>14</v>
      </c>
      <c r="H1040" s="23" t="s">
        <v>34</v>
      </c>
      <c r="I1040" s="23" t="s">
        <v>16</v>
      </c>
      <c r="J1040" s="24">
        <v>320000</v>
      </c>
      <c r="K1040" s="23">
        <v>4</v>
      </c>
      <c r="L1040" s="23" t="s">
        <v>35</v>
      </c>
      <c r="M1040" s="25">
        <f t="shared" si="33"/>
        <v>256000</v>
      </c>
      <c r="N1040" s="25">
        <f>'Working Sheet'!$J1040*'Working Sheet'!$K1040</f>
        <v>1280000</v>
      </c>
      <c r="O1040" s="26">
        <f>'Working Sheet'!$M1040*'Working Sheet'!$K1040</f>
        <v>1024000</v>
      </c>
      <c r="P1040" s="25">
        <f>'Working Sheet'!$N1040-'Working Sheet'!$O1040</f>
        <v>256000</v>
      </c>
    </row>
    <row r="1041" spans="1:16" ht="14.25" customHeight="1" x14ac:dyDescent="0.25">
      <c r="A1041" s="18" t="str">
        <f t="shared" ca="1" si="32"/>
        <v>ID_894</v>
      </c>
      <c r="B1041" s="17">
        <v>45665</v>
      </c>
      <c r="C1041" s="18" t="str">
        <f>TEXT('Working Sheet'!$B1041,"mmm")</f>
        <v>Jan</v>
      </c>
      <c r="D1041" s="18" t="s">
        <v>11</v>
      </c>
      <c r="E1041" s="18" t="s">
        <v>32</v>
      </c>
      <c r="F1041" s="18" t="s">
        <v>13</v>
      </c>
      <c r="G1041" s="18" t="s">
        <v>20</v>
      </c>
      <c r="H1041" s="18" t="s">
        <v>41</v>
      </c>
      <c r="I1041" s="18" t="s">
        <v>22</v>
      </c>
      <c r="J1041" s="19">
        <v>220000</v>
      </c>
      <c r="K1041" s="18">
        <v>1</v>
      </c>
      <c r="L1041" s="18" t="s">
        <v>37</v>
      </c>
      <c r="M1041" s="20">
        <f t="shared" si="33"/>
        <v>176000</v>
      </c>
      <c r="N1041" s="20">
        <f>'Working Sheet'!$J1041*'Working Sheet'!$K1041</f>
        <v>220000</v>
      </c>
      <c r="O1041" s="21">
        <f>'Working Sheet'!$M1041*'Working Sheet'!$K1041</f>
        <v>176000</v>
      </c>
      <c r="P1041" s="20">
        <f>'Working Sheet'!$N1041-'Working Sheet'!$O1041</f>
        <v>44000</v>
      </c>
    </row>
    <row r="1042" spans="1:16" ht="14.25" customHeight="1" x14ac:dyDescent="0.25">
      <c r="A1042" s="23" t="str">
        <f t="shared" ca="1" si="32"/>
        <v>ID_1419</v>
      </c>
      <c r="B1042" s="22">
        <v>45748</v>
      </c>
      <c r="C1042" s="23" t="str">
        <f>TEXT('Working Sheet'!$B1042,"mmm")</f>
        <v>Apr</v>
      </c>
      <c r="D1042" s="23" t="s">
        <v>25</v>
      </c>
      <c r="E1042" s="23" t="s">
        <v>19</v>
      </c>
      <c r="F1042" s="23" t="s">
        <v>23</v>
      </c>
      <c r="G1042" s="23" t="s">
        <v>20</v>
      </c>
      <c r="H1042" s="23" t="s">
        <v>15</v>
      </c>
      <c r="I1042" s="23" t="s">
        <v>16</v>
      </c>
      <c r="J1042" s="24">
        <v>85000</v>
      </c>
      <c r="K1042" s="23">
        <v>1</v>
      </c>
      <c r="L1042" s="23" t="s">
        <v>24</v>
      </c>
      <c r="M1042" s="25">
        <f t="shared" si="33"/>
        <v>68000</v>
      </c>
      <c r="N1042" s="25">
        <f>'Working Sheet'!$J1042*'Working Sheet'!$K1042</f>
        <v>85000</v>
      </c>
      <c r="O1042" s="26">
        <f>'Working Sheet'!$M1042*'Working Sheet'!$K1042</f>
        <v>68000</v>
      </c>
      <c r="P1042" s="25">
        <f>'Working Sheet'!$N1042-'Working Sheet'!$O1042</f>
        <v>17000</v>
      </c>
    </row>
    <row r="1043" spans="1:16" ht="14.25" customHeight="1" x14ac:dyDescent="0.25">
      <c r="A1043" s="18" t="str">
        <f t="shared" ca="1" si="32"/>
        <v>ID_439</v>
      </c>
      <c r="B1043" s="17">
        <v>45667</v>
      </c>
      <c r="C1043" s="18" t="str">
        <f>TEXT('Working Sheet'!$B1043,"mmm")</f>
        <v>Jan</v>
      </c>
      <c r="D1043" s="18" t="s">
        <v>11</v>
      </c>
      <c r="E1043" s="18" t="s">
        <v>32</v>
      </c>
      <c r="F1043" s="18" t="s">
        <v>13</v>
      </c>
      <c r="G1043" s="18" t="s">
        <v>14</v>
      </c>
      <c r="H1043" s="18" t="s">
        <v>36</v>
      </c>
      <c r="I1043" s="18" t="s">
        <v>31</v>
      </c>
      <c r="J1043" s="19">
        <v>150000</v>
      </c>
      <c r="K1043" s="18">
        <v>8</v>
      </c>
      <c r="L1043" s="18" t="s">
        <v>39</v>
      </c>
      <c r="M1043" s="20">
        <f t="shared" si="33"/>
        <v>120000</v>
      </c>
      <c r="N1043" s="20">
        <f>'Working Sheet'!$J1043*'Working Sheet'!$K1043</f>
        <v>1200000</v>
      </c>
      <c r="O1043" s="21">
        <f>'Working Sheet'!$M1043*'Working Sheet'!$K1043</f>
        <v>960000</v>
      </c>
      <c r="P1043" s="20">
        <f>'Working Sheet'!$N1043-'Working Sheet'!$O1043</f>
        <v>240000</v>
      </c>
    </row>
    <row r="1044" spans="1:16" ht="14.25" customHeight="1" x14ac:dyDescent="0.25">
      <c r="A1044" s="23" t="str">
        <f t="shared" ca="1" si="32"/>
        <v>ID_2055</v>
      </c>
      <c r="B1044" s="22">
        <v>45668</v>
      </c>
      <c r="C1044" s="23" t="str">
        <f>TEXT('Working Sheet'!$B1044,"mmm")</f>
        <v>Jan</v>
      </c>
      <c r="D1044" s="23" t="s">
        <v>29</v>
      </c>
      <c r="E1044" s="23" t="s">
        <v>19</v>
      </c>
      <c r="F1044" s="23" t="s">
        <v>23</v>
      </c>
      <c r="G1044" s="23" t="s">
        <v>14</v>
      </c>
      <c r="H1044" s="23" t="s">
        <v>36</v>
      </c>
      <c r="I1044" s="23" t="s">
        <v>31</v>
      </c>
      <c r="J1044" s="24">
        <v>150000</v>
      </c>
      <c r="K1044" s="23">
        <v>9</v>
      </c>
      <c r="L1044" s="23" t="s">
        <v>17</v>
      </c>
      <c r="M1044" s="25">
        <f t="shared" si="33"/>
        <v>120000</v>
      </c>
      <c r="N1044" s="25">
        <f>'Working Sheet'!$J1044*'Working Sheet'!$K1044</f>
        <v>1350000</v>
      </c>
      <c r="O1044" s="26">
        <f>'Working Sheet'!$M1044*'Working Sheet'!$K1044</f>
        <v>1080000</v>
      </c>
      <c r="P1044" s="25">
        <f>'Working Sheet'!$N1044-'Working Sheet'!$O1044</f>
        <v>270000</v>
      </c>
    </row>
    <row r="1045" spans="1:16" ht="14.25" customHeight="1" x14ac:dyDescent="0.25">
      <c r="A1045" s="18" t="str">
        <f t="shared" ca="1" si="32"/>
        <v>ID_1308</v>
      </c>
      <c r="B1045" s="17">
        <v>45773</v>
      </c>
      <c r="C1045" s="18" t="str">
        <f>TEXT('Working Sheet'!$B1045,"mmm")</f>
        <v>Apr</v>
      </c>
      <c r="D1045" s="18" t="s">
        <v>11</v>
      </c>
      <c r="E1045" s="18" t="s">
        <v>19</v>
      </c>
      <c r="F1045" s="18" t="s">
        <v>23</v>
      </c>
      <c r="G1045" s="18" t="s">
        <v>14</v>
      </c>
      <c r="H1045" s="18" t="s">
        <v>30</v>
      </c>
      <c r="I1045" s="18" t="s">
        <v>31</v>
      </c>
      <c r="J1045" s="19">
        <v>300000</v>
      </c>
      <c r="K1045" s="18">
        <v>3</v>
      </c>
      <c r="L1045" s="18" t="s">
        <v>17</v>
      </c>
      <c r="M1045" s="20">
        <f t="shared" si="33"/>
        <v>240000</v>
      </c>
      <c r="N1045" s="20">
        <f>'Working Sheet'!$J1045*'Working Sheet'!$K1045</f>
        <v>900000</v>
      </c>
      <c r="O1045" s="21">
        <f>'Working Sheet'!$M1045*'Working Sheet'!$K1045</f>
        <v>720000</v>
      </c>
      <c r="P1045" s="20">
        <f>'Working Sheet'!$N1045-'Working Sheet'!$O1045</f>
        <v>180000</v>
      </c>
    </row>
    <row r="1046" spans="1:16" ht="14.25" customHeight="1" x14ac:dyDescent="0.25">
      <c r="A1046" s="23" t="str">
        <f t="shared" ca="1" si="32"/>
        <v>ID_855</v>
      </c>
      <c r="B1046" s="22">
        <v>45750</v>
      </c>
      <c r="C1046" s="23" t="str">
        <f>TEXT('Working Sheet'!$B1046,"mmm")</f>
        <v>Apr</v>
      </c>
      <c r="D1046" s="23" t="s">
        <v>29</v>
      </c>
      <c r="E1046" s="23" t="s">
        <v>32</v>
      </c>
      <c r="F1046" s="23" t="s">
        <v>23</v>
      </c>
      <c r="G1046" s="23" t="s">
        <v>14</v>
      </c>
      <c r="H1046" s="23" t="s">
        <v>36</v>
      </c>
      <c r="I1046" s="23" t="s">
        <v>31</v>
      </c>
      <c r="J1046" s="24">
        <v>150000</v>
      </c>
      <c r="K1046" s="23">
        <v>10</v>
      </c>
      <c r="L1046" s="23" t="s">
        <v>35</v>
      </c>
      <c r="M1046" s="25">
        <f t="shared" si="33"/>
        <v>120000</v>
      </c>
      <c r="N1046" s="25">
        <f>'Working Sheet'!$J1046*'Working Sheet'!$K1046</f>
        <v>1500000</v>
      </c>
      <c r="O1046" s="26">
        <f>'Working Sheet'!$M1046*'Working Sheet'!$K1046</f>
        <v>1200000</v>
      </c>
      <c r="P1046" s="25">
        <f>'Working Sheet'!$N1046-'Working Sheet'!$O1046</f>
        <v>300000</v>
      </c>
    </row>
    <row r="1047" spans="1:16" ht="14.25" customHeight="1" x14ac:dyDescent="0.25">
      <c r="A1047" s="18" t="str">
        <f t="shared" ca="1" si="32"/>
        <v>ID_1706</v>
      </c>
      <c r="B1047" s="17">
        <v>45772</v>
      </c>
      <c r="C1047" s="18" t="str">
        <f>TEXT('Working Sheet'!$B1047,"mmm")</f>
        <v>Apr</v>
      </c>
      <c r="D1047" s="18" t="s">
        <v>11</v>
      </c>
      <c r="E1047" s="18" t="s">
        <v>32</v>
      </c>
      <c r="F1047" s="18" t="s">
        <v>13</v>
      </c>
      <c r="G1047" s="18" t="s">
        <v>20</v>
      </c>
      <c r="H1047" s="18" t="s">
        <v>15</v>
      </c>
      <c r="I1047" s="18" t="s">
        <v>16</v>
      </c>
      <c r="J1047" s="19">
        <v>85000</v>
      </c>
      <c r="K1047" s="18">
        <v>2</v>
      </c>
      <c r="L1047" s="18" t="s">
        <v>35</v>
      </c>
      <c r="M1047" s="20">
        <f t="shared" si="33"/>
        <v>68000</v>
      </c>
      <c r="N1047" s="20">
        <f>'Working Sheet'!$J1047*'Working Sheet'!$K1047</f>
        <v>170000</v>
      </c>
      <c r="O1047" s="21">
        <f>'Working Sheet'!$M1047*'Working Sheet'!$K1047</f>
        <v>136000</v>
      </c>
      <c r="P1047" s="20">
        <f>'Working Sheet'!$N1047-'Working Sheet'!$O1047</f>
        <v>34000</v>
      </c>
    </row>
    <row r="1048" spans="1:16" ht="14.25" customHeight="1" x14ac:dyDescent="0.25">
      <c r="A1048" s="23" t="str">
        <f t="shared" ca="1" si="32"/>
        <v>ID_911</v>
      </c>
      <c r="B1048" s="22">
        <v>45666</v>
      </c>
      <c r="C1048" s="23" t="str">
        <f>TEXT('Working Sheet'!$B1048,"mmm")</f>
        <v>Jan</v>
      </c>
      <c r="D1048" s="23" t="s">
        <v>18</v>
      </c>
      <c r="E1048" s="23" t="s">
        <v>12</v>
      </c>
      <c r="F1048" s="23" t="s">
        <v>23</v>
      </c>
      <c r="G1048" s="23" t="s">
        <v>20</v>
      </c>
      <c r="H1048" s="23" t="s">
        <v>38</v>
      </c>
      <c r="I1048" s="23" t="s">
        <v>31</v>
      </c>
      <c r="J1048" s="24">
        <v>420000</v>
      </c>
      <c r="K1048" s="23">
        <v>9</v>
      </c>
      <c r="L1048" s="23" t="s">
        <v>24</v>
      </c>
      <c r="M1048" s="25">
        <f t="shared" si="33"/>
        <v>336000</v>
      </c>
      <c r="N1048" s="25">
        <f>'Working Sheet'!$J1048*'Working Sheet'!$K1048</f>
        <v>3780000</v>
      </c>
      <c r="O1048" s="26">
        <f>'Working Sheet'!$M1048*'Working Sheet'!$K1048</f>
        <v>3024000</v>
      </c>
      <c r="P1048" s="25">
        <f>'Working Sheet'!$N1048-'Working Sheet'!$O1048</f>
        <v>756000</v>
      </c>
    </row>
    <row r="1049" spans="1:16" ht="14.25" customHeight="1" x14ac:dyDescent="0.25">
      <c r="A1049" s="18" t="str">
        <f t="shared" ca="1" si="32"/>
        <v>ID_676</v>
      </c>
      <c r="B1049" s="17">
        <v>45666</v>
      </c>
      <c r="C1049" s="18" t="str">
        <f>TEXT('Working Sheet'!$B1049,"mmm")</f>
        <v>Jan</v>
      </c>
      <c r="D1049" s="18" t="s">
        <v>11</v>
      </c>
      <c r="E1049" s="18" t="s">
        <v>19</v>
      </c>
      <c r="F1049" s="18" t="s">
        <v>23</v>
      </c>
      <c r="G1049" s="18" t="s">
        <v>14</v>
      </c>
      <c r="H1049" s="18" t="s">
        <v>30</v>
      </c>
      <c r="I1049" s="18" t="s">
        <v>31</v>
      </c>
      <c r="J1049" s="19">
        <v>300000</v>
      </c>
      <c r="K1049" s="18">
        <v>2</v>
      </c>
      <c r="L1049" s="18" t="s">
        <v>39</v>
      </c>
      <c r="M1049" s="20">
        <f t="shared" si="33"/>
        <v>240000</v>
      </c>
      <c r="N1049" s="20">
        <f>'Working Sheet'!$J1049*'Working Sheet'!$K1049</f>
        <v>600000</v>
      </c>
      <c r="O1049" s="21">
        <f>'Working Sheet'!$M1049*'Working Sheet'!$K1049</f>
        <v>480000</v>
      </c>
      <c r="P1049" s="20">
        <f>'Working Sheet'!$N1049-'Working Sheet'!$O1049</f>
        <v>120000</v>
      </c>
    </row>
    <row r="1050" spans="1:16" ht="14.25" customHeight="1" x14ac:dyDescent="0.25">
      <c r="A1050" s="23" t="str">
        <f t="shared" ca="1" si="32"/>
        <v>ID_482</v>
      </c>
      <c r="B1050" s="22">
        <v>45752</v>
      </c>
      <c r="C1050" s="23" t="str">
        <f>TEXT('Working Sheet'!$B1050,"mmm")</f>
        <v>Apr</v>
      </c>
      <c r="D1050" s="23" t="s">
        <v>18</v>
      </c>
      <c r="E1050" s="23" t="s">
        <v>26</v>
      </c>
      <c r="F1050" s="23" t="s">
        <v>23</v>
      </c>
      <c r="G1050" s="23" t="s">
        <v>14</v>
      </c>
      <c r="H1050" s="23" t="s">
        <v>36</v>
      </c>
      <c r="I1050" s="23" t="s">
        <v>31</v>
      </c>
      <c r="J1050" s="24">
        <v>150000</v>
      </c>
      <c r="K1050" s="23">
        <v>4</v>
      </c>
      <c r="L1050" s="23" t="s">
        <v>37</v>
      </c>
      <c r="M1050" s="25">
        <f t="shared" si="33"/>
        <v>120000</v>
      </c>
      <c r="N1050" s="25">
        <f>'Working Sheet'!$J1050*'Working Sheet'!$K1050</f>
        <v>600000</v>
      </c>
      <c r="O1050" s="26">
        <f>'Working Sheet'!$M1050*'Working Sheet'!$K1050</f>
        <v>480000</v>
      </c>
      <c r="P1050" s="25">
        <f>'Working Sheet'!$N1050-'Working Sheet'!$O1050</f>
        <v>120000</v>
      </c>
    </row>
    <row r="1051" spans="1:16" ht="14.25" customHeight="1" x14ac:dyDescent="0.25">
      <c r="A1051" s="18" t="str">
        <f t="shared" ca="1" si="32"/>
        <v>ID_1751</v>
      </c>
      <c r="B1051" s="17">
        <v>45758</v>
      </c>
      <c r="C1051" s="18" t="str">
        <f>TEXT('Working Sheet'!$B1051,"mmm")</f>
        <v>Apr</v>
      </c>
      <c r="D1051" s="18" t="s">
        <v>18</v>
      </c>
      <c r="E1051" s="18" t="s">
        <v>19</v>
      </c>
      <c r="F1051" s="18" t="s">
        <v>13</v>
      </c>
      <c r="G1051" s="18" t="s">
        <v>14</v>
      </c>
      <c r="H1051" s="18" t="s">
        <v>38</v>
      </c>
      <c r="I1051" s="18" t="s">
        <v>31</v>
      </c>
      <c r="J1051" s="19">
        <v>420000</v>
      </c>
      <c r="K1051" s="18">
        <v>9</v>
      </c>
      <c r="L1051" s="18" t="s">
        <v>24</v>
      </c>
      <c r="M1051" s="20">
        <f t="shared" si="33"/>
        <v>336000</v>
      </c>
      <c r="N1051" s="20">
        <f>'Working Sheet'!$J1051*'Working Sheet'!$K1051</f>
        <v>3780000</v>
      </c>
      <c r="O1051" s="21">
        <f>'Working Sheet'!$M1051*'Working Sheet'!$K1051</f>
        <v>3024000</v>
      </c>
      <c r="P1051" s="20">
        <f>'Working Sheet'!$N1051-'Working Sheet'!$O1051</f>
        <v>756000</v>
      </c>
    </row>
    <row r="1052" spans="1:16" ht="14.25" customHeight="1" x14ac:dyDescent="0.25">
      <c r="A1052" s="23" t="str">
        <f t="shared" ca="1" si="32"/>
        <v>ID_303</v>
      </c>
      <c r="B1052" s="22">
        <v>45687</v>
      </c>
      <c r="C1052" s="23" t="str">
        <f>TEXT('Working Sheet'!$B1052,"mmm")</f>
        <v>Jan</v>
      </c>
      <c r="D1052" s="23" t="s">
        <v>29</v>
      </c>
      <c r="E1052" s="23" t="s">
        <v>26</v>
      </c>
      <c r="F1052" s="23" t="s">
        <v>13</v>
      </c>
      <c r="G1052" s="23" t="s">
        <v>20</v>
      </c>
      <c r="H1052" s="23" t="s">
        <v>40</v>
      </c>
      <c r="I1052" s="23" t="s">
        <v>31</v>
      </c>
      <c r="J1052" s="24">
        <v>250000</v>
      </c>
      <c r="K1052" s="23">
        <v>5</v>
      </c>
      <c r="L1052" s="23" t="s">
        <v>24</v>
      </c>
      <c r="M1052" s="25">
        <f t="shared" si="33"/>
        <v>200000</v>
      </c>
      <c r="N1052" s="25">
        <f>'Working Sheet'!$J1052*'Working Sheet'!$K1052</f>
        <v>1250000</v>
      </c>
      <c r="O1052" s="26">
        <f>'Working Sheet'!$M1052*'Working Sheet'!$K1052</f>
        <v>1000000</v>
      </c>
      <c r="P1052" s="25">
        <f>'Working Sheet'!$N1052-'Working Sheet'!$O1052</f>
        <v>250000</v>
      </c>
    </row>
    <row r="1053" spans="1:16" ht="14.25" customHeight="1" x14ac:dyDescent="0.25">
      <c r="A1053" s="18" t="str">
        <f t="shared" ca="1" si="32"/>
        <v>ID_238</v>
      </c>
      <c r="B1053" s="17">
        <v>45659</v>
      </c>
      <c r="C1053" s="18" t="str">
        <f>TEXT('Working Sheet'!$B1053,"mmm")</f>
        <v>Jan</v>
      </c>
      <c r="D1053" s="18" t="s">
        <v>29</v>
      </c>
      <c r="E1053" s="18" t="s">
        <v>32</v>
      </c>
      <c r="F1053" s="18" t="s">
        <v>23</v>
      </c>
      <c r="G1053" s="18" t="s">
        <v>14</v>
      </c>
      <c r="H1053" s="18" t="s">
        <v>21</v>
      </c>
      <c r="I1053" s="18" t="s">
        <v>22</v>
      </c>
      <c r="J1053" s="19">
        <v>30000</v>
      </c>
      <c r="K1053" s="18">
        <v>10</v>
      </c>
      <c r="L1053" s="18" t="s">
        <v>37</v>
      </c>
      <c r="M1053" s="20">
        <f t="shared" si="33"/>
        <v>24000</v>
      </c>
      <c r="N1053" s="20">
        <f>'Working Sheet'!$J1053*'Working Sheet'!$K1053</f>
        <v>300000</v>
      </c>
      <c r="O1053" s="21">
        <f>'Working Sheet'!$M1053*'Working Sheet'!$K1053</f>
        <v>240000</v>
      </c>
      <c r="P1053" s="20">
        <f>'Working Sheet'!$N1053-'Working Sheet'!$O1053</f>
        <v>60000</v>
      </c>
    </row>
    <row r="1054" spans="1:16" ht="14.25" customHeight="1" x14ac:dyDescent="0.25">
      <c r="A1054" s="23" t="str">
        <f t="shared" ca="1" si="32"/>
        <v>ID_532</v>
      </c>
      <c r="B1054" s="22">
        <v>45778</v>
      </c>
      <c r="C1054" s="23" t="str">
        <f>TEXT('Working Sheet'!$B1054,"mmm")</f>
        <v>May</v>
      </c>
      <c r="D1054" s="23" t="s">
        <v>25</v>
      </c>
      <c r="E1054" s="23" t="s">
        <v>26</v>
      </c>
      <c r="F1054" s="23" t="s">
        <v>13</v>
      </c>
      <c r="G1054" s="23" t="s">
        <v>20</v>
      </c>
      <c r="H1054" s="23" t="s">
        <v>38</v>
      </c>
      <c r="I1054" s="23" t="s">
        <v>31</v>
      </c>
      <c r="J1054" s="24">
        <v>420000</v>
      </c>
      <c r="K1054" s="23">
        <v>3</v>
      </c>
      <c r="L1054" s="23" t="s">
        <v>17</v>
      </c>
      <c r="M1054" s="25">
        <f t="shared" si="33"/>
        <v>336000</v>
      </c>
      <c r="N1054" s="25">
        <f>'Working Sheet'!$J1054*'Working Sheet'!$K1054</f>
        <v>1260000</v>
      </c>
      <c r="O1054" s="26">
        <f>'Working Sheet'!$M1054*'Working Sheet'!$K1054</f>
        <v>1008000</v>
      </c>
      <c r="P1054" s="25">
        <f>'Working Sheet'!$N1054-'Working Sheet'!$O1054</f>
        <v>252000</v>
      </c>
    </row>
    <row r="1055" spans="1:16" ht="14.25" customHeight="1" x14ac:dyDescent="0.25">
      <c r="A1055" s="18" t="str">
        <f t="shared" ca="1" si="32"/>
        <v>ID_763</v>
      </c>
      <c r="B1055" s="17">
        <v>45715</v>
      </c>
      <c r="C1055" s="18" t="str">
        <f>TEXT('Working Sheet'!$B1055,"mmm")</f>
        <v>Feb</v>
      </c>
      <c r="D1055" s="18" t="s">
        <v>25</v>
      </c>
      <c r="E1055" s="18" t="s">
        <v>32</v>
      </c>
      <c r="F1055" s="18" t="s">
        <v>13</v>
      </c>
      <c r="G1055" s="18" t="s">
        <v>14</v>
      </c>
      <c r="H1055" s="18" t="s">
        <v>34</v>
      </c>
      <c r="I1055" s="18" t="s">
        <v>16</v>
      </c>
      <c r="J1055" s="19">
        <v>320000</v>
      </c>
      <c r="K1055" s="18">
        <v>8</v>
      </c>
      <c r="L1055" s="18" t="s">
        <v>37</v>
      </c>
      <c r="M1055" s="20">
        <f t="shared" si="33"/>
        <v>256000</v>
      </c>
      <c r="N1055" s="20">
        <f>'Working Sheet'!$J1055*'Working Sheet'!$K1055</f>
        <v>2560000</v>
      </c>
      <c r="O1055" s="21">
        <f>'Working Sheet'!$M1055*'Working Sheet'!$K1055</f>
        <v>2048000</v>
      </c>
      <c r="P1055" s="20">
        <f>'Working Sheet'!$N1055-'Working Sheet'!$O1055</f>
        <v>512000</v>
      </c>
    </row>
    <row r="1056" spans="1:16" ht="14.25" customHeight="1" x14ac:dyDescent="0.25">
      <c r="A1056" s="23" t="str">
        <f t="shared" ca="1" si="32"/>
        <v>ID_903</v>
      </c>
      <c r="B1056" s="22">
        <v>45698</v>
      </c>
      <c r="C1056" s="23" t="str">
        <f>TEXT('Working Sheet'!$B1056,"mmm")</f>
        <v>Feb</v>
      </c>
      <c r="D1056" s="23" t="s">
        <v>29</v>
      </c>
      <c r="E1056" s="23" t="s">
        <v>19</v>
      </c>
      <c r="F1056" s="23" t="s">
        <v>23</v>
      </c>
      <c r="G1056" s="23" t="s">
        <v>14</v>
      </c>
      <c r="H1056" s="23" t="s">
        <v>38</v>
      </c>
      <c r="I1056" s="23" t="s">
        <v>31</v>
      </c>
      <c r="J1056" s="24">
        <v>420000</v>
      </c>
      <c r="K1056" s="23">
        <v>8</v>
      </c>
      <c r="L1056" s="23" t="s">
        <v>37</v>
      </c>
      <c r="M1056" s="25">
        <f t="shared" si="33"/>
        <v>336000</v>
      </c>
      <c r="N1056" s="25">
        <f>'Working Sheet'!$J1056*'Working Sheet'!$K1056</f>
        <v>3360000</v>
      </c>
      <c r="O1056" s="26">
        <f>'Working Sheet'!$M1056*'Working Sheet'!$K1056</f>
        <v>2688000</v>
      </c>
      <c r="P1056" s="25">
        <f>'Working Sheet'!$N1056-'Working Sheet'!$O1056</f>
        <v>672000</v>
      </c>
    </row>
    <row r="1057" spans="1:16" ht="14.25" customHeight="1" x14ac:dyDescent="0.25">
      <c r="A1057" s="18" t="str">
        <f t="shared" ca="1" si="32"/>
        <v>ID_1364</v>
      </c>
      <c r="B1057" s="17">
        <v>45683</v>
      </c>
      <c r="C1057" s="18" t="str">
        <f>TEXT('Working Sheet'!$B1057,"mmm")</f>
        <v>Jan</v>
      </c>
      <c r="D1057" s="18" t="s">
        <v>25</v>
      </c>
      <c r="E1057" s="18" t="s">
        <v>26</v>
      </c>
      <c r="F1057" s="18" t="s">
        <v>23</v>
      </c>
      <c r="G1057" s="18" t="s">
        <v>14</v>
      </c>
      <c r="H1057" s="18" t="s">
        <v>36</v>
      </c>
      <c r="I1057" s="18" t="s">
        <v>31</v>
      </c>
      <c r="J1057" s="19">
        <v>150000</v>
      </c>
      <c r="K1057" s="18">
        <v>1</v>
      </c>
      <c r="L1057" s="18" t="s">
        <v>37</v>
      </c>
      <c r="M1057" s="20">
        <f t="shared" si="33"/>
        <v>120000</v>
      </c>
      <c r="N1057" s="20">
        <f>'Working Sheet'!$J1057*'Working Sheet'!$K1057</f>
        <v>150000</v>
      </c>
      <c r="O1057" s="21">
        <f>'Working Sheet'!$M1057*'Working Sheet'!$K1057</f>
        <v>120000</v>
      </c>
      <c r="P1057" s="20">
        <f>'Working Sheet'!$N1057-'Working Sheet'!$O1057</f>
        <v>30000</v>
      </c>
    </row>
    <row r="1058" spans="1:16" ht="14.25" customHeight="1" x14ac:dyDescent="0.25">
      <c r="A1058" s="23" t="str">
        <f t="shared" ca="1" si="32"/>
        <v>ID_455</v>
      </c>
      <c r="B1058" s="22">
        <v>45728</v>
      </c>
      <c r="C1058" s="23" t="str">
        <f>TEXT('Working Sheet'!$B1058,"mmm")</f>
        <v>Mar</v>
      </c>
      <c r="D1058" s="23" t="s">
        <v>25</v>
      </c>
      <c r="E1058" s="23" t="s">
        <v>19</v>
      </c>
      <c r="F1058" s="23" t="s">
        <v>13</v>
      </c>
      <c r="G1058" s="23" t="s">
        <v>14</v>
      </c>
      <c r="H1058" s="23" t="s">
        <v>27</v>
      </c>
      <c r="I1058" s="23" t="s">
        <v>22</v>
      </c>
      <c r="J1058" s="24">
        <v>60000</v>
      </c>
      <c r="K1058" s="23">
        <v>7</v>
      </c>
      <c r="L1058" s="23" t="s">
        <v>35</v>
      </c>
      <c r="M1058" s="25">
        <f t="shared" si="33"/>
        <v>48000</v>
      </c>
      <c r="N1058" s="25">
        <f>'Working Sheet'!$J1058*'Working Sheet'!$K1058</f>
        <v>420000</v>
      </c>
      <c r="O1058" s="26">
        <f>'Working Sheet'!$M1058*'Working Sheet'!$K1058</f>
        <v>336000</v>
      </c>
      <c r="P1058" s="25">
        <f>'Working Sheet'!$N1058-'Working Sheet'!$O1058</f>
        <v>84000</v>
      </c>
    </row>
    <row r="1059" spans="1:16" ht="14.25" customHeight="1" x14ac:dyDescent="0.25">
      <c r="A1059" s="18" t="str">
        <f t="shared" ca="1" si="32"/>
        <v>ID_890</v>
      </c>
      <c r="B1059" s="17">
        <v>45689</v>
      </c>
      <c r="C1059" s="18" t="str">
        <f>TEXT('Working Sheet'!$B1059,"mmm")</f>
        <v>Feb</v>
      </c>
      <c r="D1059" s="18" t="s">
        <v>25</v>
      </c>
      <c r="E1059" s="18" t="s">
        <v>19</v>
      </c>
      <c r="F1059" s="18" t="s">
        <v>13</v>
      </c>
      <c r="G1059" s="18" t="s">
        <v>20</v>
      </c>
      <c r="H1059" s="18" t="s">
        <v>38</v>
      </c>
      <c r="I1059" s="18" t="s">
        <v>31</v>
      </c>
      <c r="J1059" s="19">
        <v>420000</v>
      </c>
      <c r="K1059" s="18">
        <v>9</v>
      </c>
      <c r="L1059" s="18" t="s">
        <v>37</v>
      </c>
      <c r="M1059" s="20">
        <f t="shared" si="33"/>
        <v>336000</v>
      </c>
      <c r="N1059" s="20">
        <f>'Working Sheet'!$J1059*'Working Sheet'!$K1059</f>
        <v>3780000</v>
      </c>
      <c r="O1059" s="21">
        <f>'Working Sheet'!$M1059*'Working Sheet'!$K1059</f>
        <v>3024000</v>
      </c>
      <c r="P1059" s="20">
        <f>'Working Sheet'!$N1059-'Working Sheet'!$O1059</f>
        <v>756000</v>
      </c>
    </row>
    <row r="1060" spans="1:16" ht="14.25" customHeight="1" x14ac:dyDescent="0.25">
      <c r="A1060" s="23" t="str">
        <f t="shared" ca="1" si="32"/>
        <v>ID_48</v>
      </c>
      <c r="B1060" s="22">
        <v>45745</v>
      </c>
      <c r="C1060" s="23" t="str">
        <f>TEXT('Working Sheet'!$B1060,"mmm")</f>
        <v>Mar</v>
      </c>
      <c r="D1060" s="23" t="s">
        <v>18</v>
      </c>
      <c r="E1060" s="23" t="s">
        <v>26</v>
      </c>
      <c r="F1060" s="23" t="s">
        <v>23</v>
      </c>
      <c r="G1060" s="23" t="s">
        <v>20</v>
      </c>
      <c r="H1060" s="23" t="s">
        <v>38</v>
      </c>
      <c r="I1060" s="23" t="s">
        <v>31</v>
      </c>
      <c r="J1060" s="24">
        <v>420000</v>
      </c>
      <c r="K1060" s="23">
        <v>6</v>
      </c>
      <c r="L1060" s="23" t="s">
        <v>24</v>
      </c>
      <c r="M1060" s="25">
        <f t="shared" si="33"/>
        <v>336000</v>
      </c>
      <c r="N1060" s="25">
        <f>'Working Sheet'!$J1060*'Working Sheet'!$K1060</f>
        <v>2520000</v>
      </c>
      <c r="O1060" s="26">
        <f>'Working Sheet'!$M1060*'Working Sheet'!$K1060</f>
        <v>2016000</v>
      </c>
      <c r="P1060" s="25">
        <f>'Working Sheet'!$N1060-'Working Sheet'!$O1060</f>
        <v>504000</v>
      </c>
    </row>
    <row r="1061" spans="1:16" ht="14.25" customHeight="1" x14ac:dyDescent="0.25">
      <c r="A1061" s="18" t="str">
        <f t="shared" ca="1" si="32"/>
        <v>ID_512</v>
      </c>
      <c r="B1061" s="17">
        <v>45659</v>
      </c>
      <c r="C1061" s="18" t="str">
        <f>TEXT('Working Sheet'!$B1061,"mmm")</f>
        <v>Jan</v>
      </c>
      <c r="D1061" s="18" t="s">
        <v>18</v>
      </c>
      <c r="E1061" s="18" t="s">
        <v>12</v>
      </c>
      <c r="F1061" s="18" t="s">
        <v>13</v>
      </c>
      <c r="G1061" s="18" t="s">
        <v>14</v>
      </c>
      <c r="H1061" s="18" t="s">
        <v>30</v>
      </c>
      <c r="I1061" s="18" t="s">
        <v>31</v>
      </c>
      <c r="J1061" s="19">
        <v>300000</v>
      </c>
      <c r="K1061" s="18">
        <v>9</v>
      </c>
      <c r="L1061" s="18" t="s">
        <v>37</v>
      </c>
      <c r="M1061" s="20">
        <f t="shared" si="33"/>
        <v>240000</v>
      </c>
      <c r="N1061" s="20">
        <f>'Working Sheet'!$J1061*'Working Sheet'!$K1061</f>
        <v>2700000</v>
      </c>
      <c r="O1061" s="21">
        <f>'Working Sheet'!$M1061*'Working Sheet'!$K1061</f>
        <v>2160000</v>
      </c>
      <c r="P1061" s="20">
        <f>'Working Sheet'!$N1061-'Working Sheet'!$O1061</f>
        <v>540000</v>
      </c>
    </row>
    <row r="1062" spans="1:16" ht="14.25" customHeight="1" x14ac:dyDescent="0.25">
      <c r="A1062" s="23" t="str">
        <f t="shared" ca="1" si="32"/>
        <v>ID_2071</v>
      </c>
      <c r="B1062" s="22">
        <v>45700</v>
      </c>
      <c r="C1062" s="23" t="str">
        <f>TEXT('Working Sheet'!$B1062,"mmm")</f>
        <v>Feb</v>
      </c>
      <c r="D1062" s="23" t="s">
        <v>29</v>
      </c>
      <c r="E1062" s="23" t="s">
        <v>12</v>
      </c>
      <c r="F1062" s="23" t="s">
        <v>23</v>
      </c>
      <c r="G1062" s="23" t="s">
        <v>14</v>
      </c>
      <c r="H1062" s="23" t="s">
        <v>33</v>
      </c>
      <c r="I1062" s="23" t="s">
        <v>22</v>
      </c>
      <c r="J1062" s="24">
        <v>180000</v>
      </c>
      <c r="K1062" s="23">
        <v>5</v>
      </c>
      <c r="L1062" s="23" t="s">
        <v>39</v>
      </c>
      <c r="M1062" s="25">
        <f t="shared" si="33"/>
        <v>144000</v>
      </c>
      <c r="N1062" s="25">
        <f>'Working Sheet'!$J1062*'Working Sheet'!$K1062</f>
        <v>900000</v>
      </c>
      <c r="O1062" s="26">
        <f>'Working Sheet'!$M1062*'Working Sheet'!$K1062</f>
        <v>720000</v>
      </c>
      <c r="P1062" s="25">
        <f>'Working Sheet'!$N1062-'Working Sheet'!$O1062</f>
        <v>180000</v>
      </c>
    </row>
    <row r="1063" spans="1:16" ht="14.25" customHeight="1" x14ac:dyDescent="0.25">
      <c r="A1063" s="18" t="str">
        <f t="shared" ca="1" si="32"/>
        <v>ID_1976</v>
      </c>
      <c r="B1063" s="17">
        <v>45677</v>
      </c>
      <c r="C1063" s="18" t="str">
        <f>TEXT('Working Sheet'!$B1063,"mmm")</f>
        <v>Jan</v>
      </c>
      <c r="D1063" s="18" t="s">
        <v>25</v>
      </c>
      <c r="E1063" s="18" t="s">
        <v>26</v>
      </c>
      <c r="F1063" s="18" t="s">
        <v>13</v>
      </c>
      <c r="G1063" s="18" t="s">
        <v>20</v>
      </c>
      <c r="H1063" s="18" t="s">
        <v>36</v>
      </c>
      <c r="I1063" s="18" t="s">
        <v>31</v>
      </c>
      <c r="J1063" s="19">
        <v>150000</v>
      </c>
      <c r="K1063" s="18">
        <v>5</v>
      </c>
      <c r="L1063" s="18" t="s">
        <v>28</v>
      </c>
      <c r="M1063" s="20">
        <f t="shared" si="33"/>
        <v>120000</v>
      </c>
      <c r="N1063" s="20">
        <f>'Working Sheet'!$J1063*'Working Sheet'!$K1063</f>
        <v>750000</v>
      </c>
      <c r="O1063" s="21">
        <f>'Working Sheet'!$M1063*'Working Sheet'!$K1063</f>
        <v>600000</v>
      </c>
      <c r="P1063" s="20">
        <f>'Working Sheet'!$N1063-'Working Sheet'!$O1063</f>
        <v>150000</v>
      </c>
    </row>
    <row r="1064" spans="1:16" ht="14.25" customHeight="1" x14ac:dyDescent="0.25">
      <c r="A1064" s="23" t="str">
        <f t="shared" ca="1" si="32"/>
        <v>ID_1998</v>
      </c>
      <c r="B1064" s="22">
        <v>45687</v>
      </c>
      <c r="C1064" s="23" t="str">
        <f>TEXT('Working Sheet'!$B1064,"mmm")</f>
        <v>Jan</v>
      </c>
      <c r="D1064" s="23" t="s">
        <v>18</v>
      </c>
      <c r="E1064" s="23" t="s">
        <v>12</v>
      </c>
      <c r="F1064" s="23" t="s">
        <v>13</v>
      </c>
      <c r="G1064" s="23" t="s">
        <v>14</v>
      </c>
      <c r="H1064" s="23" t="s">
        <v>15</v>
      </c>
      <c r="I1064" s="23" t="s">
        <v>16</v>
      </c>
      <c r="J1064" s="24">
        <v>85000</v>
      </c>
      <c r="K1064" s="23">
        <v>9</v>
      </c>
      <c r="L1064" s="23" t="s">
        <v>28</v>
      </c>
      <c r="M1064" s="25">
        <f t="shared" si="33"/>
        <v>68000</v>
      </c>
      <c r="N1064" s="25">
        <f>'Working Sheet'!$J1064*'Working Sheet'!$K1064</f>
        <v>765000</v>
      </c>
      <c r="O1064" s="26">
        <f>'Working Sheet'!$M1064*'Working Sheet'!$K1064</f>
        <v>612000</v>
      </c>
      <c r="P1064" s="25">
        <f>'Working Sheet'!$N1064-'Working Sheet'!$O1064</f>
        <v>153000</v>
      </c>
    </row>
    <row r="1065" spans="1:16" ht="14.25" customHeight="1" x14ac:dyDescent="0.25">
      <c r="A1065" s="18" t="str">
        <f t="shared" ca="1" si="32"/>
        <v>ID_1709</v>
      </c>
      <c r="B1065" s="17">
        <v>45689</v>
      </c>
      <c r="C1065" s="18" t="str">
        <f>TEXT('Working Sheet'!$B1065,"mmm")</f>
        <v>Feb</v>
      </c>
      <c r="D1065" s="18" t="s">
        <v>11</v>
      </c>
      <c r="E1065" s="18" t="s">
        <v>32</v>
      </c>
      <c r="F1065" s="18" t="s">
        <v>23</v>
      </c>
      <c r="G1065" s="18" t="s">
        <v>14</v>
      </c>
      <c r="H1065" s="18" t="s">
        <v>38</v>
      </c>
      <c r="I1065" s="18" t="s">
        <v>31</v>
      </c>
      <c r="J1065" s="19">
        <v>420000</v>
      </c>
      <c r="K1065" s="18">
        <v>5</v>
      </c>
      <c r="L1065" s="18" t="s">
        <v>39</v>
      </c>
      <c r="M1065" s="20">
        <f t="shared" si="33"/>
        <v>336000</v>
      </c>
      <c r="N1065" s="20">
        <f>'Working Sheet'!$J1065*'Working Sheet'!$K1065</f>
        <v>2100000</v>
      </c>
      <c r="O1065" s="21">
        <f>'Working Sheet'!$M1065*'Working Sheet'!$K1065</f>
        <v>1680000</v>
      </c>
      <c r="P1065" s="20">
        <f>'Working Sheet'!$N1065-'Working Sheet'!$O1065</f>
        <v>420000</v>
      </c>
    </row>
    <row r="1066" spans="1:16" ht="14.25" customHeight="1" x14ac:dyDescent="0.25">
      <c r="A1066" s="23" t="str">
        <f t="shared" ca="1" si="32"/>
        <v>ID_126</v>
      </c>
      <c r="B1066" s="22">
        <v>45736</v>
      </c>
      <c r="C1066" s="23" t="str">
        <f>TEXT('Working Sheet'!$B1066,"mmm")</f>
        <v>Mar</v>
      </c>
      <c r="D1066" s="23" t="s">
        <v>18</v>
      </c>
      <c r="E1066" s="23" t="s">
        <v>19</v>
      </c>
      <c r="F1066" s="23" t="s">
        <v>13</v>
      </c>
      <c r="G1066" s="23" t="s">
        <v>20</v>
      </c>
      <c r="H1066" s="23" t="s">
        <v>34</v>
      </c>
      <c r="I1066" s="23" t="s">
        <v>16</v>
      </c>
      <c r="J1066" s="24">
        <v>320000</v>
      </c>
      <c r="K1066" s="23">
        <v>4</v>
      </c>
      <c r="L1066" s="23" t="s">
        <v>28</v>
      </c>
      <c r="M1066" s="25">
        <f t="shared" si="33"/>
        <v>256000</v>
      </c>
      <c r="N1066" s="25">
        <f>'Working Sheet'!$J1066*'Working Sheet'!$K1066</f>
        <v>1280000</v>
      </c>
      <c r="O1066" s="26">
        <f>'Working Sheet'!$M1066*'Working Sheet'!$K1066</f>
        <v>1024000</v>
      </c>
      <c r="P1066" s="25">
        <f>'Working Sheet'!$N1066-'Working Sheet'!$O1066</f>
        <v>256000</v>
      </c>
    </row>
    <row r="1067" spans="1:16" ht="14.25" customHeight="1" x14ac:dyDescent="0.25">
      <c r="A1067" s="18" t="str">
        <f t="shared" ca="1" si="32"/>
        <v>ID_815</v>
      </c>
      <c r="B1067" s="17">
        <v>45741</v>
      </c>
      <c r="C1067" s="18" t="str">
        <f>TEXT('Working Sheet'!$B1067,"mmm")</f>
        <v>Mar</v>
      </c>
      <c r="D1067" s="18" t="s">
        <v>18</v>
      </c>
      <c r="E1067" s="18" t="s">
        <v>19</v>
      </c>
      <c r="F1067" s="18" t="s">
        <v>23</v>
      </c>
      <c r="G1067" s="18" t="s">
        <v>14</v>
      </c>
      <c r="H1067" s="18" t="s">
        <v>21</v>
      </c>
      <c r="I1067" s="18" t="s">
        <v>22</v>
      </c>
      <c r="J1067" s="19">
        <v>30000</v>
      </c>
      <c r="K1067" s="18">
        <v>4</v>
      </c>
      <c r="L1067" s="18" t="s">
        <v>28</v>
      </c>
      <c r="M1067" s="20">
        <f t="shared" si="33"/>
        <v>24000</v>
      </c>
      <c r="N1067" s="20">
        <f>'Working Sheet'!$J1067*'Working Sheet'!$K1067</f>
        <v>120000</v>
      </c>
      <c r="O1067" s="21">
        <f>'Working Sheet'!$M1067*'Working Sheet'!$K1067</f>
        <v>96000</v>
      </c>
      <c r="P1067" s="20">
        <f>'Working Sheet'!$N1067-'Working Sheet'!$O1067</f>
        <v>24000</v>
      </c>
    </row>
    <row r="1068" spans="1:16" ht="14.25" customHeight="1" x14ac:dyDescent="0.25">
      <c r="A1068" s="23" t="str">
        <f t="shared" ca="1" si="32"/>
        <v>ID_33</v>
      </c>
      <c r="B1068" s="22">
        <v>45675</v>
      </c>
      <c r="C1068" s="23" t="str">
        <f>TEXT('Working Sheet'!$B1068,"mmm")</f>
        <v>Jan</v>
      </c>
      <c r="D1068" s="23" t="s">
        <v>25</v>
      </c>
      <c r="E1068" s="23" t="s">
        <v>32</v>
      </c>
      <c r="F1068" s="23" t="s">
        <v>23</v>
      </c>
      <c r="G1068" s="23" t="s">
        <v>20</v>
      </c>
      <c r="H1068" s="23" t="s">
        <v>36</v>
      </c>
      <c r="I1068" s="23" t="s">
        <v>31</v>
      </c>
      <c r="J1068" s="24">
        <v>150000</v>
      </c>
      <c r="K1068" s="23">
        <v>3</v>
      </c>
      <c r="L1068" s="23" t="s">
        <v>37</v>
      </c>
      <c r="M1068" s="25">
        <f t="shared" si="33"/>
        <v>120000</v>
      </c>
      <c r="N1068" s="25">
        <f>'Working Sheet'!$J1068*'Working Sheet'!$K1068</f>
        <v>450000</v>
      </c>
      <c r="O1068" s="26">
        <f>'Working Sheet'!$M1068*'Working Sheet'!$K1068</f>
        <v>360000</v>
      </c>
      <c r="P1068" s="25">
        <f>'Working Sheet'!$N1068-'Working Sheet'!$O1068</f>
        <v>90000</v>
      </c>
    </row>
    <row r="1069" spans="1:16" ht="14.25" customHeight="1" x14ac:dyDescent="0.25">
      <c r="A1069" s="18" t="str">
        <f t="shared" ca="1" si="32"/>
        <v>ID_317</v>
      </c>
      <c r="B1069" s="17">
        <v>45701</v>
      </c>
      <c r="C1069" s="18" t="str">
        <f>TEXT('Working Sheet'!$B1069,"mmm")</f>
        <v>Feb</v>
      </c>
      <c r="D1069" s="18" t="s">
        <v>11</v>
      </c>
      <c r="E1069" s="18" t="s">
        <v>19</v>
      </c>
      <c r="F1069" s="18" t="s">
        <v>13</v>
      </c>
      <c r="G1069" s="18" t="s">
        <v>14</v>
      </c>
      <c r="H1069" s="18" t="s">
        <v>41</v>
      </c>
      <c r="I1069" s="18" t="s">
        <v>22</v>
      </c>
      <c r="J1069" s="19">
        <v>220000</v>
      </c>
      <c r="K1069" s="18">
        <v>7</v>
      </c>
      <c r="L1069" s="18" t="s">
        <v>17</v>
      </c>
      <c r="M1069" s="20">
        <f t="shared" si="33"/>
        <v>176000</v>
      </c>
      <c r="N1069" s="20">
        <f>'Working Sheet'!$J1069*'Working Sheet'!$K1069</f>
        <v>1540000</v>
      </c>
      <c r="O1069" s="21">
        <f>'Working Sheet'!$M1069*'Working Sheet'!$K1069</f>
        <v>1232000</v>
      </c>
      <c r="P1069" s="20">
        <f>'Working Sheet'!$N1069-'Working Sheet'!$O1069</f>
        <v>308000</v>
      </c>
    </row>
    <row r="1070" spans="1:16" ht="14.25" customHeight="1" x14ac:dyDescent="0.25">
      <c r="A1070" s="23" t="str">
        <f t="shared" ca="1" si="32"/>
        <v>ID_1111</v>
      </c>
      <c r="B1070" s="22">
        <v>45671</v>
      </c>
      <c r="C1070" s="23" t="str">
        <f>TEXT('Working Sheet'!$B1070,"mmm")</f>
        <v>Jan</v>
      </c>
      <c r="D1070" s="23" t="s">
        <v>18</v>
      </c>
      <c r="E1070" s="23" t="s">
        <v>12</v>
      </c>
      <c r="F1070" s="23" t="s">
        <v>13</v>
      </c>
      <c r="G1070" s="23" t="s">
        <v>20</v>
      </c>
      <c r="H1070" s="23" t="s">
        <v>33</v>
      </c>
      <c r="I1070" s="23" t="s">
        <v>22</v>
      </c>
      <c r="J1070" s="24">
        <v>180000</v>
      </c>
      <c r="K1070" s="23">
        <v>10</v>
      </c>
      <c r="L1070" s="23" t="s">
        <v>35</v>
      </c>
      <c r="M1070" s="25">
        <f t="shared" si="33"/>
        <v>144000</v>
      </c>
      <c r="N1070" s="25">
        <f>'Working Sheet'!$J1070*'Working Sheet'!$K1070</f>
        <v>1800000</v>
      </c>
      <c r="O1070" s="26">
        <f>'Working Sheet'!$M1070*'Working Sheet'!$K1070</f>
        <v>1440000</v>
      </c>
      <c r="P1070" s="25">
        <f>'Working Sheet'!$N1070-'Working Sheet'!$O1070</f>
        <v>360000</v>
      </c>
    </row>
    <row r="1071" spans="1:16" ht="14.25" customHeight="1" x14ac:dyDescent="0.25">
      <c r="A1071" s="18" t="str">
        <f t="shared" ca="1" si="32"/>
        <v>ID_60</v>
      </c>
      <c r="B1071" s="17">
        <v>45727</v>
      </c>
      <c r="C1071" s="18" t="str">
        <f>TEXT('Working Sheet'!$B1071,"mmm")</f>
        <v>Mar</v>
      </c>
      <c r="D1071" s="18" t="s">
        <v>11</v>
      </c>
      <c r="E1071" s="18" t="s">
        <v>32</v>
      </c>
      <c r="F1071" s="18" t="s">
        <v>23</v>
      </c>
      <c r="G1071" s="18" t="s">
        <v>14</v>
      </c>
      <c r="H1071" s="18" t="s">
        <v>15</v>
      </c>
      <c r="I1071" s="18" t="s">
        <v>16</v>
      </c>
      <c r="J1071" s="19">
        <v>85000</v>
      </c>
      <c r="K1071" s="18">
        <v>7</v>
      </c>
      <c r="L1071" s="18" t="s">
        <v>24</v>
      </c>
      <c r="M1071" s="20">
        <f t="shared" si="33"/>
        <v>68000</v>
      </c>
      <c r="N1071" s="20">
        <f>'Working Sheet'!$J1071*'Working Sheet'!$K1071</f>
        <v>595000</v>
      </c>
      <c r="O1071" s="21">
        <f>'Working Sheet'!$M1071*'Working Sheet'!$K1071</f>
        <v>476000</v>
      </c>
      <c r="P1071" s="20">
        <f>'Working Sheet'!$N1071-'Working Sheet'!$O1071</f>
        <v>119000</v>
      </c>
    </row>
    <row r="1072" spans="1:16" ht="14.25" customHeight="1" x14ac:dyDescent="0.25">
      <c r="A1072" s="23" t="str">
        <f t="shared" ca="1" si="32"/>
        <v>ID_1889</v>
      </c>
      <c r="B1072" s="22">
        <v>45704</v>
      </c>
      <c r="C1072" s="23" t="str">
        <f>TEXT('Working Sheet'!$B1072,"mmm")</f>
        <v>Feb</v>
      </c>
      <c r="D1072" s="23" t="s">
        <v>18</v>
      </c>
      <c r="E1072" s="23" t="s">
        <v>19</v>
      </c>
      <c r="F1072" s="23" t="s">
        <v>13</v>
      </c>
      <c r="G1072" s="23" t="s">
        <v>14</v>
      </c>
      <c r="H1072" s="23" t="s">
        <v>21</v>
      </c>
      <c r="I1072" s="23" t="s">
        <v>22</v>
      </c>
      <c r="J1072" s="24">
        <v>30000</v>
      </c>
      <c r="K1072" s="23">
        <v>3</v>
      </c>
      <c r="L1072" s="23" t="s">
        <v>24</v>
      </c>
      <c r="M1072" s="25">
        <f t="shared" si="33"/>
        <v>24000</v>
      </c>
      <c r="N1072" s="25">
        <f>'Working Sheet'!$J1072*'Working Sheet'!$K1072</f>
        <v>90000</v>
      </c>
      <c r="O1072" s="26">
        <f>'Working Sheet'!$M1072*'Working Sheet'!$K1072</f>
        <v>72000</v>
      </c>
      <c r="P1072" s="25">
        <f>'Working Sheet'!$N1072-'Working Sheet'!$O1072</f>
        <v>18000</v>
      </c>
    </row>
    <row r="1073" spans="1:16" ht="14.25" customHeight="1" x14ac:dyDescent="0.25">
      <c r="A1073" s="18" t="str">
        <f t="shared" ca="1" si="32"/>
        <v>ID_1242</v>
      </c>
      <c r="B1073" s="17">
        <v>45669</v>
      </c>
      <c r="C1073" s="18" t="str">
        <f>TEXT('Working Sheet'!$B1073,"mmm")</f>
        <v>Jan</v>
      </c>
      <c r="D1073" s="18" t="s">
        <v>29</v>
      </c>
      <c r="E1073" s="18" t="s">
        <v>12</v>
      </c>
      <c r="F1073" s="18" t="s">
        <v>23</v>
      </c>
      <c r="G1073" s="18" t="s">
        <v>14</v>
      </c>
      <c r="H1073" s="18" t="s">
        <v>34</v>
      </c>
      <c r="I1073" s="18" t="s">
        <v>16</v>
      </c>
      <c r="J1073" s="19">
        <v>320000</v>
      </c>
      <c r="K1073" s="18">
        <v>9</v>
      </c>
      <c r="L1073" s="18" t="s">
        <v>37</v>
      </c>
      <c r="M1073" s="20">
        <f t="shared" si="33"/>
        <v>256000</v>
      </c>
      <c r="N1073" s="20">
        <f>'Working Sheet'!$J1073*'Working Sheet'!$K1073</f>
        <v>2880000</v>
      </c>
      <c r="O1073" s="21">
        <f>'Working Sheet'!$M1073*'Working Sheet'!$K1073</f>
        <v>2304000</v>
      </c>
      <c r="P1073" s="20">
        <f>'Working Sheet'!$N1073-'Working Sheet'!$O1073</f>
        <v>576000</v>
      </c>
    </row>
    <row r="1074" spans="1:16" ht="14.25" customHeight="1" x14ac:dyDescent="0.25">
      <c r="A1074" s="23" t="str">
        <f t="shared" ca="1" si="32"/>
        <v>ID_770</v>
      </c>
      <c r="B1074" s="22">
        <v>45699</v>
      </c>
      <c r="C1074" s="23" t="str">
        <f>TEXT('Working Sheet'!$B1074,"mmm")</f>
        <v>Feb</v>
      </c>
      <c r="D1074" s="23" t="s">
        <v>11</v>
      </c>
      <c r="E1074" s="23" t="s">
        <v>19</v>
      </c>
      <c r="F1074" s="23" t="s">
        <v>13</v>
      </c>
      <c r="G1074" s="23" t="s">
        <v>20</v>
      </c>
      <c r="H1074" s="23" t="s">
        <v>36</v>
      </c>
      <c r="I1074" s="23" t="s">
        <v>31</v>
      </c>
      <c r="J1074" s="24">
        <v>150000</v>
      </c>
      <c r="K1074" s="23">
        <v>2</v>
      </c>
      <c r="L1074" s="23" t="s">
        <v>24</v>
      </c>
      <c r="M1074" s="25">
        <f t="shared" si="33"/>
        <v>120000</v>
      </c>
      <c r="N1074" s="25">
        <f>'Working Sheet'!$J1074*'Working Sheet'!$K1074</f>
        <v>300000</v>
      </c>
      <c r="O1074" s="26">
        <f>'Working Sheet'!$M1074*'Working Sheet'!$K1074</f>
        <v>240000</v>
      </c>
      <c r="P1074" s="25">
        <f>'Working Sheet'!$N1074-'Working Sheet'!$O1074</f>
        <v>60000</v>
      </c>
    </row>
    <row r="1075" spans="1:16" ht="14.25" customHeight="1" x14ac:dyDescent="0.25">
      <c r="A1075" s="18" t="str">
        <f t="shared" ca="1" si="32"/>
        <v>ID_1011</v>
      </c>
      <c r="B1075" s="17">
        <v>45703</v>
      </c>
      <c r="C1075" s="18" t="str">
        <f>TEXT('Working Sheet'!$B1075,"mmm")</f>
        <v>Feb</v>
      </c>
      <c r="D1075" s="18" t="s">
        <v>18</v>
      </c>
      <c r="E1075" s="18" t="s">
        <v>19</v>
      </c>
      <c r="F1075" s="18" t="s">
        <v>23</v>
      </c>
      <c r="G1075" s="18" t="s">
        <v>20</v>
      </c>
      <c r="H1075" s="18" t="s">
        <v>33</v>
      </c>
      <c r="I1075" s="18" t="s">
        <v>22</v>
      </c>
      <c r="J1075" s="19">
        <v>180000</v>
      </c>
      <c r="K1075" s="18">
        <v>8</v>
      </c>
      <c r="L1075" s="18" t="s">
        <v>37</v>
      </c>
      <c r="M1075" s="20">
        <f t="shared" si="33"/>
        <v>144000</v>
      </c>
      <c r="N1075" s="20">
        <f>'Working Sheet'!$J1075*'Working Sheet'!$K1075</f>
        <v>1440000</v>
      </c>
      <c r="O1075" s="21">
        <f>'Working Sheet'!$M1075*'Working Sheet'!$K1075</f>
        <v>1152000</v>
      </c>
      <c r="P1075" s="20">
        <f>'Working Sheet'!$N1075-'Working Sheet'!$O1075</f>
        <v>288000</v>
      </c>
    </row>
    <row r="1076" spans="1:16" ht="14.25" customHeight="1" x14ac:dyDescent="0.25">
      <c r="A1076" s="23" t="str">
        <f t="shared" ca="1" si="32"/>
        <v>ID_1235</v>
      </c>
      <c r="B1076" s="22">
        <v>45696</v>
      </c>
      <c r="C1076" s="23" t="str">
        <f>TEXT('Working Sheet'!$B1076,"mmm")</f>
        <v>Feb</v>
      </c>
      <c r="D1076" s="23" t="s">
        <v>18</v>
      </c>
      <c r="E1076" s="23" t="s">
        <v>19</v>
      </c>
      <c r="F1076" s="23" t="s">
        <v>23</v>
      </c>
      <c r="G1076" s="23" t="s">
        <v>20</v>
      </c>
      <c r="H1076" s="23" t="s">
        <v>15</v>
      </c>
      <c r="I1076" s="23" t="s">
        <v>16</v>
      </c>
      <c r="J1076" s="24">
        <v>85000</v>
      </c>
      <c r="K1076" s="23">
        <v>7</v>
      </c>
      <c r="L1076" s="23" t="s">
        <v>17</v>
      </c>
      <c r="M1076" s="25">
        <f t="shared" si="33"/>
        <v>68000</v>
      </c>
      <c r="N1076" s="25">
        <f>'Working Sheet'!$J1076*'Working Sheet'!$K1076</f>
        <v>595000</v>
      </c>
      <c r="O1076" s="26">
        <f>'Working Sheet'!$M1076*'Working Sheet'!$K1076</f>
        <v>476000</v>
      </c>
      <c r="P1076" s="25">
        <f>'Working Sheet'!$N1076-'Working Sheet'!$O1076</f>
        <v>119000</v>
      </c>
    </row>
    <row r="1077" spans="1:16" ht="14.25" customHeight="1" x14ac:dyDescent="0.25">
      <c r="A1077" s="18" t="str">
        <f t="shared" ca="1" si="32"/>
        <v>ID_2032</v>
      </c>
      <c r="B1077" s="17">
        <v>45774</v>
      </c>
      <c r="C1077" s="18" t="str">
        <f>TEXT('Working Sheet'!$B1077,"mmm")</f>
        <v>Apr</v>
      </c>
      <c r="D1077" s="18" t="s">
        <v>11</v>
      </c>
      <c r="E1077" s="18" t="s">
        <v>32</v>
      </c>
      <c r="F1077" s="18" t="s">
        <v>23</v>
      </c>
      <c r="G1077" s="18" t="s">
        <v>14</v>
      </c>
      <c r="H1077" s="18" t="s">
        <v>33</v>
      </c>
      <c r="I1077" s="18" t="s">
        <v>22</v>
      </c>
      <c r="J1077" s="19">
        <v>180000</v>
      </c>
      <c r="K1077" s="18">
        <v>8</v>
      </c>
      <c r="L1077" s="18" t="s">
        <v>39</v>
      </c>
      <c r="M1077" s="20">
        <f t="shared" si="33"/>
        <v>144000</v>
      </c>
      <c r="N1077" s="20">
        <f>'Working Sheet'!$J1077*'Working Sheet'!$K1077</f>
        <v>1440000</v>
      </c>
      <c r="O1077" s="21">
        <f>'Working Sheet'!$M1077*'Working Sheet'!$K1077</f>
        <v>1152000</v>
      </c>
      <c r="P1077" s="20">
        <f>'Working Sheet'!$N1077-'Working Sheet'!$O1077</f>
        <v>288000</v>
      </c>
    </row>
    <row r="1078" spans="1:16" ht="14.25" customHeight="1" x14ac:dyDescent="0.25">
      <c r="A1078" s="23" t="str">
        <f t="shared" ca="1" si="32"/>
        <v>ID_210</v>
      </c>
      <c r="B1078" s="22">
        <v>45714</v>
      </c>
      <c r="C1078" s="23" t="str">
        <f>TEXT('Working Sheet'!$B1078,"mmm")</f>
        <v>Feb</v>
      </c>
      <c r="D1078" s="23" t="s">
        <v>29</v>
      </c>
      <c r="E1078" s="23" t="s">
        <v>12</v>
      </c>
      <c r="F1078" s="23" t="s">
        <v>23</v>
      </c>
      <c r="G1078" s="23" t="s">
        <v>14</v>
      </c>
      <c r="H1078" s="23" t="s">
        <v>41</v>
      </c>
      <c r="I1078" s="23" t="s">
        <v>22</v>
      </c>
      <c r="J1078" s="24">
        <v>220000</v>
      </c>
      <c r="K1078" s="23">
        <v>5</v>
      </c>
      <c r="L1078" s="23" t="s">
        <v>39</v>
      </c>
      <c r="M1078" s="25">
        <f t="shared" si="33"/>
        <v>176000</v>
      </c>
      <c r="N1078" s="25">
        <f>'Working Sheet'!$J1078*'Working Sheet'!$K1078</f>
        <v>1100000</v>
      </c>
      <c r="O1078" s="26">
        <f>'Working Sheet'!$M1078*'Working Sheet'!$K1078</f>
        <v>880000</v>
      </c>
      <c r="P1078" s="25">
        <f>'Working Sheet'!$N1078-'Working Sheet'!$O1078</f>
        <v>220000</v>
      </c>
    </row>
    <row r="1079" spans="1:16" ht="14.25" customHeight="1" x14ac:dyDescent="0.25">
      <c r="A1079" s="18" t="str">
        <f t="shared" ca="1" si="32"/>
        <v>ID_1242</v>
      </c>
      <c r="B1079" s="17">
        <v>45701</v>
      </c>
      <c r="C1079" s="18" t="str">
        <f>TEXT('Working Sheet'!$B1079,"mmm")</f>
        <v>Feb</v>
      </c>
      <c r="D1079" s="18" t="s">
        <v>29</v>
      </c>
      <c r="E1079" s="18" t="s">
        <v>26</v>
      </c>
      <c r="F1079" s="18" t="s">
        <v>13</v>
      </c>
      <c r="G1079" s="18" t="s">
        <v>14</v>
      </c>
      <c r="H1079" s="18" t="s">
        <v>30</v>
      </c>
      <c r="I1079" s="18" t="s">
        <v>31</v>
      </c>
      <c r="J1079" s="19">
        <v>300000</v>
      </c>
      <c r="K1079" s="18">
        <v>5</v>
      </c>
      <c r="L1079" s="18" t="s">
        <v>37</v>
      </c>
      <c r="M1079" s="20">
        <f t="shared" si="33"/>
        <v>240000</v>
      </c>
      <c r="N1079" s="20">
        <f>'Working Sheet'!$J1079*'Working Sheet'!$K1079</f>
        <v>1500000</v>
      </c>
      <c r="O1079" s="21">
        <f>'Working Sheet'!$M1079*'Working Sheet'!$K1079</f>
        <v>1200000</v>
      </c>
      <c r="P1079" s="20">
        <f>'Working Sheet'!$N1079-'Working Sheet'!$O1079</f>
        <v>300000</v>
      </c>
    </row>
    <row r="1080" spans="1:16" ht="14.25" customHeight="1" x14ac:dyDescent="0.25">
      <c r="A1080" s="23" t="str">
        <f t="shared" ca="1" si="32"/>
        <v>ID_1803</v>
      </c>
      <c r="B1080" s="22">
        <v>45754</v>
      </c>
      <c r="C1080" s="23" t="str">
        <f>TEXT('Working Sheet'!$B1080,"mmm")</f>
        <v>Apr</v>
      </c>
      <c r="D1080" s="23" t="s">
        <v>29</v>
      </c>
      <c r="E1080" s="23" t="s">
        <v>32</v>
      </c>
      <c r="F1080" s="23" t="s">
        <v>13</v>
      </c>
      <c r="G1080" s="23" t="s">
        <v>20</v>
      </c>
      <c r="H1080" s="23" t="s">
        <v>40</v>
      </c>
      <c r="I1080" s="23" t="s">
        <v>31</v>
      </c>
      <c r="J1080" s="24">
        <v>250000</v>
      </c>
      <c r="K1080" s="23">
        <v>7</v>
      </c>
      <c r="L1080" s="23" t="s">
        <v>17</v>
      </c>
      <c r="M1080" s="25">
        <f t="shared" si="33"/>
        <v>200000</v>
      </c>
      <c r="N1080" s="25">
        <f>'Working Sheet'!$J1080*'Working Sheet'!$K1080</f>
        <v>1750000</v>
      </c>
      <c r="O1080" s="26">
        <f>'Working Sheet'!$M1080*'Working Sheet'!$K1080</f>
        <v>1400000</v>
      </c>
      <c r="P1080" s="25">
        <f>'Working Sheet'!$N1080-'Working Sheet'!$O1080</f>
        <v>350000</v>
      </c>
    </row>
    <row r="1081" spans="1:16" ht="14.25" customHeight="1" x14ac:dyDescent="0.25">
      <c r="A1081" s="18" t="str">
        <f t="shared" ca="1" si="32"/>
        <v>ID_1234</v>
      </c>
      <c r="B1081" s="17">
        <v>45663</v>
      </c>
      <c r="C1081" s="18" t="str">
        <f>TEXT('Working Sheet'!$B1081,"mmm")</f>
        <v>Jan</v>
      </c>
      <c r="D1081" s="18" t="s">
        <v>11</v>
      </c>
      <c r="E1081" s="18" t="s">
        <v>32</v>
      </c>
      <c r="F1081" s="18" t="s">
        <v>23</v>
      </c>
      <c r="G1081" s="18" t="s">
        <v>20</v>
      </c>
      <c r="H1081" s="18" t="s">
        <v>27</v>
      </c>
      <c r="I1081" s="18" t="s">
        <v>22</v>
      </c>
      <c r="J1081" s="19">
        <v>60000</v>
      </c>
      <c r="K1081" s="18">
        <v>7</v>
      </c>
      <c r="L1081" s="18" t="s">
        <v>37</v>
      </c>
      <c r="M1081" s="20">
        <f t="shared" si="33"/>
        <v>48000</v>
      </c>
      <c r="N1081" s="20">
        <f>'Working Sheet'!$J1081*'Working Sheet'!$K1081</f>
        <v>420000</v>
      </c>
      <c r="O1081" s="21">
        <f>'Working Sheet'!$M1081*'Working Sheet'!$K1081</f>
        <v>336000</v>
      </c>
      <c r="P1081" s="20">
        <f>'Working Sheet'!$N1081-'Working Sheet'!$O1081</f>
        <v>84000</v>
      </c>
    </row>
    <row r="1082" spans="1:16" ht="14.25" customHeight="1" x14ac:dyDescent="0.25">
      <c r="A1082" s="23" t="str">
        <f t="shared" ca="1" si="32"/>
        <v>ID_552</v>
      </c>
      <c r="B1082" s="22">
        <v>45743</v>
      </c>
      <c r="C1082" s="23" t="str">
        <f>TEXT('Working Sheet'!$B1082,"mmm")</f>
        <v>Mar</v>
      </c>
      <c r="D1082" s="23" t="s">
        <v>18</v>
      </c>
      <c r="E1082" s="23" t="s">
        <v>12</v>
      </c>
      <c r="F1082" s="23" t="s">
        <v>23</v>
      </c>
      <c r="G1082" s="23" t="s">
        <v>14</v>
      </c>
      <c r="H1082" s="23" t="s">
        <v>15</v>
      </c>
      <c r="I1082" s="23" t="s">
        <v>16</v>
      </c>
      <c r="J1082" s="24">
        <v>85000</v>
      </c>
      <c r="K1082" s="23">
        <v>2</v>
      </c>
      <c r="L1082" s="23" t="s">
        <v>35</v>
      </c>
      <c r="M1082" s="25">
        <f t="shared" si="33"/>
        <v>68000</v>
      </c>
      <c r="N1082" s="25">
        <f>'Working Sheet'!$J1082*'Working Sheet'!$K1082</f>
        <v>170000</v>
      </c>
      <c r="O1082" s="26">
        <f>'Working Sheet'!$M1082*'Working Sheet'!$K1082</f>
        <v>136000</v>
      </c>
      <c r="P1082" s="25">
        <f>'Working Sheet'!$N1082-'Working Sheet'!$O1082</f>
        <v>34000</v>
      </c>
    </row>
    <row r="1083" spans="1:16" ht="14.25" customHeight="1" x14ac:dyDescent="0.25">
      <c r="A1083" s="18" t="str">
        <f t="shared" ca="1" si="32"/>
        <v>ID_498</v>
      </c>
      <c r="B1083" s="17">
        <v>45664</v>
      </c>
      <c r="C1083" s="18" t="str">
        <f>TEXT('Working Sheet'!$B1083,"mmm")</f>
        <v>Jan</v>
      </c>
      <c r="D1083" s="18" t="s">
        <v>11</v>
      </c>
      <c r="E1083" s="18" t="s">
        <v>12</v>
      </c>
      <c r="F1083" s="18" t="s">
        <v>13</v>
      </c>
      <c r="G1083" s="18" t="s">
        <v>20</v>
      </c>
      <c r="H1083" s="18" t="s">
        <v>27</v>
      </c>
      <c r="I1083" s="18" t="s">
        <v>22</v>
      </c>
      <c r="J1083" s="19">
        <v>60000</v>
      </c>
      <c r="K1083" s="18">
        <v>2</v>
      </c>
      <c r="L1083" s="18" t="s">
        <v>39</v>
      </c>
      <c r="M1083" s="20">
        <f t="shared" si="33"/>
        <v>48000</v>
      </c>
      <c r="N1083" s="20">
        <f>'Working Sheet'!$J1083*'Working Sheet'!$K1083</f>
        <v>120000</v>
      </c>
      <c r="O1083" s="21">
        <f>'Working Sheet'!$M1083*'Working Sheet'!$K1083</f>
        <v>96000</v>
      </c>
      <c r="P1083" s="20">
        <f>'Working Sheet'!$N1083-'Working Sheet'!$O1083</f>
        <v>24000</v>
      </c>
    </row>
    <row r="1084" spans="1:16" ht="14.25" customHeight="1" x14ac:dyDescent="0.25">
      <c r="A1084" s="23" t="str">
        <f t="shared" ca="1" si="32"/>
        <v>ID_1232</v>
      </c>
      <c r="B1084" s="22">
        <v>45667</v>
      </c>
      <c r="C1084" s="23" t="str">
        <f>TEXT('Working Sheet'!$B1084,"mmm")</f>
        <v>Jan</v>
      </c>
      <c r="D1084" s="23" t="s">
        <v>18</v>
      </c>
      <c r="E1084" s="23" t="s">
        <v>32</v>
      </c>
      <c r="F1084" s="23" t="s">
        <v>23</v>
      </c>
      <c r="G1084" s="23" t="s">
        <v>14</v>
      </c>
      <c r="H1084" s="23" t="s">
        <v>21</v>
      </c>
      <c r="I1084" s="23" t="s">
        <v>22</v>
      </c>
      <c r="J1084" s="24">
        <v>30000</v>
      </c>
      <c r="K1084" s="23">
        <v>10</v>
      </c>
      <c r="L1084" s="23" t="s">
        <v>39</v>
      </c>
      <c r="M1084" s="25">
        <f t="shared" si="33"/>
        <v>24000</v>
      </c>
      <c r="N1084" s="25">
        <f>'Working Sheet'!$J1084*'Working Sheet'!$K1084</f>
        <v>300000</v>
      </c>
      <c r="O1084" s="26">
        <f>'Working Sheet'!$M1084*'Working Sheet'!$K1084</f>
        <v>240000</v>
      </c>
      <c r="P1084" s="25">
        <f>'Working Sheet'!$N1084-'Working Sheet'!$O1084</f>
        <v>60000</v>
      </c>
    </row>
    <row r="1085" spans="1:16" ht="14.25" customHeight="1" x14ac:dyDescent="0.25">
      <c r="A1085" s="18" t="str">
        <f t="shared" ca="1" si="32"/>
        <v>ID_1559</v>
      </c>
      <c r="B1085" s="17">
        <v>45739</v>
      </c>
      <c r="C1085" s="18" t="str">
        <f>TEXT('Working Sheet'!$B1085,"mmm")</f>
        <v>Mar</v>
      </c>
      <c r="D1085" s="18" t="s">
        <v>29</v>
      </c>
      <c r="E1085" s="18" t="s">
        <v>19</v>
      </c>
      <c r="F1085" s="18" t="s">
        <v>23</v>
      </c>
      <c r="G1085" s="18" t="s">
        <v>20</v>
      </c>
      <c r="H1085" s="18" t="s">
        <v>38</v>
      </c>
      <c r="I1085" s="18" t="s">
        <v>31</v>
      </c>
      <c r="J1085" s="19">
        <v>420000</v>
      </c>
      <c r="K1085" s="18">
        <v>8</v>
      </c>
      <c r="L1085" s="18" t="s">
        <v>24</v>
      </c>
      <c r="M1085" s="20">
        <f t="shared" si="33"/>
        <v>336000</v>
      </c>
      <c r="N1085" s="20">
        <f>'Working Sheet'!$J1085*'Working Sheet'!$K1085</f>
        <v>3360000</v>
      </c>
      <c r="O1085" s="21">
        <f>'Working Sheet'!$M1085*'Working Sheet'!$K1085</f>
        <v>2688000</v>
      </c>
      <c r="P1085" s="20">
        <f>'Working Sheet'!$N1085-'Working Sheet'!$O1085</f>
        <v>672000</v>
      </c>
    </row>
    <row r="1086" spans="1:16" ht="14.25" customHeight="1" x14ac:dyDescent="0.25">
      <c r="A1086" s="23" t="str">
        <f t="shared" ca="1" si="32"/>
        <v>ID_933</v>
      </c>
      <c r="B1086" s="22">
        <v>45750</v>
      </c>
      <c r="C1086" s="23" t="str">
        <f>TEXT('Working Sheet'!$B1086,"mmm")</f>
        <v>Apr</v>
      </c>
      <c r="D1086" s="23" t="s">
        <v>11</v>
      </c>
      <c r="E1086" s="23" t="s">
        <v>19</v>
      </c>
      <c r="F1086" s="23" t="s">
        <v>23</v>
      </c>
      <c r="G1086" s="23" t="s">
        <v>14</v>
      </c>
      <c r="H1086" s="23" t="s">
        <v>27</v>
      </c>
      <c r="I1086" s="23" t="s">
        <v>22</v>
      </c>
      <c r="J1086" s="24">
        <v>60000</v>
      </c>
      <c r="K1086" s="23">
        <v>2</v>
      </c>
      <c r="L1086" s="23" t="s">
        <v>37</v>
      </c>
      <c r="M1086" s="25">
        <f t="shared" si="33"/>
        <v>48000</v>
      </c>
      <c r="N1086" s="25">
        <f>'Working Sheet'!$J1086*'Working Sheet'!$K1086</f>
        <v>120000</v>
      </c>
      <c r="O1086" s="26">
        <f>'Working Sheet'!$M1086*'Working Sheet'!$K1086</f>
        <v>96000</v>
      </c>
      <c r="P1086" s="25">
        <f>'Working Sheet'!$N1086-'Working Sheet'!$O1086</f>
        <v>24000</v>
      </c>
    </row>
    <row r="1087" spans="1:16" ht="14.25" customHeight="1" x14ac:dyDescent="0.25">
      <c r="A1087" s="18" t="str">
        <f t="shared" ca="1" si="32"/>
        <v>ID_80</v>
      </c>
      <c r="B1087" s="17">
        <v>45730</v>
      </c>
      <c r="C1087" s="18" t="str">
        <f>TEXT('Working Sheet'!$B1087,"mmm")</f>
        <v>Mar</v>
      </c>
      <c r="D1087" s="18" t="s">
        <v>25</v>
      </c>
      <c r="E1087" s="18" t="s">
        <v>26</v>
      </c>
      <c r="F1087" s="18" t="s">
        <v>23</v>
      </c>
      <c r="G1087" s="18" t="s">
        <v>20</v>
      </c>
      <c r="H1087" s="18" t="s">
        <v>15</v>
      </c>
      <c r="I1087" s="18" t="s">
        <v>16</v>
      </c>
      <c r="J1087" s="19">
        <v>85000</v>
      </c>
      <c r="K1087" s="18">
        <v>8</v>
      </c>
      <c r="L1087" s="18" t="s">
        <v>39</v>
      </c>
      <c r="M1087" s="20">
        <f t="shared" si="33"/>
        <v>68000</v>
      </c>
      <c r="N1087" s="20">
        <f>'Working Sheet'!$J1087*'Working Sheet'!$K1087</f>
        <v>680000</v>
      </c>
      <c r="O1087" s="21">
        <f>'Working Sheet'!$M1087*'Working Sheet'!$K1087</f>
        <v>544000</v>
      </c>
      <c r="P1087" s="20">
        <f>'Working Sheet'!$N1087-'Working Sheet'!$O1087</f>
        <v>136000</v>
      </c>
    </row>
    <row r="1088" spans="1:16" ht="14.25" customHeight="1" x14ac:dyDescent="0.25">
      <c r="A1088" s="23" t="str">
        <f t="shared" ca="1" si="32"/>
        <v>ID_320</v>
      </c>
      <c r="B1088" s="22">
        <v>45701</v>
      </c>
      <c r="C1088" s="23" t="str">
        <f>TEXT('Working Sheet'!$B1088,"mmm")</f>
        <v>Feb</v>
      </c>
      <c r="D1088" s="23" t="s">
        <v>11</v>
      </c>
      <c r="E1088" s="23" t="s">
        <v>12</v>
      </c>
      <c r="F1088" s="23" t="s">
        <v>13</v>
      </c>
      <c r="G1088" s="23" t="s">
        <v>20</v>
      </c>
      <c r="H1088" s="23" t="s">
        <v>38</v>
      </c>
      <c r="I1088" s="23" t="s">
        <v>31</v>
      </c>
      <c r="J1088" s="24">
        <v>420000</v>
      </c>
      <c r="K1088" s="23">
        <v>7</v>
      </c>
      <c r="L1088" s="23" t="s">
        <v>35</v>
      </c>
      <c r="M1088" s="25">
        <f t="shared" si="33"/>
        <v>336000</v>
      </c>
      <c r="N1088" s="25">
        <f>'Working Sheet'!$J1088*'Working Sheet'!$K1088</f>
        <v>2940000</v>
      </c>
      <c r="O1088" s="26">
        <f>'Working Sheet'!$M1088*'Working Sheet'!$K1088</f>
        <v>2352000</v>
      </c>
      <c r="P1088" s="25">
        <f>'Working Sheet'!$N1088-'Working Sheet'!$O1088</f>
        <v>588000</v>
      </c>
    </row>
    <row r="1089" spans="1:16" ht="14.25" customHeight="1" x14ac:dyDescent="0.25">
      <c r="A1089" s="18" t="str">
        <f t="shared" ca="1" si="32"/>
        <v>ID_359</v>
      </c>
      <c r="B1089" s="17">
        <v>45711</v>
      </c>
      <c r="C1089" s="18" t="str">
        <f>TEXT('Working Sheet'!$B1089,"mmm")</f>
        <v>Feb</v>
      </c>
      <c r="D1089" s="18" t="s">
        <v>18</v>
      </c>
      <c r="E1089" s="18" t="s">
        <v>32</v>
      </c>
      <c r="F1089" s="18" t="s">
        <v>13</v>
      </c>
      <c r="G1089" s="18" t="s">
        <v>20</v>
      </c>
      <c r="H1089" s="18" t="s">
        <v>30</v>
      </c>
      <c r="I1089" s="18" t="s">
        <v>31</v>
      </c>
      <c r="J1089" s="19">
        <v>300000</v>
      </c>
      <c r="K1089" s="18">
        <v>6</v>
      </c>
      <c r="L1089" s="18" t="s">
        <v>39</v>
      </c>
      <c r="M1089" s="20">
        <f t="shared" si="33"/>
        <v>240000</v>
      </c>
      <c r="N1089" s="20">
        <f>'Working Sheet'!$J1089*'Working Sheet'!$K1089</f>
        <v>1800000</v>
      </c>
      <c r="O1089" s="21">
        <f>'Working Sheet'!$M1089*'Working Sheet'!$K1089</f>
        <v>1440000</v>
      </c>
      <c r="P1089" s="20">
        <f>'Working Sheet'!$N1089-'Working Sheet'!$O1089</f>
        <v>360000</v>
      </c>
    </row>
    <row r="1090" spans="1:16" ht="14.25" customHeight="1" x14ac:dyDescent="0.25">
      <c r="A1090" s="23" t="str">
        <f t="shared" ref="A1090:A1153" ca="1" si="34">"ID_"&amp; RANDBETWEEN(1,2098)</f>
        <v>ID_2067</v>
      </c>
      <c r="B1090" s="22">
        <v>45736</v>
      </c>
      <c r="C1090" s="23" t="str">
        <f>TEXT('Working Sheet'!$B1090,"mmm")</f>
        <v>Mar</v>
      </c>
      <c r="D1090" s="23" t="s">
        <v>29</v>
      </c>
      <c r="E1090" s="23" t="s">
        <v>12</v>
      </c>
      <c r="F1090" s="23" t="s">
        <v>13</v>
      </c>
      <c r="G1090" s="23" t="s">
        <v>14</v>
      </c>
      <c r="H1090" s="23" t="s">
        <v>38</v>
      </c>
      <c r="I1090" s="23" t="s">
        <v>31</v>
      </c>
      <c r="J1090" s="24">
        <v>420000</v>
      </c>
      <c r="K1090" s="23">
        <v>2</v>
      </c>
      <c r="L1090" s="23" t="s">
        <v>37</v>
      </c>
      <c r="M1090" s="25">
        <f t="shared" ref="M1090:M1153" si="35">J1090-J1090*0.2</f>
        <v>336000</v>
      </c>
      <c r="N1090" s="25">
        <f>'Working Sheet'!$J1090*'Working Sheet'!$K1090</f>
        <v>840000</v>
      </c>
      <c r="O1090" s="26">
        <f>'Working Sheet'!$M1090*'Working Sheet'!$K1090</f>
        <v>672000</v>
      </c>
      <c r="P1090" s="25">
        <f>'Working Sheet'!$N1090-'Working Sheet'!$O1090</f>
        <v>168000</v>
      </c>
    </row>
    <row r="1091" spans="1:16" ht="14.25" customHeight="1" x14ac:dyDescent="0.25">
      <c r="A1091" s="18" t="str">
        <f t="shared" ca="1" si="34"/>
        <v>ID_1693</v>
      </c>
      <c r="B1091" s="17">
        <v>45753</v>
      </c>
      <c r="C1091" s="18" t="str">
        <f>TEXT('Working Sheet'!$B1091,"mmm")</f>
        <v>Apr</v>
      </c>
      <c r="D1091" s="18" t="s">
        <v>29</v>
      </c>
      <c r="E1091" s="18" t="s">
        <v>12</v>
      </c>
      <c r="F1091" s="18" t="s">
        <v>23</v>
      </c>
      <c r="G1091" s="18" t="s">
        <v>14</v>
      </c>
      <c r="H1091" s="18" t="s">
        <v>30</v>
      </c>
      <c r="I1091" s="18" t="s">
        <v>31</v>
      </c>
      <c r="J1091" s="19">
        <v>300000</v>
      </c>
      <c r="K1091" s="18">
        <v>8</v>
      </c>
      <c r="L1091" s="18" t="s">
        <v>35</v>
      </c>
      <c r="M1091" s="20">
        <f t="shared" si="35"/>
        <v>240000</v>
      </c>
      <c r="N1091" s="20">
        <f>'Working Sheet'!$J1091*'Working Sheet'!$K1091</f>
        <v>2400000</v>
      </c>
      <c r="O1091" s="21">
        <f>'Working Sheet'!$M1091*'Working Sheet'!$K1091</f>
        <v>1920000</v>
      </c>
      <c r="P1091" s="20">
        <f>'Working Sheet'!$N1091-'Working Sheet'!$O1091</f>
        <v>480000</v>
      </c>
    </row>
    <row r="1092" spans="1:16" ht="14.25" customHeight="1" x14ac:dyDescent="0.25">
      <c r="A1092" s="23" t="str">
        <f t="shared" ca="1" si="34"/>
        <v>ID_522</v>
      </c>
      <c r="B1092" s="22">
        <v>45731</v>
      </c>
      <c r="C1092" s="23" t="str">
        <f>TEXT('Working Sheet'!$B1092,"mmm")</f>
        <v>Mar</v>
      </c>
      <c r="D1092" s="23" t="s">
        <v>29</v>
      </c>
      <c r="E1092" s="23" t="s">
        <v>26</v>
      </c>
      <c r="F1092" s="23" t="s">
        <v>13</v>
      </c>
      <c r="G1092" s="23" t="s">
        <v>14</v>
      </c>
      <c r="H1092" s="23" t="s">
        <v>40</v>
      </c>
      <c r="I1092" s="23" t="s">
        <v>31</v>
      </c>
      <c r="J1092" s="24">
        <v>250000</v>
      </c>
      <c r="K1092" s="23">
        <v>5</v>
      </c>
      <c r="L1092" s="23" t="s">
        <v>35</v>
      </c>
      <c r="M1092" s="25">
        <f t="shared" si="35"/>
        <v>200000</v>
      </c>
      <c r="N1092" s="25">
        <f>'Working Sheet'!$J1092*'Working Sheet'!$K1092</f>
        <v>1250000</v>
      </c>
      <c r="O1092" s="26">
        <f>'Working Sheet'!$M1092*'Working Sheet'!$K1092</f>
        <v>1000000</v>
      </c>
      <c r="P1092" s="25">
        <f>'Working Sheet'!$N1092-'Working Sheet'!$O1092</f>
        <v>250000</v>
      </c>
    </row>
    <row r="1093" spans="1:16" ht="14.25" customHeight="1" x14ac:dyDescent="0.25">
      <c r="A1093" s="18" t="str">
        <f t="shared" ca="1" si="34"/>
        <v>ID_2075</v>
      </c>
      <c r="B1093" s="17">
        <v>45709</v>
      </c>
      <c r="C1093" s="18" t="str">
        <f>TEXT('Working Sheet'!$B1093,"mmm")</f>
        <v>Feb</v>
      </c>
      <c r="D1093" s="18" t="s">
        <v>18</v>
      </c>
      <c r="E1093" s="18" t="s">
        <v>32</v>
      </c>
      <c r="F1093" s="18" t="s">
        <v>23</v>
      </c>
      <c r="G1093" s="18" t="s">
        <v>20</v>
      </c>
      <c r="H1093" s="18" t="s">
        <v>38</v>
      </c>
      <c r="I1093" s="18" t="s">
        <v>31</v>
      </c>
      <c r="J1093" s="19">
        <v>420000</v>
      </c>
      <c r="K1093" s="18">
        <v>5</v>
      </c>
      <c r="L1093" s="18" t="s">
        <v>35</v>
      </c>
      <c r="M1093" s="20">
        <f t="shared" si="35"/>
        <v>336000</v>
      </c>
      <c r="N1093" s="20">
        <f>'Working Sheet'!$J1093*'Working Sheet'!$K1093</f>
        <v>2100000</v>
      </c>
      <c r="O1093" s="21">
        <f>'Working Sheet'!$M1093*'Working Sheet'!$K1093</f>
        <v>1680000</v>
      </c>
      <c r="P1093" s="20">
        <f>'Working Sheet'!$N1093-'Working Sheet'!$O1093</f>
        <v>420000</v>
      </c>
    </row>
    <row r="1094" spans="1:16" ht="14.25" customHeight="1" x14ac:dyDescent="0.25">
      <c r="A1094" s="23" t="str">
        <f t="shared" ca="1" si="34"/>
        <v>ID_470</v>
      </c>
      <c r="B1094" s="22">
        <v>45696</v>
      </c>
      <c r="C1094" s="23" t="str">
        <f>TEXT('Working Sheet'!$B1094,"mmm")</f>
        <v>Feb</v>
      </c>
      <c r="D1094" s="23" t="s">
        <v>18</v>
      </c>
      <c r="E1094" s="23" t="s">
        <v>26</v>
      </c>
      <c r="F1094" s="23" t="s">
        <v>23</v>
      </c>
      <c r="G1094" s="23" t="s">
        <v>14</v>
      </c>
      <c r="H1094" s="23" t="s">
        <v>38</v>
      </c>
      <c r="I1094" s="23" t="s">
        <v>31</v>
      </c>
      <c r="J1094" s="24">
        <v>420000</v>
      </c>
      <c r="K1094" s="23">
        <v>10</v>
      </c>
      <c r="L1094" s="23" t="s">
        <v>24</v>
      </c>
      <c r="M1094" s="25">
        <f t="shared" si="35"/>
        <v>336000</v>
      </c>
      <c r="N1094" s="25">
        <f>'Working Sheet'!$J1094*'Working Sheet'!$K1094</f>
        <v>4200000</v>
      </c>
      <c r="O1094" s="26">
        <f>'Working Sheet'!$M1094*'Working Sheet'!$K1094</f>
        <v>3360000</v>
      </c>
      <c r="P1094" s="25">
        <f>'Working Sheet'!$N1094-'Working Sheet'!$O1094</f>
        <v>840000</v>
      </c>
    </row>
    <row r="1095" spans="1:16" ht="14.25" customHeight="1" x14ac:dyDescent="0.25">
      <c r="A1095" s="18" t="str">
        <f t="shared" ca="1" si="34"/>
        <v>ID_1689</v>
      </c>
      <c r="B1095" s="17">
        <v>45767</v>
      </c>
      <c r="C1095" s="18" t="str">
        <f>TEXT('Working Sheet'!$B1095,"mmm")</f>
        <v>Apr</v>
      </c>
      <c r="D1095" s="18" t="s">
        <v>29</v>
      </c>
      <c r="E1095" s="18" t="s">
        <v>26</v>
      </c>
      <c r="F1095" s="18" t="s">
        <v>13</v>
      </c>
      <c r="G1095" s="18" t="s">
        <v>14</v>
      </c>
      <c r="H1095" s="18" t="s">
        <v>34</v>
      </c>
      <c r="I1095" s="18" t="s">
        <v>16</v>
      </c>
      <c r="J1095" s="19">
        <v>320000</v>
      </c>
      <c r="K1095" s="18">
        <v>1</v>
      </c>
      <c r="L1095" s="18" t="s">
        <v>28</v>
      </c>
      <c r="M1095" s="20">
        <f t="shared" si="35"/>
        <v>256000</v>
      </c>
      <c r="N1095" s="20">
        <f>'Working Sheet'!$J1095*'Working Sheet'!$K1095</f>
        <v>320000</v>
      </c>
      <c r="O1095" s="21">
        <f>'Working Sheet'!$M1095*'Working Sheet'!$K1095</f>
        <v>256000</v>
      </c>
      <c r="P1095" s="20">
        <f>'Working Sheet'!$N1095-'Working Sheet'!$O1095</f>
        <v>64000</v>
      </c>
    </row>
    <row r="1096" spans="1:16" ht="14.25" customHeight="1" x14ac:dyDescent="0.25">
      <c r="A1096" s="23" t="str">
        <f t="shared" ca="1" si="34"/>
        <v>ID_1823</v>
      </c>
      <c r="B1096" s="22">
        <v>45714</v>
      </c>
      <c r="C1096" s="23" t="str">
        <f>TEXT('Working Sheet'!$B1096,"mmm")</f>
        <v>Feb</v>
      </c>
      <c r="D1096" s="23" t="s">
        <v>25</v>
      </c>
      <c r="E1096" s="23" t="s">
        <v>32</v>
      </c>
      <c r="F1096" s="23" t="s">
        <v>13</v>
      </c>
      <c r="G1096" s="23" t="s">
        <v>14</v>
      </c>
      <c r="H1096" s="23" t="s">
        <v>34</v>
      </c>
      <c r="I1096" s="23" t="s">
        <v>16</v>
      </c>
      <c r="J1096" s="24">
        <v>320000</v>
      </c>
      <c r="K1096" s="23">
        <v>1</v>
      </c>
      <c r="L1096" s="23" t="s">
        <v>35</v>
      </c>
      <c r="M1096" s="25">
        <f t="shared" si="35"/>
        <v>256000</v>
      </c>
      <c r="N1096" s="25">
        <f>'Working Sheet'!$J1096*'Working Sheet'!$K1096</f>
        <v>320000</v>
      </c>
      <c r="O1096" s="26">
        <f>'Working Sheet'!$M1096*'Working Sheet'!$K1096</f>
        <v>256000</v>
      </c>
      <c r="P1096" s="25">
        <f>'Working Sheet'!$N1096-'Working Sheet'!$O1096</f>
        <v>64000</v>
      </c>
    </row>
    <row r="1097" spans="1:16" ht="14.25" customHeight="1" x14ac:dyDescent="0.25">
      <c r="A1097" s="18" t="str">
        <f t="shared" ca="1" si="34"/>
        <v>ID_736</v>
      </c>
      <c r="B1097" s="17">
        <v>45777</v>
      </c>
      <c r="C1097" s="18" t="str">
        <f>TEXT('Working Sheet'!$B1097,"mmm")</f>
        <v>Apr</v>
      </c>
      <c r="D1097" s="18" t="s">
        <v>29</v>
      </c>
      <c r="E1097" s="18" t="s">
        <v>26</v>
      </c>
      <c r="F1097" s="18" t="s">
        <v>23</v>
      </c>
      <c r="G1097" s="18" t="s">
        <v>20</v>
      </c>
      <c r="H1097" s="18" t="s">
        <v>36</v>
      </c>
      <c r="I1097" s="18" t="s">
        <v>31</v>
      </c>
      <c r="J1097" s="19">
        <v>150000</v>
      </c>
      <c r="K1097" s="18">
        <v>1</v>
      </c>
      <c r="L1097" s="18" t="s">
        <v>39</v>
      </c>
      <c r="M1097" s="20">
        <f t="shared" si="35"/>
        <v>120000</v>
      </c>
      <c r="N1097" s="20">
        <f>'Working Sheet'!$J1097*'Working Sheet'!$K1097</f>
        <v>150000</v>
      </c>
      <c r="O1097" s="21">
        <f>'Working Sheet'!$M1097*'Working Sheet'!$K1097</f>
        <v>120000</v>
      </c>
      <c r="P1097" s="20">
        <f>'Working Sheet'!$N1097-'Working Sheet'!$O1097</f>
        <v>30000</v>
      </c>
    </row>
    <row r="1098" spans="1:16" ht="14.25" customHeight="1" x14ac:dyDescent="0.25">
      <c r="A1098" s="23" t="str">
        <f t="shared" ca="1" si="34"/>
        <v>ID_1792</v>
      </c>
      <c r="B1098" s="22">
        <v>45663</v>
      </c>
      <c r="C1098" s="23" t="str">
        <f>TEXT('Working Sheet'!$B1098,"mmm")</f>
        <v>Jan</v>
      </c>
      <c r="D1098" s="23" t="s">
        <v>18</v>
      </c>
      <c r="E1098" s="23" t="s">
        <v>12</v>
      </c>
      <c r="F1098" s="23" t="s">
        <v>23</v>
      </c>
      <c r="G1098" s="23" t="s">
        <v>14</v>
      </c>
      <c r="H1098" s="23" t="s">
        <v>33</v>
      </c>
      <c r="I1098" s="23" t="s">
        <v>22</v>
      </c>
      <c r="J1098" s="24">
        <v>180000</v>
      </c>
      <c r="K1098" s="23">
        <v>10</v>
      </c>
      <c r="L1098" s="23" t="s">
        <v>28</v>
      </c>
      <c r="M1098" s="25">
        <f t="shared" si="35"/>
        <v>144000</v>
      </c>
      <c r="N1098" s="25">
        <f>'Working Sheet'!$J1098*'Working Sheet'!$K1098</f>
        <v>1800000</v>
      </c>
      <c r="O1098" s="26">
        <f>'Working Sheet'!$M1098*'Working Sheet'!$K1098</f>
        <v>1440000</v>
      </c>
      <c r="P1098" s="25">
        <f>'Working Sheet'!$N1098-'Working Sheet'!$O1098</f>
        <v>360000</v>
      </c>
    </row>
    <row r="1099" spans="1:16" ht="14.25" customHeight="1" x14ac:dyDescent="0.25">
      <c r="A1099" s="18" t="str">
        <f t="shared" ca="1" si="34"/>
        <v>ID_1231</v>
      </c>
      <c r="B1099" s="17">
        <v>45776</v>
      </c>
      <c r="C1099" s="18" t="str">
        <f>TEXT('Working Sheet'!$B1099,"mmm")</f>
        <v>Apr</v>
      </c>
      <c r="D1099" s="18" t="s">
        <v>29</v>
      </c>
      <c r="E1099" s="18" t="s">
        <v>26</v>
      </c>
      <c r="F1099" s="18" t="s">
        <v>13</v>
      </c>
      <c r="G1099" s="18" t="s">
        <v>20</v>
      </c>
      <c r="H1099" s="18" t="s">
        <v>38</v>
      </c>
      <c r="I1099" s="18" t="s">
        <v>31</v>
      </c>
      <c r="J1099" s="19">
        <v>420000</v>
      </c>
      <c r="K1099" s="18">
        <v>3</v>
      </c>
      <c r="L1099" s="18" t="s">
        <v>24</v>
      </c>
      <c r="M1099" s="20">
        <f t="shared" si="35"/>
        <v>336000</v>
      </c>
      <c r="N1099" s="20">
        <f>'Working Sheet'!$J1099*'Working Sheet'!$K1099</f>
        <v>1260000</v>
      </c>
      <c r="O1099" s="21">
        <f>'Working Sheet'!$M1099*'Working Sheet'!$K1099</f>
        <v>1008000</v>
      </c>
      <c r="P1099" s="20">
        <f>'Working Sheet'!$N1099-'Working Sheet'!$O1099</f>
        <v>252000</v>
      </c>
    </row>
    <row r="1100" spans="1:16" ht="14.25" customHeight="1" x14ac:dyDescent="0.25">
      <c r="A1100" s="23" t="str">
        <f t="shared" ca="1" si="34"/>
        <v>ID_2030</v>
      </c>
      <c r="B1100" s="22">
        <v>45717</v>
      </c>
      <c r="C1100" s="23" t="str">
        <f>TEXT('Working Sheet'!$B1100,"mmm")</f>
        <v>Mar</v>
      </c>
      <c r="D1100" s="23" t="s">
        <v>29</v>
      </c>
      <c r="E1100" s="23" t="s">
        <v>32</v>
      </c>
      <c r="F1100" s="23" t="s">
        <v>13</v>
      </c>
      <c r="G1100" s="23" t="s">
        <v>14</v>
      </c>
      <c r="H1100" s="23" t="s">
        <v>41</v>
      </c>
      <c r="I1100" s="23" t="s">
        <v>22</v>
      </c>
      <c r="J1100" s="24">
        <v>220000</v>
      </c>
      <c r="K1100" s="23">
        <v>10</v>
      </c>
      <c r="L1100" s="23" t="s">
        <v>39</v>
      </c>
      <c r="M1100" s="25">
        <f t="shared" si="35"/>
        <v>176000</v>
      </c>
      <c r="N1100" s="25">
        <f>'Working Sheet'!$J1100*'Working Sheet'!$K1100</f>
        <v>2200000</v>
      </c>
      <c r="O1100" s="26">
        <f>'Working Sheet'!$M1100*'Working Sheet'!$K1100</f>
        <v>1760000</v>
      </c>
      <c r="P1100" s="25">
        <f>'Working Sheet'!$N1100-'Working Sheet'!$O1100</f>
        <v>440000</v>
      </c>
    </row>
    <row r="1101" spans="1:16" ht="14.25" customHeight="1" x14ac:dyDescent="0.25">
      <c r="A1101" s="18" t="str">
        <f t="shared" ca="1" si="34"/>
        <v>ID_1514</v>
      </c>
      <c r="B1101" s="17">
        <v>45743</v>
      </c>
      <c r="C1101" s="18" t="str">
        <f>TEXT('Working Sheet'!$B1101,"mmm")</f>
        <v>Mar</v>
      </c>
      <c r="D1101" s="18" t="s">
        <v>18</v>
      </c>
      <c r="E1101" s="18" t="s">
        <v>32</v>
      </c>
      <c r="F1101" s="18" t="s">
        <v>23</v>
      </c>
      <c r="G1101" s="18" t="s">
        <v>20</v>
      </c>
      <c r="H1101" s="18" t="s">
        <v>38</v>
      </c>
      <c r="I1101" s="18" t="s">
        <v>31</v>
      </c>
      <c r="J1101" s="19">
        <v>420000</v>
      </c>
      <c r="K1101" s="18">
        <v>9</v>
      </c>
      <c r="L1101" s="18" t="s">
        <v>35</v>
      </c>
      <c r="M1101" s="20">
        <f t="shared" si="35"/>
        <v>336000</v>
      </c>
      <c r="N1101" s="20">
        <f>'Working Sheet'!$J1101*'Working Sheet'!$K1101</f>
        <v>3780000</v>
      </c>
      <c r="O1101" s="21">
        <f>'Working Sheet'!$M1101*'Working Sheet'!$K1101</f>
        <v>3024000</v>
      </c>
      <c r="P1101" s="20">
        <f>'Working Sheet'!$N1101-'Working Sheet'!$O1101</f>
        <v>756000</v>
      </c>
    </row>
    <row r="1102" spans="1:16" ht="14.25" customHeight="1" x14ac:dyDescent="0.25">
      <c r="A1102" s="23" t="str">
        <f t="shared" ca="1" si="34"/>
        <v>ID_1715</v>
      </c>
      <c r="B1102" s="22">
        <v>45709</v>
      </c>
      <c r="C1102" s="23" t="str">
        <f>TEXT('Working Sheet'!$B1102,"mmm")</f>
        <v>Feb</v>
      </c>
      <c r="D1102" s="23" t="s">
        <v>11</v>
      </c>
      <c r="E1102" s="23" t="s">
        <v>32</v>
      </c>
      <c r="F1102" s="23" t="s">
        <v>13</v>
      </c>
      <c r="G1102" s="23" t="s">
        <v>20</v>
      </c>
      <c r="H1102" s="23" t="s">
        <v>21</v>
      </c>
      <c r="I1102" s="23" t="s">
        <v>22</v>
      </c>
      <c r="J1102" s="24">
        <v>30000</v>
      </c>
      <c r="K1102" s="23">
        <v>6</v>
      </c>
      <c r="L1102" s="23" t="s">
        <v>39</v>
      </c>
      <c r="M1102" s="25">
        <f t="shared" si="35"/>
        <v>24000</v>
      </c>
      <c r="N1102" s="25">
        <f>'Working Sheet'!$J1102*'Working Sheet'!$K1102</f>
        <v>180000</v>
      </c>
      <c r="O1102" s="26">
        <f>'Working Sheet'!$M1102*'Working Sheet'!$K1102</f>
        <v>144000</v>
      </c>
      <c r="P1102" s="25">
        <f>'Working Sheet'!$N1102-'Working Sheet'!$O1102</f>
        <v>36000</v>
      </c>
    </row>
    <row r="1103" spans="1:16" ht="14.25" customHeight="1" x14ac:dyDescent="0.25">
      <c r="A1103" s="18" t="str">
        <f t="shared" ca="1" si="34"/>
        <v>ID_758</v>
      </c>
      <c r="B1103" s="17">
        <v>45777</v>
      </c>
      <c r="C1103" s="18" t="str">
        <f>TEXT('Working Sheet'!$B1103,"mmm")</f>
        <v>Apr</v>
      </c>
      <c r="D1103" s="18" t="s">
        <v>29</v>
      </c>
      <c r="E1103" s="18" t="s">
        <v>12</v>
      </c>
      <c r="F1103" s="18" t="s">
        <v>13</v>
      </c>
      <c r="G1103" s="18" t="s">
        <v>20</v>
      </c>
      <c r="H1103" s="18" t="s">
        <v>40</v>
      </c>
      <c r="I1103" s="18" t="s">
        <v>31</v>
      </c>
      <c r="J1103" s="19">
        <v>250000</v>
      </c>
      <c r="K1103" s="18">
        <v>10</v>
      </c>
      <c r="L1103" s="18" t="s">
        <v>24</v>
      </c>
      <c r="M1103" s="20">
        <f t="shared" si="35"/>
        <v>200000</v>
      </c>
      <c r="N1103" s="20">
        <f>'Working Sheet'!$J1103*'Working Sheet'!$K1103</f>
        <v>2500000</v>
      </c>
      <c r="O1103" s="21">
        <f>'Working Sheet'!$M1103*'Working Sheet'!$K1103</f>
        <v>2000000</v>
      </c>
      <c r="P1103" s="20">
        <f>'Working Sheet'!$N1103-'Working Sheet'!$O1103</f>
        <v>500000</v>
      </c>
    </row>
    <row r="1104" spans="1:16" ht="14.25" customHeight="1" x14ac:dyDescent="0.25">
      <c r="A1104" s="23" t="str">
        <f t="shared" ca="1" si="34"/>
        <v>ID_1779</v>
      </c>
      <c r="B1104" s="22">
        <v>45665</v>
      </c>
      <c r="C1104" s="23" t="str">
        <f>TEXT('Working Sheet'!$B1104,"mmm")</f>
        <v>Jan</v>
      </c>
      <c r="D1104" s="23" t="s">
        <v>18</v>
      </c>
      <c r="E1104" s="23" t="s">
        <v>26</v>
      </c>
      <c r="F1104" s="23" t="s">
        <v>13</v>
      </c>
      <c r="G1104" s="23" t="s">
        <v>20</v>
      </c>
      <c r="H1104" s="23" t="s">
        <v>15</v>
      </c>
      <c r="I1104" s="23" t="s">
        <v>16</v>
      </c>
      <c r="J1104" s="24">
        <v>85000</v>
      </c>
      <c r="K1104" s="23">
        <v>6</v>
      </c>
      <c r="L1104" s="23" t="s">
        <v>39</v>
      </c>
      <c r="M1104" s="25">
        <f t="shared" si="35"/>
        <v>68000</v>
      </c>
      <c r="N1104" s="25">
        <f>'Working Sheet'!$J1104*'Working Sheet'!$K1104</f>
        <v>510000</v>
      </c>
      <c r="O1104" s="26">
        <f>'Working Sheet'!$M1104*'Working Sheet'!$K1104</f>
        <v>408000</v>
      </c>
      <c r="P1104" s="25">
        <f>'Working Sheet'!$N1104-'Working Sheet'!$O1104</f>
        <v>102000</v>
      </c>
    </row>
    <row r="1105" spans="1:16" ht="14.25" customHeight="1" x14ac:dyDescent="0.25">
      <c r="A1105" s="18" t="str">
        <f t="shared" ca="1" si="34"/>
        <v>ID_896</v>
      </c>
      <c r="B1105" s="17">
        <v>45719</v>
      </c>
      <c r="C1105" s="18" t="str">
        <f>TEXT('Working Sheet'!$B1105,"mmm")</f>
        <v>Mar</v>
      </c>
      <c r="D1105" s="18" t="s">
        <v>29</v>
      </c>
      <c r="E1105" s="18" t="s">
        <v>19</v>
      </c>
      <c r="F1105" s="18" t="s">
        <v>23</v>
      </c>
      <c r="G1105" s="18" t="s">
        <v>20</v>
      </c>
      <c r="H1105" s="18" t="s">
        <v>38</v>
      </c>
      <c r="I1105" s="18" t="s">
        <v>31</v>
      </c>
      <c r="J1105" s="19">
        <v>420000</v>
      </c>
      <c r="K1105" s="18">
        <v>3</v>
      </c>
      <c r="L1105" s="18" t="s">
        <v>37</v>
      </c>
      <c r="M1105" s="20">
        <f t="shared" si="35"/>
        <v>336000</v>
      </c>
      <c r="N1105" s="20">
        <f>'Working Sheet'!$J1105*'Working Sheet'!$K1105</f>
        <v>1260000</v>
      </c>
      <c r="O1105" s="21">
        <f>'Working Sheet'!$M1105*'Working Sheet'!$K1105</f>
        <v>1008000</v>
      </c>
      <c r="P1105" s="20">
        <f>'Working Sheet'!$N1105-'Working Sheet'!$O1105</f>
        <v>252000</v>
      </c>
    </row>
    <row r="1106" spans="1:16" ht="14.25" customHeight="1" x14ac:dyDescent="0.25">
      <c r="A1106" s="23" t="str">
        <f t="shared" ca="1" si="34"/>
        <v>ID_1412</v>
      </c>
      <c r="B1106" s="22">
        <v>45703</v>
      </c>
      <c r="C1106" s="23" t="str">
        <f>TEXT('Working Sheet'!$B1106,"mmm")</f>
        <v>Feb</v>
      </c>
      <c r="D1106" s="23" t="s">
        <v>18</v>
      </c>
      <c r="E1106" s="23" t="s">
        <v>32</v>
      </c>
      <c r="F1106" s="23" t="s">
        <v>13</v>
      </c>
      <c r="G1106" s="23" t="s">
        <v>14</v>
      </c>
      <c r="H1106" s="23" t="s">
        <v>36</v>
      </c>
      <c r="I1106" s="23" t="s">
        <v>31</v>
      </c>
      <c r="J1106" s="24">
        <v>150000</v>
      </c>
      <c r="K1106" s="23">
        <v>8</v>
      </c>
      <c r="L1106" s="23" t="s">
        <v>17</v>
      </c>
      <c r="M1106" s="25">
        <f t="shared" si="35"/>
        <v>120000</v>
      </c>
      <c r="N1106" s="25">
        <f>'Working Sheet'!$J1106*'Working Sheet'!$K1106</f>
        <v>1200000</v>
      </c>
      <c r="O1106" s="26">
        <f>'Working Sheet'!$M1106*'Working Sheet'!$K1106</f>
        <v>960000</v>
      </c>
      <c r="P1106" s="25">
        <f>'Working Sheet'!$N1106-'Working Sheet'!$O1106</f>
        <v>240000</v>
      </c>
    </row>
    <row r="1107" spans="1:16" ht="14.25" customHeight="1" x14ac:dyDescent="0.25">
      <c r="A1107" s="18" t="str">
        <f t="shared" ca="1" si="34"/>
        <v>ID_1673</v>
      </c>
      <c r="B1107" s="17">
        <v>45664</v>
      </c>
      <c r="C1107" s="18" t="str">
        <f>TEXT('Working Sheet'!$B1107,"mmm")</f>
        <v>Jan</v>
      </c>
      <c r="D1107" s="18" t="s">
        <v>11</v>
      </c>
      <c r="E1107" s="18" t="s">
        <v>19</v>
      </c>
      <c r="F1107" s="18" t="s">
        <v>23</v>
      </c>
      <c r="G1107" s="18" t="s">
        <v>14</v>
      </c>
      <c r="H1107" s="18" t="s">
        <v>27</v>
      </c>
      <c r="I1107" s="18" t="s">
        <v>22</v>
      </c>
      <c r="J1107" s="19">
        <v>60000</v>
      </c>
      <c r="K1107" s="18">
        <v>5</v>
      </c>
      <c r="L1107" s="18" t="s">
        <v>35</v>
      </c>
      <c r="M1107" s="20">
        <f t="shared" si="35"/>
        <v>48000</v>
      </c>
      <c r="N1107" s="20">
        <f>'Working Sheet'!$J1107*'Working Sheet'!$K1107</f>
        <v>300000</v>
      </c>
      <c r="O1107" s="21">
        <f>'Working Sheet'!$M1107*'Working Sheet'!$K1107</f>
        <v>240000</v>
      </c>
      <c r="P1107" s="20">
        <f>'Working Sheet'!$N1107-'Working Sheet'!$O1107</f>
        <v>60000</v>
      </c>
    </row>
    <row r="1108" spans="1:16" ht="14.25" customHeight="1" x14ac:dyDescent="0.25">
      <c r="A1108" s="23" t="str">
        <f t="shared" ca="1" si="34"/>
        <v>ID_1340</v>
      </c>
      <c r="B1108" s="22">
        <v>45692</v>
      </c>
      <c r="C1108" s="23" t="str">
        <f>TEXT('Working Sheet'!$B1108,"mmm")</f>
        <v>Feb</v>
      </c>
      <c r="D1108" s="23" t="s">
        <v>11</v>
      </c>
      <c r="E1108" s="23" t="s">
        <v>26</v>
      </c>
      <c r="F1108" s="23" t="s">
        <v>23</v>
      </c>
      <c r="G1108" s="23" t="s">
        <v>20</v>
      </c>
      <c r="H1108" s="23" t="s">
        <v>34</v>
      </c>
      <c r="I1108" s="23" t="s">
        <v>16</v>
      </c>
      <c r="J1108" s="24">
        <v>320000</v>
      </c>
      <c r="K1108" s="23">
        <v>9</v>
      </c>
      <c r="L1108" s="23" t="s">
        <v>37</v>
      </c>
      <c r="M1108" s="25">
        <f t="shared" si="35"/>
        <v>256000</v>
      </c>
      <c r="N1108" s="25">
        <f>'Working Sheet'!$J1108*'Working Sheet'!$K1108</f>
        <v>2880000</v>
      </c>
      <c r="O1108" s="26">
        <f>'Working Sheet'!$M1108*'Working Sheet'!$K1108</f>
        <v>2304000</v>
      </c>
      <c r="P1108" s="25">
        <f>'Working Sheet'!$N1108-'Working Sheet'!$O1108</f>
        <v>576000</v>
      </c>
    </row>
    <row r="1109" spans="1:16" ht="14.25" customHeight="1" x14ac:dyDescent="0.25">
      <c r="A1109" s="18" t="str">
        <f t="shared" ca="1" si="34"/>
        <v>ID_1774</v>
      </c>
      <c r="B1109" s="17">
        <v>45684</v>
      </c>
      <c r="C1109" s="18" t="str">
        <f>TEXT('Working Sheet'!$B1109,"mmm")</f>
        <v>Jan</v>
      </c>
      <c r="D1109" s="18" t="s">
        <v>11</v>
      </c>
      <c r="E1109" s="18" t="s">
        <v>19</v>
      </c>
      <c r="F1109" s="18" t="s">
        <v>23</v>
      </c>
      <c r="G1109" s="18" t="s">
        <v>14</v>
      </c>
      <c r="H1109" s="18" t="s">
        <v>38</v>
      </c>
      <c r="I1109" s="18" t="s">
        <v>31</v>
      </c>
      <c r="J1109" s="19">
        <v>420000</v>
      </c>
      <c r="K1109" s="18">
        <v>5</v>
      </c>
      <c r="L1109" s="18" t="s">
        <v>17</v>
      </c>
      <c r="M1109" s="20">
        <f t="shared" si="35"/>
        <v>336000</v>
      </c>
      <c r="N1109" s="20">
        <f>'Working Sheet'!$J1109*'Working Sheet'!$K1109</f>
        <v>2100000</v>
      </c>
      <c r="O1109" s="21">
        <f>'Working Sheet'!$M1109*'Working Sheet'!$K1109</f>
        <v>1680000</v>
      </c>
      <c r="P1109" s="20">
        <f>'Working Sheet'!$N1109-'Working Sheet'!$O1109</f>
        <v>420000</v>
      </c>
    </row>
    <row r="1110" spans="1:16" ht="14.25" customHeight="1" x14ac:dyDescent="0.25">
      <c r="A1110" s="23" t="str">
        <f t="shared" ca="1" si="34"/>
        <v>ID_1915</v>
      </c>
      <c r="B1110" s="22">
        <v>45660</v>
      </c>
      <c r="C1110" s="23" t="str">
        <f>TEXT('Working Sheet'!$B1110,"mmm")</f>
        <v>Jan</v>
      </c>
      <c r="D1110" s="23" t="s">
        <v>29</v>
      </c>
      <c r="E1110" s="23" t="s">
        <v>19</v>
      </c>
      <c r="F1110" s="23" t="s">
        <v>23</v>
      </c>
      <c r="G1110" s="23" t="s">
        <v>14</v>
      </c>
      <c r="H1110" s="23" t="s">
        <v>27</v>
      </c>
      <c r="I1110" s="23" t="s">
        <v>22</v>
      </c>
      <c r="J1110" s="24">
        <v>60000</v>
      </c>
      <c r="K1110" s="23">
        <v>9</v>
      </c>
      <c r="L1110" s="23" t="s">
        <v>28</v>
      </c>
      <c r="M1110" s="25">
        <f t="shared" si="35"/>
        <v>48000</v>
      </c>
      <c r="N1110" s="25">
        <f>'Working Sheet'!$J1110*'Working Sheet'!$K1110</f>
        <v>540000</v>
      </c>
      <c r="O1110" s="26">
        <f>'Working Sheet'!$M1110*'Working Sheet'!$K1110</f>
        <v>432000</v>
      </c>
      <c r="P1110" s="25">
        <f>'Working Sheet'!$N1110-'Working Sheet'!$O1110</f>
        <v>108000</v>
      </c>
    </row>
    <row r="1111" spans="1:16" ht="14.25" customHeight="1" x14ac:dyDescent="0.25">
      <c r="A1111" s="18" t="str">
        <f t="shared" ca="1" si="34"/>
        <v>ID_81</v>
      </c>
      <c r="B1111" s="17">
        <v>45712</v>
      </c>
      <c r="C1111" s="18" t="str">
        <f>TEXT('Working Sheet'!$B1111,"mmm")</f>
        <v>Feb</v>
      </c>
      <c r="D1111" s="18" t="s">
        <v>25</v>
      </c>
      <c r="E1111" s="18" t="s">
        <v>19</v>
      </c>
      <c r="F1111" s="18" t="s">
        <v>13</v>
      </c>
      <c r="G1111" s="18" t="s">
        <v>14</v>
      </c>
      <c r="H1111" s="18" t="s">
        <v>38</v>
      </c>
      <c r="I1111" s="18" t="s">
        <v>31</v>
      </c>
      <c r="J1111" s="19">
        <v>420000</v>
      </c>
      <c r="K1111" s="18">
        <v>1</v>
      </c>
      <c r="L1111" s="18" t="s">
        <v>39</v>
      </c>
      <c r="M1111" s="20">
        <f t="shared" si="35"/>
        <v>336000</v>
      </c>
      <c r="N1111" s="20">
        <f>'Working Sheet'!$J1111*'Working Sheet'!$K1111</f>
        <v>420000</v>
      </c>
      <c r="O1111" s="21">
        <f>'Working Sheet'!$M1111*'Working Sheet'!$K1111</f>
        <v>336000</v>
      </c>
      <c r="P1111" s="20">
        <f>'Working Sheet'!$N1111-'Working Sheet'!$O1111</f>
        <v>84000</v>
      </c>
    </row>
    <row r="1112" spans="1:16" ht="14.25" customHeight="1" x14ac:dyDescent="0.25">
      <c r="A1112" s="23" t="str">
        <f t="shared" ca="1" si="34"/>
        <v>ID_1234</v>
      </c>
      <c r="B1112" s="22">
        <v>45667</v>
      </c>
      <c r="C1112" s="23" t="str">
        <f>TEXT('Working Sheet'!$B1112,"mmm")</f>
        <v>Jan</v>
      </c>
      <c r="D1112" s="23" t="s">
        <v>18</v>
      </c>
      <c r="E1112" s="23" t="s">
        <v>32</v>
      </c>
      <c r="F1112" s="23" t="s">
        <v>13</v>
      </c>
      <c r="G1112" s="23" t="s">
        <v>14</v>
      </c>
      <c r="H1112" s="23" t="s">
        <v>36</v>
      </c>
      <c r="I1112" s="23" t="s">
        <v>31</v>
      </c>
      <c r="J1112" s="24">
        <v>150000</v>
      </c>
      <c r="K1112" s="23">
        <v>9</v>
      </c>
      <c r="L1112" s="23" t="s">
        <v>37</v>
      </c>
      <c r="M1112" s="25">
        <f t="shared" si="35"/>
        <v>120000</v>
      </c>
      <c r="N1112" s="25">
        <f>'Working Sheet'!$J1112*'Working Sheet'!$K1112</f>
        <v>1350000</v>
      </c>
      <c r="O1112" s="26">
        <f>'Working Sheet'!$M1112*'Working Sheet'!$K1112</f>
        <v>1080000</v>
      </c>
      <c r="P1112" s="25">
        <f>'Working Sheet'!$N1112-'Working Sheet'!$O1112</f>
        <v>270000</v>
      </c>
    </row>
    <row r="1113" spans="1:16" ht="14.25" customHeight="1" x14ac:dyDescent="0.25">
      <c r="A1113" s="18" t="str">
        <f t="shared" ca="1" si="34"/>
        <v>ID_625</v>
      </c>
      <c r="B1113" s="17">
        <v>45774</v>
      </c>
      <c r="C1113" s="18" t="str">
        <f>TEXT('Working Sheet'!$B1113,"mmm")</f>
        <v>Apr</v>
      </c>
      <c r="D1113" s="18" t="s">
        <v>25</v>
      </c>
      <c r="E1113" s="18" t="s">
        <v>32</v>
      </c>
      <c r="F1113" s="18" t="s">
        <v>23</v>
      </c>
      <c r="G1113" s="18" t="s">
        <v>20</v>
      </c>
      <c r="H1113" s="18" t="s">
        <v>41</v>
      </c>
      <c r="I1113" s="18" t="s">
        <v>22</v>
      </c>
      <c r="J1113" s="19">
        <v>220000</v>
      </c>
      <c r="K1113" s="18">
        <v>7</v>
      </c>
      <c r="L1113" s="18" t="s">
        <v>17</v>
      </c>
      <c r="M1113" s="20">
        <f t="shared" si="35"/>
        <v>176000</v>
      </c>
      <c r="N1113" s="20">
        <f>'Working Sheet'!$J1113*'Working Sheet'!$K1113</f>
        <v>1540000</v>
      </c>
      <c r="O1113" s="21">
        <f>'Working Sheet'!$M1113*'Working Sheet'!$K1113</f>
        <v>1232000</v>
      </c>
      <c r="P1113" s="20">
        <f>'Working Sheet'!$N1113-'Working Sheet'!$O1113</f>
        <v>308000</v>
      </c>
    </row>
    <row r="1114" spans="1:16" ht="14.25" customHeight="1" x14ac:dyDescent="0.25">
      <c r="A1114" s="23" t="str">
        <f t="shared" ca="1" si="34"/>
        <v>ID_660</v>
      </c>
      <c r="B1114" s="22">
        <v>45694</v>
      </c>
      <c r="C1114" s="23" t="str">
        <f>TEXT('Working Sheet'!$B1114,"mmm")</f>
        <v>Feb</v>
      </c>
      <c r="D1114" s="23" t="s">
        <v>29</v>
      </c>
      <c r="E1114" s="23" t="s">
        <v>12</v>
      </c>
      <c r="F1114" s="23" t="s">
        <v>13</v>
      </c>
      <c r="G1114" s="23" t="s">
        <v>20</v>
      </c>
      <c r="H1114" s="23" t="s">
        <v>34</v>
      </c>
      <c r="I1114" s="23" t="s">
        <v>16</v>
      </c>
      <c r="J1114" s="24">
        <v>320000</v>
      </c>
      <c r="K1114" s="23">
        <v>3</v>
      </c>
      <c r="L1114" s="23" t="s">
        <v>35</v>
      </c>
      <c r="M1114" s="25">
        <f t="shared" si="35"/>
        <v>256000</v>
      </c>
      <c r="N1114" s="25">
        <f>'Working Sheet'!$J1114*'Working Sheet'!$K1114</f>
        <v>960000</v>
      </c>
      <c r="O1114" s="26">
        <f>'Working Sheet'!$M1114*'Working Sheet'!$K1114</f>
        <v>768000</v>
      </c>
      <c r="P1114" s="25">
        <f>'Working Sheet'!$N1114-'Working Sheet'!$O1114</f>
        <v>192000</v>
      </c>
    </row>
    <row r="1115" spans="1:16" ht="14.25" customHeight="1" x14ac:dyDescent="0.25">
      <c r="A1115" s="18" t="str">
        <f t="shared" ca="1" si="34"/>
        <v>ID_1851</v>
      </c>
      <c r="B1115" s="17">
        <v>45706</v>
      </c>
      <c r="C1115" s="18" t="str">
        <f>TEXT('Working Sheet'!$B1115,"mmm")</f>
        <v>Feb</v>
      </c>
      <c r="D1115" s="18" t="s">
        <v>25</v>
      </c>
      <c r="E1115" s="18" t="s">
        <v>19</v>
      </c>
      <c r="F1115" s="18" t="s">
        <v>23</v>
      </c>
      <c r="G1115" s="18" t="s">
        <v>14</v>
      </c>
      <c r="H1115" s="18" t="s">
        <v>34</v>
      </c>
      <c r="I1115" s="18" t="s">
        <v>16</v>
      </c>
      <c r="J1115" s="19">
        <v>320000</v>
      </c>
      <c r="K1115" s="18">
        <v>8</v>
      </c>
      <c r="L1115" s="18" t="s">
        <v>37</v>
      </c>
      <c r="M1115" s="20">
        <f t="shared" si="35"/>
        <v>256000</v>
      </c>
      <c r="N1115" s="20">
        <f>'Working Sheet'!$J1115*'Working Sheet'!$K1115</f>
        <v>2560000</v>
      </c>
      <c r="O1115" s="21">
        <f>'Working Sheet'!$M1115*'Working Sheet'!$K1115</f>
        <v>2048000</v>
      </c>
      <c r="P1115" s="20">
        <f>'Working Sheet'!$N1115-'Working Sheet'!$O1115</f>
        <v>512000</v>
      </c>
    </row>
    <row r="1116" spans="1:16" ht="14.25" customHeight="1" x14ac:dyDescent="0.25">
      <c r="A1116" s="23" t="str">
        <f t="shared" ca="1" si="34"/>
        <v>ID_1795</v>
      </c>
      <c r="B1116" s="22">
        <v>45682</v>
      </c>
      <c r="C1116" s="23" t="str">
        <f>TEXT('Working Sheet'!$B1116,"mmm")</f>
        <v>Jan</v>
      </c>
      <c r="D1116" s="23" t="s">
        <v>25</v>
      </c>
      <c r="E1116" s="23" t="s">
        <v>26</v>
      </c>
      <c r="F1116" s="23" t="s">
        <v>23</v>
      </c>
      <c r="G1116" s="23" t="s">
        <v>14</v>
      </c>
      <c r="H1116" s="23" t="s">
        <v>36</v>
      </c>
      <c r="I1116" s="23" t="s">
        <v>31</v>
      </c>
      <c r="J1116" s="24">
        <v>150000</v>
      </c>
      <c r="K1116" s="23">
        <v>3</v>
      </c>
      <c r="L1116" s="23" t="s">
        <v>37</v>
      </c>
      <c r="M1116" s="25">
        <f t="shared" si="35"/>
        <v>120000</v>
      </c>
      <c r="N1116" s="25">
        <f>'Working Sheet'!$J1116*'Working Sheet'!$K1116</f>
        <v>450000</v>
      </c>
      <c r="O1116" s="26">
        <f>'Working Sheet'!$M1116*'Working Sheet'!$K1116</f>
        <v>360000</v>
      </c>
      <c r="P1116" s="25">
        <f>'Working Sheet'!$N1116-'Working Sheet'!$O1116</f>
        <v>90000</v>
      </c>
    </row>
    <row r="1117" spans="1:16" ht="14.25" customHeight="1" x14ac:dyDescent="0.25">
      <c r="A1117" s="18" t="str">
        <f t="shared" ca="1" si="34"/>
        <v>ID_731</v>
      </c>
      <c r="B1117" s="17">
        <v>45748</v>
      </c>
      <c r="C1117" s="18" t="str">
        <f>TEXT('Working Sheet'!$B1117,"mmm")</f>
        <v>Apr</v>
      </c>
      <c r="D1117" s="18" t="s">
        <v>11</v>
      </c>
      <c r="E1117" s="18" t="s">
        <v>32</v>
      </c>
      <c r="F1117" s="18" t="s">
        <v>13</v>
      </c>
      <c r="G1117" s="18" t="s">
        <v>14</v>
      </c>
      <c r="H1117" s="18" t="s">
        <v>40</v>
      </c>
      <c r="I1117" s="18" t="s">
        <v>31</v>
      </c>
      <c r="J1117" s="19">
        <v>250000</v>
      </c>
      <c r="K1117" s="18">
        <v>9</v>
      </c>
      <c r="L1117" s="18" t="s">
        <v>17</v>
      </c>
      <c r="M1117" s="20">
        <f t="shared" si="35"/>
        <v>200000</v>
      </c>
      <c r="N1117" s="20">
        <f>'Working Sheet'!$J1117*'Working Sheet'!$K1117</f>
        <v>2250000</v>
      </c>
      <c r="O1117" s="21">
        <f>'Working Sheet'!$M1117*'Working Sheet'!$K1117</f>
        <v>1800000</v>
      </c>
      <c r="P1117" s="20">
        <f>'Working Sheet'!$N1117-'Working Sheet'!$O1117</f>
        <v>450000</v>
      </c>
    </row>
    <row r="1118" spans="1:16" ht="14.25" customHeight="1" x14ac:dyDescent="0.25">
      <c r="A1118" s="23" t="str">
        <f t="shared" ca="1" si="34"/>
        <v>ID_1308</v>
      </c>
      <c r="B1118" s="22">
        <v>45705</v>
      </c>
      <c r="C1118" s="23" t="str">
        <f>TEXT('Working Sheet'!$B1118,"mmm")</f>
        <v>Feb</v>
      </c>
      <c r="D1118" s="23" t="s">
        <v>11</v>
      </c>
      <c r="E1118" s="23" t="s">
        <v>19</v>
      </c>
      <c r="F1118" s="23" t="s">
        <v>13</v>
      </c>
      <c r="G1118" s="23" t="s">
        <v>20</v>
      </c>
      <c r="H1118" s="23" t="s">
        <v>38</v>
      </c>
      <c r="I1118" s="23" t="s">
        <v>31</v>
      </c>
      <c r="J1118" s="24">
        <v>420000</v>
      </c>
      <c r="K1118" s="23">
        <v>7</v>
      </c>
      <c r="L1118" s="23" t="s">
        <v>28</v>
      </c>
      <c r="M1118" s="25">
        <f t="shared" si="35"/>
        <v>336000</v>
      </c>
      <c r="N1118" s="25">
        <f>'Working Sheet'!$J1118*'Working Sheet'!$K1118</f>
        <v>2940000</v>
      </c>
      <c r="O1118" s="26">
        <f>'Working Sheet'!$M1118*'Working Sheet'!$K1118</f>
        <v>2352000</v>
      </c>
      <c r="P1118" s="25">
        <f>'Working Sheet'!$N1118-'Working Sheet'!$O1118</f>
        <v>588000</v>
      </c>
    </row>
    <row r="1119" spans="1:16" ht="14.25" customHeight="1" x14ac:dyDescent="0.25">
      <c r="A1119" s="18" t="str">
        <f t="shared" ca="1" si="34"/>
        <v>ID_705</v>
      </c>
      <c r="B1119" s="17">
        <v>45729</v>
      </c>
      <c r="C1119" s="18" t="str">
        <f>TEXT('Working Sheet'!$B1119,"mmm")</f>
        <v>Mar</v>
      </c>
      <c r="D1119" s="18" t="s">
        <v>11</v>
      </c>
      <c r="E1119" s="18" t="s">
        <v>12</v>
      </c>
      <c r="F1119" s="18" t="s">
        <v>23</v>
      </c>
      <c r="G1119" s="18" t="s">
        <v>20</v>
      </c>
      <c r="H1119" s="18" t="s">
        <v>40</v>
      </c>
      <c r="I1119" s="18" t="s">
        <v>31</v>
      </c>
      <c r="J1119" s="19">
        <v>250000</v>
      </c>
      <c r="K1119" s="18">
        <v>10</v>
      </c>
      <c r="L1119" s="18" t="s">
        <v>24</v>
      </c>
      <c r="M1119" s="20">
        <f t="shared" si="35"/>
        <v>200000</v>
      </c>
      <c r="N1119" s="20">
        <f>'Working Sheet'!$J1119*'Working Sheet'!$K1119</f>
        <v>2500000</v>
      </c>
      <c r="O1119" s="21">
        <f>'Working Sheet'!$M1119*'Working Sheet'!$K1119</f>
        <v>2000000</v>
      </c>
      <c r="P1119" s="20">
        <f>'Working Sheet'!$N1119-'Working Sheet'!$O1119</f>
        <v>500000</v>
      </c>
    </row>
    <row r="1120" spans="1:16" ht="14.25" customHeight="1" x14ac:dyDescent="0.25">
      <c r="A1120" s="23" t="str">
        <f t="shared" ca="1" si="34"/>
        <v>ID_1311</v>
      </c>
      <c r="B1120" s="22">
        <v>45749</v>
      </c>
      <c r="C1120" s="23" t="str">
        <f>TEXT('Working Sheet'!$B1120,"mmm")</f>
        <v>Apr</v>
      </c>
      <c r="D1120" s="23" t="s">
        <v>18</v>
      </c>
      <c r="E1120" s="23" t="s">
        <v>26</v>
      </c>
      <c r="F1120" s="23" t="s">
        <v>13</v>
      </c>
      <c r="G1120" s="23" t="s">
        <v>14</v>
      </c>
      <c r="H1120" s="23" t="s">
        <v>27</v>
      </c>
      <c r="I1120" s="23" t="s">
        <v>22</v>
      </c>
      <c r="J1120" s="24">
        <v>60000</v>
      </c>
      <c r="K1120" s="23">
        <v>4</v>
      </c>
      <c r="L1120" s="23" t="s">
        <v>24</v>
      </c>
      <c r="M1120" s="25">
        <f t="shared" si="35"/>
        <v>48000</v>
      </c>
      <c r="N1120" s="25">
        <f>'Working Sheet'!$J1120*'Working Sheet'!$K1120</f>
        <v>240000</v>
      </c>
      <c r="O1120" s="26">
        <f>'Working Sheet'!$M1120*'Working Sheet'!$K1120</f>
        <v>192000</v>
      </c>
      <c r="P1120" s="25">
        <f>'Working Sheet'!$N1120-'Working Sheet'!$O1120</f>
        <v>48000</v>
      </c>
    </row>
    <row r="1121" spans="1:16" ht="14.25" customHeight="1" x14ac:dyDescent="0.25">
      <c r="A1121" s="18" t="str">
        <f t="shared" ca="1" si="34"/>
        <v>ID_1110</v>
      </c>
      <c r="B1121" s="17">
        <v>45727</v>
      </c>
      <c r="C1121" s="18" t="str">
        <f>TEXT('Working Sheet'!$B1121,"mmm")</f>
        <v>Mar</v>
      </c>
      <c r="D1121" s="18" t="s">
        <v>29</v>
      </c>
      <c r="E1121" s="18" t="s">
        <v>19</v>
      </c>
      <c r="F1121" s="18" t="s">
        <v>13</v>
      </c>
      <c r="G1121" s="18" t="s">
        <v>14</v>
      </c>
      <c r="H1121" s="18" t="s">
        <v>40</v>
      </c>
      <c r="I1121" s="18" t="s">
        <v>31</v>
      </c>
      <c r="J1121" s="19">
        <v>250000</v>
      </c>
      <c r="K1121" s="18">
        <v>4</v>
      </c>
      <c r="L1121" s="18" t="s">
        <v>17</v>
      </c>
      <c r="M1121" s="20">
        <f t="shared" si="35"/>
        <v>200000</v>
      </c>
      <c r="N1121" s="20">
        <f>'Working Sheet'!$J1121*'Working Sheet'!$K1121</f>
        <v>1000000</v>
      </c>
      <c r="O1121" s="21">
        <f>'Working Sheet'!$M1121*'Working Sheet'!$K1121</f>
        <v>800000</v>
      </c>
      <c r="P1121" s="20">
        <f>'Working Sheet'!$N1121-'Working Sheet'!$O1121</f>
        <v>200000</v>
      </c>
    </row>
    <row r="1122" spans="1:16" ht="14.25" customHeight="1" x14ac:dyDescent="0.25">
      <c r="A1122" s="23" t="str">
        <f t="shared" ca="1" si="34"/>
        <v>ID_861</v>
      </c>
      <c r="B1122" s="22">
        <v>45698</v>
      </c>
      <c r="C1122" s="23" t="str">
        <f>TEXT('Working Sheet'!$B1122,"mmm")</f>
        <v>Feb</v>
      </c>
      <c r="D1122" s="23" t="s">
        <v>29</v>
      </c>
      <c r="E1122" s="23" t="s">
        <v>12</v>
      </c>
      <c r="F1122" s="23" t="s">
        <v>13</v>
      </c>
      <c r="G1122" s="23" t="s">
        <v>14</v>
      </c>
      <c r="H1122" s="23" t="s">
        <v>30</v>
      </c>
      <c r="I1122" s="23" t="s">
        <v>31</v>
      </c>
      <c r="J1122" s="24">
        <v>300000</v>
      </c>
      <c r="K1122" s="23">
        <v>3</v>
      </c>
      <c r="L1122" s="23" t="s">
        <v>39</v>
      </c>
      <c r="M1122" s="25">
        <f t="shared" si="35"/>
        <v>240000</v>
      </c>
      <c r="N1122" s="25">
        <f>'Working Sheet'!$J1122*'Working Sheet'!$K1122</f>
        <v>900000</v>
      </c>
      <c r="O1122" s="26">
        <f>'Working Sheet'!$M1122*'Working Sheet'!$K1122</f>
        <v>720000</v>
      </c>
      <c r="P1122" s="25">
        <f>'Working Sheet'!$N1122-'Working Sheet'!$O1122</f>
        <v>180000</v>
      </c>
    </row>
    <row r="1123" spans="1:16" ht="14.25" customHeight="1" x14ac:dyDescent="0.25">
      <c r="A1123" s="18" t="str">
        <f t="shared" ca="1" si="34"/>
        <v>ID_629</v>
      </c>
      <c r="B1123" s="17">
        <v>45745</v>
      </c>
      <c r="C1123" s="18" t="str">
        <f>TEXT('Working Sheet'!$B1123,"mmm")</f>
        <v>Mar</v>
      </c>
      <c r="D1123" s="18" t="s">
        <v>25</v>
      </c>
      <c r="E1123" s="18" t="s">
        <v>19</v>
      </c>
      <c r="F1123" s="18" t="s">
        <v>23</v>
      </c>
      <c r="G1123" s="18" t="s">
        <v>14</v>
      </c>
      <c r="H1123" s="18" t="s">
        <v>38</v>
      </c>
      <c r="I1123" s="18" t="s">
        <v>31</v>
      </c>
      <c r="J1123" s="19">
        <v>420000</v>
      </c>
      <c r="K1123" s="18">
        <v>9</v>
      </c>
      <c r="L1123" s="18" t="s">
        <v>37</v>
      </c>
      <c r="M1123" s="20">
        <f t="shared" si="35"/>
        <v>336000</v>
      </c>
      <c r="N1123" s="20">
        <f>'Working Sheet'!$J1123*'Working Sheet'!$K1123</f>
        <v>3780000</v>
      </c>
      <c r="O1123" s="21">
        <f>'Working Sheet'!$M1123*'Working Sheet'!$K1123</f>
        <v>3024000</v>
      </c>
      <c r="P1123" s="20">
        <f>'Working Sheet'!$N1123-'Working Sheet'!$O1123</f>
        <v>756000</v>
      </c>
    </row>
    <row r="1124" spans="1:16" ht="14.25" customHeight="1" x14ac:dyDescent="0.25">
      <c r="A1124" s="23" t="str">
        <f t="shared" ca="1" si="34"/>
        <v>ID_1494</v>
      </c>
      <c r="B1124" s="22">
        <v>45724</v>
      </c>
      <c r="C1124" s="23" t="str">
        <f>TEXT('Working Sheet'!$B1124,"mmm")</f>
        <v>Mar</v>
      </c>
      <c r="D1124" s="23" t="s">
        <v>25</v>
      </c>
      <c r="E1124" s="23" t="s">
        <v>19</v>
      </c>
      <c r="F1124" s="23" t="s">
        <v>23</v>
      </c>
      <c r="G1124" s="23" t="s">
        <v>14</v>
      </c>
      <c r="H1124" s="23" t="s">
        <v>38</v>
      </c>
      <c r="I1124" s="23" t="s">
        <v>31</v>
      </c>
      <c r="J1124" s="24">
        <v>420000</v>
      </c>
      <c r="K1124" s="23">
        <v>7</v>
      </c>
      <c r="L1124" s="23" t="s">
        <v>28</v>
      </c>
      <c r="M1124" s="25">
        <f t="shared" si="35"/>
        <v>336000</v>
      </c>
      <c r="N1124" s="25">
        <f>'Working Sheet'!$J1124*'Working Sheet'!$K1124</f>
        <v>2940000</v>
      </c>
      <c r="O1124" s="26">
        <f>'Working Sheet'!$M1124*'Working Sheet'!$K1124</f>
        <v>2352000</v>
      </c>
      <c r="P1124" s="25">
        <f>'Working Sheet'!$N1124-'Working Sheet'!$O1124</f>
        <v>588000</v>
      </c>
    </row>
    <row r="1125" spans="1:16" ht="14.25" customHeight="1" x14ac:dyDescent="0.25">
      <c r="A1125" s="18" t="str">
        <f t="shared" ca="1" si="34"/>
        <v>ID_417</v>
      </c>
      <c r="B1125" s="17">
        <v>45696</v>
      </c>
      <c r="C1125" s="18" t="str">
        <f>TEXT('Working Sheet'!$B1125,"mmm")</f>
        <v>Feb</v>
      </c>
      <c r="D1125" s="18" t="s">
        <v>18</v>
      </c>
      <c r="E1125" s="18" t="s">
        <v>26</v>
      </c>
      <c r="F1125" s="18" t="s">
        <v>13</v>
      </c>
      <c r="G1125" s="18" t="s">
        <v>14</v>
      </c>
      <c r="H1125" s="18" t="s">
        <v>41</v>
      </c>
      <c r="I1125" s="18" t="s">
        <v>22</v>
      </c>
      <c r="J1125" s="19">
        <v>220000</v>
      </c>
      <c r="K1125" s="18">
        <v>9</v>
      </c>
      <c r="L1125" s="18" t="s">
        <v>39</v>
      </c>
      <c r="M1125" s="20">
        <f t="shared" si="35"/>
        <v>176000</v>
      </c>
      <c r="N1125" s="20">
        <f>'Working Sheet'!$J1125*'Working Sheet'!$K1125</f>
        <v>1980000</v>
      </c>
      <c r="O1125" s="21">
        <f>'Working Sheet'!$M1125*'Working Sheet'!$K1125</f>
        <v>1584000</v>
      </c>
      <c r="P1125" s="20">
        <f>'Working Sheet'!$N1125-'Working Sheet'!$O1125</f>
        <v>396000</v>
      </c>
    </row>
    <row r="1126" spans="1:16" ht="14.25" customHeight="1" x14ac:dyDescent="0.25">
      <c r="A1126" s="23" t="str">
        <f t="shared" ca="1" si="34"/>
        <v>ID_1172</v>
      </c>
      <c r="B1126" s="22">
        <v>45699</v>
      </c>
      <c r="C1126" s="23" t="str">
        <f>TEXT('Working Sheet'!$B1126,"mmm")</f>
        <v>Feb</v>
      </c>
      <c r="D1126" s="23" t="s">
        <v>18</v>
      </c>
      <c r="E1126" s="23" t="s">
        <v>32</v>
      </c>
      <c r="F1126" s="23" t="s">
        <v>23</v>
      </c>
      <c r="G1126" s="23" t="s">
        <v>14</v>
      </c>
      <c r="H1126" s="23" t="s">
        <v>15</v>
      </c>
      <c r="I1126" s="23" t="s">
        <v>16</v>
      </c>
      <c r="J1126" s="24">
        <v>85000</v>
      </c>
      <c r="K1126" s="23">
        <v>8</v>
      </c>
      <c r="L1126" s="23" t="s">
        <v>28</v>
      </c>
      <c r="M1126" s="25">
        <f t="shared" si="35"/>
        <v>68000</v>
      </c>
      <c r="N1126" s="25">
        <f>'Working Sheet'!$J1126*'Working Sheet'!$K1126</f>
        <v>680000</v>
      </c>
      <c r="O1126" s="26">
        <f>'Working Sheet'!$M1126*'Working Sheet'!$K1126</f>
        <v>544000</v>
      </c>
      <c r="P1126" s="25">
        <f>'Working Sheet'!$N1126-'Working Sheet'!$O1126</f>
        <v>136000</v>
      </c>
    </row>
    <row r="1127" spans="1:16" ht="14.25" customHeight="1" x14ac:dyDescent="0.25">
      <c r="A1127" s="18" t="str">
        <f t="shared" ca="1" si="34"/>
        <v>ID_1638</v>
      </c>
      <c r="B1127" s="17">
        <v>45676</v>
      </c>
      <c r="C1127" s="18" t="str">
        <f>TEXT('Working Sheet'!$B1127,"mmm")</f>
        <v>Jan</v>
      </c>
      <c r="D1127" s="18" t="s">
        <v>25</v>
      </c>
      <c r="E1127" s="18" t="s">
        <v>12</v>
      </c>
      <c r="F1127" s="18" t="s">
        <v>23</v>
      </c>
      <c r="G1127" s="18" t="s">
        <v>20</v>
      </c>
      <c r="H1127" s="18" t="s">
        <v>15</v>
      </c>
      <c r="I1127" s="18" t="s">
        <v>16</v>
      </c>
      <c r="J1127" s="19">
        <v>85000</v>
      </c>
      <c r="K1127" s="18">
        <v>5</v>
      </c>
      <c r="L1127" s="18" t="s">
        <v>35</v>
      </c>
      <c r="M1127" s="20">
        <f t="shared" si="35"/>
        <v>68000</v>
      </c>
      <c r="N1127" s="20">
        <f>'Working Sheet'!$J1127*'Working Sheet'!$K1127</f>
        <v>425000</v>
      </c>
      <c r="O1127" s="21">
        <f>'Working Sheet'!$M1127*'Working Sheet'!$K1127</f>
        <v>340000</v>
      </c>
      <c r="P1127" s="20">
        <f>'Working Sheet'!$N1127-'Working Sheet'!$O1127</f>
        <v>85000</v>
      </c>
    </row>
    <row r="1128" spans="1:16" ht="14.25" customHeight="1" x14ac:dyDescent="0.25">
      <c r="A1128" s="23" t="str">
        <f t="shared" ca="1" si="34"/>
        <v>ID_998</v>
      </c>
      <c r="B1128" s="22">
        <v>45751</v>
      </c>
      <c r="C1128" s="23" t="str">
        <f>TEXT('Working Sheet'!$B1128,"mmm")</f>
        <v>Apr</v>
      </c>
      <c r="D1128" s="23" t="s">
        <v>25</v>
      </c>
      <c r="E1128" s="23" t="s">
        <v>32</v>
      </c>
      <c r="F1128" s="23" t="s">
        <v>13</v>
      </c>
      <c r="G1128" s="23" t="s">
        <v>20</v>
      </c>
      <c r="H1128" s="23" t="s">
        <v>40</v>
      </c>
      <c r="I1128" s="23" t="s">
        <v>31</v>
      </c>
      <c r="J1128" s="24">
        <v>250000</v>
      </c>
      <c r="K1128" s="23">
        <v>6</v>
      </c>
      <c r="L1128" s="23" t="s">
        <v>39</v>
      </c>
      <c r="M1128" s="25">
        <f t="shared" si="35"/>
        <v>200000</v>
      </c>
      <c r="N1128" s="25">
        <f>'Working Sheet'!$J1128*'Working Sheet'!$K1128</f>
        <v>1500000</v>
      </c>
      <c r="O1128" s="26">
        <f>'Working Sheet'!$M1128*'Working Sheet'!$K1128</f>
        <v>1200000</v>
      </c>
      <c r="P1128" s="25">
        <f>'Working Sheet'!$N1128-'Working Sheet'!$O1128</f>
        <v>300000</v>
      </c>
    </row>
    <row r="1129" spans="1:16" ht="14.25" customHeight="1" x14ac:dyDescent="0.25">
      <c r="A1129" s="18" t="str">
        <f t="shared" ca="1" si="34"/>
        <v>ID_1445</v>
      </c>
      <c r="B1129" s="17">
        <v>45768</v>
      </c>
      <c r="C1129" s="18" t="str">
        <f>TEXT('Working Sheet'!$B1129,"mmm")</f>
        <v>Apr</v>
      </c>
      <c r="D1129" s="18" t="s">
        <v>18</v>
      </c>
      <c r="E1129" s="18" t="s">
        <v>26</v>
      </c>
      <c r="F1129" s="18" t="s">
        <v>23</v>
      </c>
      <c r="G1129" s="18" t="s">
        <v>20</v>
      </c>
      <c r="H1129" s="18" t="s">
        <v>21</v>
      </c>
      <c r="I1129" s="18" t="s">
        <v>22</v>
      </c>
      <c r="J1129" s="19">
        <v>30000</v>
      </c>
      <c r="K1129" s="18">
        <v>8</v>
      </c>
      <c r="L1129" s="18" t="s">
        <v>39</v>
      </c>
      <c r="M1129" s="20">
        <f t="shared" si="35"/>
        <v>24000</v>
      </c>
      <c r="N1129" s="20">
        <f>'Working Sheet'!$J1129*'Working Sheet'!$K1129</f>
        <v>240000</v>
      </c>
      <c r="O1129" s="21">
        <f>'Working Sheet'!$M1129*'Working Sheet'!$K1129</f>
        <v>192000</v>
      </c>
      <c r="P1129" s="20">
        <f>'Working Sheet'!$N1129-'Working Sheet'!$O1129</f>
        <v>48000</v>
      </c>
    </row>
    <row r="1130" spans="1:16" ht="14.25" customHeight="1" x14ac:dyDescent="0.25">
      <c r="A1130" s="23" t="str">
        <f t="shared" ca="1" si="34"/>
        <v>ID_673</v>
      </c>
      <c r="B1130" s="22">
        <v>45709</v>
      </c>
      <c r="C1130" s="23" t="str">
        <f>TEXT('Working Sheet'!$B1130,"mmm")</f>
        <v>Feb</v>
      </c>
      <c r="D1130" s="23" t="s">
        <v>29</v>
      </c>
      <c r="E1130" s="23" t="s">
        <v>12</v>
      </c>
      <c r="F1130" s="23" t="s">
        <v>23</v>
      </c>
      <c r="G1130" s="23" t="s">
        <v>14</v>
      </c>
      <c r="H1130" s="23" t="s">
        <v>40</v>
      </c>
      <c r="I1130" s="23" t="s">
        <v>31</v>
      </c>
      <c r="J1130" s="24">
        <v>250000</v>
      </c>
      <c r="K1130" s="23">
        <v>6</v>
      </c>
      <c r="L1130" s="23" t="s">
        <v>37</v>
      </c>
      <c r="M1130" s="25">
        <f t="shared" si="35"/>
        <v>200000</v>
      </c>
      <c r="N1130" s="25">
        <f>'Working Sheet'!$J1130*'Working Sheet'!$K1130</f>
        <v>1500000</v>
      </c>
      <c r="O1130" s="26">
        <f>'Working Sheet'!$M1130*'Working Sheet'!$K1130</f>
        <v>1200000</v>
      </c>
      <c r="P1130" s="25">
        <f>'Working Sheet'!$N1130-'Working Sheet'!$O1130</f>
        <v>300000</v>
      </c>
    </row>
    <row r="1131" spans="1:16" ht="14.25" customHeight="1" x14ac:dyDescent="0.25">
      <c r="A1131" s="18" t="str">
        <f t="shared" ca="1" si="34"/>
        <v>ID_1242</v>
      </c>
      <c r="B1131" s="17">
        <v>45744</v>
      </c>
      <c r="C1131" s="18" t="str">
        <f>TEXT('Working Sheet'!$B1131,"mmm")</f>
        <v>Mar</v>
      </c>
      <c r="D1131" s="18" t="s">
        <v>25</v>
      </c>
      <c r="E1131" s="18" t="s">
        <v>19</v>
      </c>
      <c r="F1131" s="18" t="s">
        <v>23</v>
      </c>
      <c r="G1131" s="18" t="s">
        <v>20</v>
      </c>
      <c r="H1131" s="18" t="s">
        <v>34</v>
      </c>
      <c r="I1131" s="18" t="s">
        <v>16</v>
      </c>
      <c r="J1131" s="19">
        <v>320000</v>
      </c>
      <c r="K1131" s="18">
        <v>10</v>
      </c>
      <c r="L1131" s="18" t="s">
        <v>35</v>
      </c>
      <c r="M1131" s="20">
        <f t="shared" si="35"/>
        <v>256000</v>
      </c>
      <c r="N1131" s="20">
        <f>'Working Sheet'!$J1131*'Working Sheet'!$K1131</f>
        <v>3200000</v>
      </c>
      <c r="O1131" s="21">
        <f>'Working Sheet'!$M1131*'Working Sheet'!$K1131</f>
        <v>2560000</v>
      </c>
      <c r="P1131" s="20">
        <f>'Working Sheet'!$N1131-'Working Sheet'!$O1131</f>
        <v>640000</v>
      </c>
    </row>
    <row r="1132" spans="1:16" ht="14.25" customHeight="1" x14ac:dyDescent="0.25">
      <c r="A1132" s="23" t="str">
        <f t="shared" ca="1" si="34"/>
        <v>ID_1584</v>
      </c>
      <c r="B1132" s="22">
        <v>45734</v>
      </c>
      <c r="C1132" s="23" t="str">
        <f>TEXT('Working Sheet'!$B1132,"mmm")</f>
        <v>Mar</v>
      </c>
      <c r="D1132" s="23" t="s">
        <v>18</v>
      </c>
      <c r="E1132" s="23" t="s">
        <v>32</v>
      </c>
      <c r="F1132" s="23" t="s">
        <v>13</v>
      </c>
      <c r="G1132" s="23" t="s">
        <v>20</v>
      </c>
      <c r="H1132" s="23" t="s">
        <v>21</v>
      </c>
      <c r="I1132" s="23" t="s">
        <v>22</v>
      </c>
      <c r="J1132" s="24">
        <v>30000</v>
      </c>
      <c r="K1132" s="23">
        <v>4</v>
      </c>
      <c r="L1132" s="23" t="s">
        <v>35</v>
      </c>
      <c r="M1132" s="25">
        <f t="shared" si="35"/>
        <v>24000</v>
      </c>
      <c r="N1132" s="25">
        <f>'Working Sheet'!$J1132*'Working Sheet'!$K1132</f>
        <v>120000</v>
      </c>
      <c r="O1132" s="26">
        <f>'Working Sheet'!$M1132*'Working Sheet'!$K1132</f>
        <v>96000</v>
      </c>
      <c r="P1132" s="25">
        <f>'Working Sheet'!$N1132-'Working Sheet'!$O1132</f>
        <v>24000</v>
      </c>
    </row>
    <row r="1133" spans="1:16" ht="14.25" customHeight="1" x14ac:dyDescent="0.25">
      <c r="A1133" s="18" t="str">
        <f t="shared" ca="1" si="34"/>
        <v>ID_429</v>
      </c>
      <c r="B1133" s="17">
        <v>45696</v>
      </c>
      <c r="C1133" s="18" t="str">
        <f>TEXT('Working Sheet'!$B1133,"mmm")</f>
        <v>Feb</v>
      </c>
      <c r="D1133" s="18" t="s">
        <v>25</v>
      </c>
      <c r="E1133" s="18" t="s">
        <v>32</v>
      </c>
      <c r="F1133" s="18" t="s">
        <v>13</v>
      </c>
      <c r="G1133" s="18" t="s">
        <v>20</v>
      </c>
      <c r="H1133" s="18" t="s">
        <v>15</v>
      </c>
      <c r="I1133" s="18" t="s">
        <v>16</v>
      </c>
      <c r="J1133" s="19">
        <v>85000</v>
      </c>
      <c r="K1133" s="18">
        <v>10</v>
      </c>
      <c r="L1133" s="18" t="s">
        <v>17</v>
      </c>
      <c r="M1133" s="20">
        <f t="shared" si="35"/>
        <v>68000</v>
      </c>
      <c r="N1133" s="20">
        <f>'Working Sheet'!$J1133*'Working Sheet'!$K1133</f>
        <v>850000</v>
      </c>
      <c r="O1133" s="21">
        <f>'Working Sheet'!$M1133*'Working Sheet'!$K1133</f>
        <v>680000</v>
      </c>
      <c r="P1133" s="20">
        <f>'Working Sheet'!$N1133-'Working Sheet'!$O1133</f>
        <v>170000</v>
      </c>
    </row>
    <row r="1134" spans="1:16" ht="14.25" customHeight="1" x14ac:dyDescent="0.25">
      <c r="A1134" s="23" t="str">
        <f t="shared" ca="1" si="34"/>
        <v>ID_86</v>
      </c>
      <c r="B1134" s="22">
        <v>45762</v>
      </c>
      <c r="C1134" s="23" t="str">
        <f>TEXT('Working Sheet'!$B1134,"mmm")</f>
        <v>Apr</v>
      </c>
      <c r="D1134" s="23" t="s">
        <v>29</v>
      </c>
      <c r="E1134" s="23" t="s">
        <v>32</v>
      </c>
      <c r="F1134" s="23" t="s">
        <v>23</v>
      </c>
      <c r="G1134" s="23" t="s">
        <v>20</v>
      </c>
      <c r="H1134" s="23" t="s">
        <v>40</v>
      </c>
      <c r="I1134" s="23" t="s">
        <v>31</v>
      </c>
      <c r="J1134" s="24">
        <v>250000</v>
      </c>
      <c r="K1134" s="23">
        <v>6</v>
      </c>
      <c r="L1134" s="23" t="s">
        <v>28</v>
      </c>
      <c r="M1134" s="25">
        <f t="shared" si="35"/>
        <v>200000</v>
      </c>
      <c r="N1134" s="25">
        <f>'Working Sheet'!$J1134*'Working Sheet'!$K1134</f>
        <v>1500000</v>
      </c>
      <c r="O1134" s="26">
        <f>'Working Sheet'!$M1134*'Working Sheet'!$K1134</f>
        <v>1200000</v>
      </c>
      <c r="P1134" s="25">
        <f>'Working Sheet'!$N1134-'Working Sheet'!$O1134</f>
        <v>300000</v>
      </c>
    </row>
    <row r="1135" spans="1:16" ht="14.25" customHeight="1" x14ac:dyDescent="0.25">
      <c r="A1135" s="18" t="str">
        <f t="shared" ca="1" si="34"/>
        <v>ID_1873</v>
      </c>
      <c r="B1135" s="17">
        <v>45669</v>
      </c>
      <c r="C1135" s="18" t="str">
        <f>TEXT('Working Sheet'!$B1135,"mmm")</f>
        <v>Jan</v>
      </c>
      <c r="D1135" s="18" t="s">
        <v>25</v>
      </c>
      <c r="E1135" s="18" t="s">
        <v>19</v>
      </c>
      <c r="F1135" s="18" t="s">
        <v>13</v>
      </c>
      <c r="G1135" s="18" t="s">
        <v>20</v>
      </c>
      <c r="H1135" s="18" t="s">
        <v>27</v>
      </c>
      <c r="I1135" s="18" t="s">
        <v>22</v>
      </c>
      <c r="J1135" s="19">
        <v>60000</v>
      </c>
      <c r="K1135" s="18">
        <v>10</v>
      </c>
      <c r="L1135" s="18" t="s">
        <v>24</v>
      </c>
      <c r="M1135" s="20">
        <f t="shared" si="35"/>
        <v>48000</v>
      </c>
      <c r="N1135" s="20">
        <f>'Working Sheet'!$J1135*'Working Sheet'!$K1135</f>
        <v>600000</v>
      </c>
      <c r="O1135" s="21">
        <f>'Working Sheet'!$M1135*'Working Sheet'!$K1135</f>
        <v>480000</v>
      </c>
      <c r="P1135" s="20">
        <f>'Working Sheet'!$N1135-'Working Sheet'!$O1135</f>
        <v>120000</v>
      </c>
    </row>
    <row r="1136" spans="1:16" ht="14.25" customHeight="1" x14ac:dyDescent="0.25">
      <c r="A1136" s="23" t="str">
        <f t="shared" ca="1" si="34"/>
        <v>ID_1857</v>
      </c>
      <c r="B1136" s="22">
        <v>45693</v>
      </c>
      <c r="C1136" s="23" t="str">
        <f>TEXT('Working Sheet'!$B1136,"mmm")</f>
        <v>Feb</v>
      </c>
      <c r="D1136" s="23" t="s">
        <v>18</v>
      </c>
      <c r="E1136" s="23" t="s">
        <v>19</v>
      </c>
      <c r="F1136" s="23" t="s">
        <v>13</v>
      </c>
      <c r="G1136" s="23" t="s">
        <v>20</v>
      </c>
      <c r="H1136" s="23" t="s">
        <v>30</v>
      </c>
      <c r="I1136" s="23" t="s">
        <v>31</v>
      </c>
      <c r="J1136" s="24">
        <v>300000</v>
      </c>
      <c r="K1136" s="23">
        <v>3</v>
      </c>
      <c r="L1136" s="23" t="s">
        <v>24</v>
      </c>
      <c r="M1136" s="25">
        <f t="shared" si="35"/>
        <v>240000</v>
      </c>
      <c r="N1136" s="25">
        <f>'Working Sheet'!$J1136*'Working Sheet'!$K1136</f>
        <v>900000</v>
      </c>
      <c r="O1136" s="26">
        <f>'Working Sheet'!$M1136*'Working Sheet'!$K1136</f>
        <v>720000</v>
      </c>
      <c r="P1136" s="25">
        <f>'Working Sheet'!$N1136-'Working Sheet'!$O1136</f>
        <v>180000</v>
      </c>
    </row>
    <row r="1137" spans="1:16" ht="14.25" customHeight="1" x14ac:dyDescent="0.25">
      <c r="A1137" s="18" t="str">
        <f t="shared" ca="1" si="34"/>
        <v>ID_1660</v>
      </c>
      <c r="B1137" s="17">
        <v>45674</v>
      </c>
      <c r="C1137" s="18" t="str">
        <f>TEXT('Working Sheet'!$B1137,"mmm")</f>
        <v>Jan</v>
      </c>
      <c r="D1137" s="18" t="s">
        <v>11</v>
      </c>
      <c r="E1137" s="18" t="s">
        <v>32</v>
      </c>
      <c r="F1137" s="18" t="s">
        <v>13</v>
      </c>
      <c r="G1137" s="18" t="s">
        <v>20</v>
      </c>
      <c r="H1137" s="18" t="s">
        <v>36</v>
      </c>
      <c r="I1137" s="18" t="s">
        <v>31</v>
      </c>
      <c r="J1137" s="19">
        <v>150000</v>
      </c>
      <c r="K1137" s="18">
        <v>10</v>
      </c>
      <c r="L1137" s="18" t="s">
        <v>39</v>
      </c>
      <c r="M1137" s="20">
        <f t="shared" si="35"/>
        <v>120000</v>
      </c>
      <c r="N1137" s="20">
        <f>'Working Sheet'!$J1137*'Working Sheet'!$K1137</f>
        <v>1500000</v>
      </c>
      <c r="O1137" s="21">
        <f>'Working Sheet'!$M1137*'Working Sheet'!$K1137</f>
        <v>1200000</v>
      </c>
      <c r="P1137" s="20">
        <f>'Working Sheet'!$N1137-'Working Sheet'!$O1137</f>
        <v>300000</v>
      </c>
    </row>
    <row r="1138" spans="1:16" ht="14.25" customHeight="1" x14ac:dyDescent="0.25">
      <c r="A1138" s="23" t="str">
        <f t="shared" ca="1" si="34"/>
        <v>ID_1441</v>
      </c>
      <c r="B1138" s="22">
        <v>45746</v>
      </c>
      <c r="C1138" s="23" t="str">
        <f>TEXT('Working Sheet'!$B1138,"mmm")</f>
        <v>Mar</v>
      </c>
      <c r="D1138" s="23" t="s">
        <v>25</v>
      </c>
      <c r="E1138" s="23" t="s">
        <v>19</v>
      </c>
      <c r="F1138" s="23" t="s">
        <v>23</v>
      </c>
      <c r="G1138" s="23" t="s">
        <v>20</v>
      </c>
      <c r="H1138" s="23" t="s">
        <v>21</v>
      </c>
      <c r="I1138" s="23" t="s">
        <v>22</v>
      </c>
      <c r="J1138" s="24">
        <v>30000</v>
      </c>
      <c r="K1138" s="23">
        <v>7</v>
      </c>
      <c r="L1138" s="23" t="s">
        <v>35</v>
      </c>
      <c r="M1138" s="25">
        <f t="shared" si="35"/>
        <v>24000</v>
      </c>
      <c r="N1138" s="25">
        <f>'Working Sheet'!$J1138*'Working Sheet'!$K1138</f>
        <v>210000</v>
      </c>
      <c r="O1138" s="26">
        <f>'Working Sheet'!$M1138*'Working Sheet'!$K1138</f>
        <v>168000</v>
      </c>
      <c r="P1138" s="25">
        <f>'Working Sheet'!$N1138-'Working Sheet'!$O1138</f>
        <v>42000</v>
      </c>
    </row>
    <row r="1139" spans="1:16" ht="14.25" customHeight="1" x14ac:dyDescent="0.25">
      <c r="A1139" s="18" t="str">
        <f t="shared" ca="1" si="34"/>
        <v>ID_1629</v>
      </c>
      <c r="B1139" s="17">
        <v>45671</v>
      </c>
      <c r="C1139" s="18" t="str">
        <f>TEXT('Working Sheet'!$B1139,"mmm")</f>
        <v>Jan</v>
      </c>
      <c r="D1139" s="18" t="s">
        <v>18</v>
      </c>
      <c r="E1139" s="18" t="s">
        <v>19</v>
      </c>
      <c r="F1139" s="18" t="s">
        <v>23</v>
      </c>
      <c r="G1139" s="18" t="s">
        <v>20</v>
      </c>
      <c r="H1139" s="18" t="s">
        <v>30</v>
      </c>
      <c r="I1139" s="18" t="s">
        <v>31</v>
      </c>
      <c r="J1139" s="19">
        <v>300000</v>
      </c>
      <c r="K1139" s="18">
        <v>9</v>
      </c>
      <c r="L1139" s="18" t="s">
        <v>37</v>
      </c>
      <c r="M1139" s="20">
        <f t="shared" si="35"/>
        <v>240000</v>
      </c>
      <c r="N1139" s="20">
        <f>'Working Sheet'!$J1139*'Working Sheet'!$K1139</f>
        <v>2700000</v>
      </c>
      <c r="O1139" s="21">
        <f>'Working Sheet'!$M1139*'Working Sheet'!$K1139</f>
        <v>2160000</v>
      </c>
      <c r="P1139" s="20">
        <f>'Working Sheet'!$N1139-'Working Sheet'!$O1139</f>
        <v>540000</v>
      </c>
    </row>
    <row r="1140" spans="1:16" ht="14.25" customHeight="1" x14ac:dyDescent="0.25">
      <c r="A1140" s="23" t="str">
        <f t="shared" ca="1" si="34"/>
        <v>ID_1892</v>
      </c>
      <c r="B1140" s="22">
        <v>45660</v>
      </c>
      <c r="C1140" s="23" t="str">
        <f>TEXT('Working Sheet'!$B1140,"mmm")</f>
        <v>Jan</v>
      </c>
      <c r="D1140" s="23" t="s">
        <v>29</v>
      </c>
      <c r="E1140" s="23" t="s">
        <v>32</v>
      </c>
      <c r="F1140" s="23" t="s">
        <v>23</v>
      </c>
      <c r="G1140" s="23" t="s">
        <v>20</v>
      </c>
      <c r="H1140" s="23" t="s">
        <v>41</v>
      </c>
      <c r="I1140" s="23" t="s">
        <v>22</v>
      </c>
      <c r="J1140" s="24">
        <v>220000</v>
      </c>
      <c r="K1140" s="23">
        <v>4</v>
      </c>
      <c r="L1140" s="23" t="s">
        <v>28</v>
      </c>
      <c r="M1140" s="25">
        <f t="shared" si="35"/>
        <v>176000</v>
      </c>
      <c r="N1140" s="25">
        <f>'Working Sheet'!$J1140*'Working Sheet'!$K1140</f>
        <v>880000</v>
      </c>
      <c r="O1140" s="26">
        <f>'Working Sheet'!$M1140*'Working Sheet'!$K1140</f>
        <v>704000</v>
      </c>
      <c r="P1140" s="25">
        <f>'Working Sheet'!$N1140-'Working Sheet'!$O1140</f>
        <v>176000</v>
      </c>
    </row>
    <row r="1141" spans="1:16" ht="14.25" customHeight="1" x14ac:dyDescent="0.25">
      <c r="A1141" s="18" t="str">
        <f t="shared" ca="1" si="34"/>
        <v>ID_1020</v>
      </c>
      <c r="B1141" s="17">
        <v>45682</v>
      </c>
      <c r="C1141" s="18" t="str">
        <f>TEXT('Working Sheet'!$B1141,"mmm")</f>
        <v>Jan</v>
      </c>
      <c r="D1141" s="18" t="s">
        <v>18</v>
      </c>
      <c r="E1141" s="18" t="s">
        <v>26</v>
      </c>
      <c r="F1141" s="18" t="s">
        <v>23</v>
      </c>
      <c r="G1141" s="18" t="s">
        <v>14</v>
      </c>
      <c r="H1141" s="18" t="s">
        <v>40</v>
      </c>
      <c r="I1141" s="18" t="s">
        <v>31</v>
      </c>
      <c r="J1141" s="19">
        <v>250000</v>
      </c>
      <c r="K1141" s="18">
        <v>9</v>
      </c>
      <c r="L1141" s="18" t="s">
        <v>17</v>
      </c>
      <c r="M1141" s="20">
        <f t="shared" si="35"/>
        <v>200000</v>
      </c>
      <c r="N1141" s="20">
        <f>'Working Sheet'!$J1141*'Working Sheet'!$K1141</f>
        <v>2250000</v>
      </c>
      <c r="O1141" s="21">
        <f>'Working Sheet'!$M1141*'Working Sheet'!$K1141</f>
        <v>1800000</v>
      </c>
      <c r="P1141" s="20">
        <f>'Working Sheet'!$N1141-'Working Sheet'!$O1141</f>
        <v>450000</v>
      </c>
    </row>
    <row r="1142" spans="1:16" ht="14.25" customHeight="1" x14ac:dyDescent="0.25">
      <c r="A1142" s="23" t="str">
        <f t="shared" ca="1" si="34"/>
        <v>ID_2080</v>
      </c>
      <c r="B1142" s="22">
        <v>45667</v>
      </c>
      <c r="C1142" s="23" t="str">
        <f>TEXT('Working Sheet'!$B1142,"mmm")</f>
        <v>Jan</v>
      </c>
      <c r="D1142" s="23" t="s">
        <v>11</v>
      </c>
      <c r="E1142" s="23" t="s">
        <v>12</v>
      </c>
      <c r="F1142" s="23" t="s">
        <v>23</v>
      </c>
      <c r="G1142" s="23" t="s">
        <v>20</v>
      </c>
      <c r="H1142" s="23" t="s">
        <v>30</v>
      </c>
      <c r="I1142" s="23" t="s">
        <v>31</v>
      </c>
      <c r="J1142" s="24">
        <v>300000</v>
      </c>
      <c r="K1142" s="23">
        <v>4</v>
      </c>
      <c r="L1142" s="23" t="s">
        <v>39</v>
      </c>
      <c r="M1142" s="25">
        <f t="shared" si="35"/>
        <v>240000</v>
      </c>
      <c r="N1142" s="25">
        <f>'Working Sheet'!$J1142*'Working Sheet'!$K1142</f>
        <v>1200000</v>
      </c>
      <c r="O1142" s="26">
        <f>'Working Sheet'!$M1142*'Working Sheet'!$K1142</f>
        <v>960000</v>
      </c>
      <c r="P1142" s="25">
        <f>'Working Sheet'!$N1142-'Working Sheet'!$O1142</f>
        <v>240000</v>
      </c>
    </row>
    <row r="1143" spans="1:16" ht="14.25" customHeight="1" x14ac:dyDescent="0.25">
      <c r="A1143" s="18" t="str">
        <f t="shared" ca="1" si="34"/>
        <v>ID_1642</v>
      </c>
      <c r="B1143" s="17">
        <v>45658</v>
      </c>
      <c r="C1143" s="18" t="str">
        <f>TEXT('Working Sheet'!$B1143,"mmm")</f>
        <v>Jan</v>
      </c>
      <c r="D1143" s="18" t="s">
        <v>11</v>
      </c>
      <c r="E1143" s="18" t="s">
        <v>12</v>
      </c>
      <c r="F1143" s="18" t="s">
        <v>13</v>
      </c>
      <c r="G1143" s="18" t="s">
        <v>20</v>
      </c>
      <c r="H1143" s="18" t="s">
        <v>27</v>
      </c>
      <c r="I1143" s="18" t="s">
        <v>22</v>
      </c>
      <c r="J1143" s="19">
        <v>60000</v>
      </c>
      <c r="K1143" s="18">
        <v>10</v>
      </c>
      <c r="L1143" s="18" t="s">
        <v>37</v>
      </c>
      <c r="M1143" s="20">
        <f t="shared" si="35"/>
        <v>48000</v>
      </c>
      <c r="N1143" s="20">
        <f>'Working Sheet'!$J1143*'Working Sheet'!$K1143</f>
        <v>600000</v>
      </c>
      <c r="O1143" s="21">
        <f>'Working Sheet'!$M1143*'Working Sheet'!$K1143</f>
        <v>480000</v>
      </c>
      <c r="P1143" s="20">
        <f>'Working Sheet'!$N1143-'Working Sheet'!$O1143</f>
        <v>120000</v>
      </c>
    </row>
    <row r="1144" spans="1:16" ht="14.25" customHeight="1" x14ac:dyDescent="0.25">
      <c r="A1144" s="23" t="str">
        <f t="shared" ca="1" si="34"/>
        <v>ID_1137</v>
      </c>
      <c r="B1144" s="22">
        <v>45733</v>
      </c>
      <c r="C1144" s="23" t="str">
        <f>TEXT('Working Sheet'!$B1144,"mmm")</f>
        <v>Mar</v>
      </c>
      <c r="D1144" s="23" t="s">
        <v>29</v>
      </c>
      <c r="E1144" s="23" t="s">
        <v>26</v>
      </c>
      <c r="F1144" s="23" t="s">
        <v>23</v>
      </c>
      <c r="G1144" s="23" t="s">
        <v>14</v>
      </c>
      <c r="H1144" s="23" t="s">
        <v>38</v>
      </c>
      <c r="I1144" s="23" t="s">
        <v>31</v>
      </c>
      <c r="J1144" s="24">
        <v>420000</v>
      </c>
      <c r="K1144" s="23">
        <v>10</v>
      </c>
      <c r="L1144" s="23" t="s">
        <v>28</v>
      </c>
      <c r="M1144" s="25">
        <f t="shared" si="35"/>
        <v>336000</v>
      </c>
      <c r="N1144" s="25">
        <f>'Working Sheet'!$J1144*'Working Sheet'!$K1144</f>
        <v>4200000</v>
      </c>
      <c r="O1144" s="26">
        <f>'Working Sheet'!$M1144*'Working Sheet'!$K1144</f>
        <v>3360000</v>
      </c>
      <c r="P1144" s="25">
        <f>'Working Sheet'!$N1144-'Working Sheet'!$O1144</f>
        <v>840000</v>
      </c>
    </row>
    <row r="1145" spans="1:16" ht="14.25" customHeight="1" x14ac:dyDescent="0.25">
      <c r="A1145" s="18" t="str">
        <f t="shared" ca="1" si="34"/>
        <v>ID_1309</v>
      </c>
      <c r="B1145" s="17">
        <v>45738</v>
      </c>
      <c r="C1145" s="18" t="str">
        <f>TEXT('Working Sheet'!$B1145,"mmm")</f>
        <v>Mar</v>
      </c>
      <c r="D1145" s="18" t="s">
        <v>11</v>
      </c>
      <c r="E1145" s="18" t="s">
        <v>26</v>
      </c>
      <c r="F1145" s="18" t="s">
        <v>13</v>
      </c>
      <c r="G1145" s="18" t="s">
        <v>20</v>
      </c>
      <c r="H1145" s="18" t="s">
        <v>36</v>
      </c>
      <c r="I1145" s="18" t="s">
        <v>31</v>
      </c>
      <c r="J1145" s="19">
        <v>150000</v>
      </c>
      <c r="K1145" s="18">
        <v>1</v>
      </c>
      <c r="L1145" s="18" t="s">
        <v>39</v>
      </c>
      <c r="M1145" s="20">
        <f t="shared" si="35"/>
        <v>120000</v>
      </c>
      <c r="N1145" s="20">
        <f>'Working Sheet'!$J1145*'Working Sheet'!$K1145</f>
        <v>150000</v>
      </c>
      <c r="O1145" s="21">
        <f>'Working Sheet'!$M1145*'Working Sheet'!$K1145</f>
        <v>120000</v>
      </c>
      <c r="P1145" s="20">
        <f>'Working Sheet'!$N1145-'Working Sheet'!$O1145</f>
        <v>30000</v>
      </c>
    </row>
    <row r="1146" spans="1:16" ht="14.25" customHeight="1" x14ac:dyDescent="0.25">
      <c r="A1146" s="23" t="str">
        <f t="shared" ca="1" si="34"/>
        <v>ID_1632</v>
      </c>
      <c r="B1146" s="22">
        <v>45707</v>
      </c>
      <c r="C1146" s="23" t="str">
        <f>TEXT('Working Sheet'!$B1146,"mmm")</f>
        <v>Feb</v>
      </c>
      <c r="D1146" s="23" t="s">
        <v>25</v>
      </c>
      <c r="E1146" s="23" t="s">
        <v>26</v>
      </c>
      <c r="F1146" s="23" t="s">
        <v>13</v>
      </c>
      <c r="G1146" s="23" t="s">
        <v>20</v>
      </c>
      <c r="H1146" s="23" t="s">
        <v>40</v>
      </c>
      <c r="I1146" s="23" t="s">
        <v>31</v>
      </c>
      <c r="J1146" s="24">
        <v>250000</v>
      </c>
      <c r="K1146" s="23">
        <v>7</v>
      </c>
      <c r="L1146" s="23" t="s">
        <v>24</v>
      </c>
      <c r="M1146" s="25">
        <f t="shared" si="35"/>
        <v>200000</v>
      </c>
      <c r="N1146" s="25">
        <f>'Working Sheet'!$J1146*'Working Sheet'!$K1146</f>
        <v>1750000</v>
      </c>
      <c r="O1146" s="26">
        <f>'Working Sheet'!$M1146*'Working Sheet'!$K1146</f>
        <v>1400000</v>
      </c>
      <c r="P1146" s="25">
        <f>'Working Sheet'!$N1146-'Working Sheet'!$O1146</f>
        <v>350000</v>
      </c>
    </row>
    <row r="1147" spans="1:16" ht="14.25" customHeight="1" x14ac:dyDescent="0.25">
      <c r="A1147" s="18" t="str">
        <f t="shared" ca="1" si="34"/>
        <v>ID_448</v>
      </c>
      <c r="B1147" s="17">
        <v>45759</v>
      </c>
      <c r="C1147" s="18" t="str">
        <f>TEXT('Working Sheet'!$B1147,"mmm")</f>
        <v>Apr</v>
      </c>
      <c r="D1147" s="18" t="s">
        <v>25</v>
      </c>
      <c r="E1147" s="18" t="s">
        <v>32</v>
      </c>
      <c r="F1147" s="18" t="s">
        <v>13</v>
      </c>
      <c r="G1147" s="18" t="s">
        <v>20</v>
      </c>
      <c r="H1147" s="18" t="s">
        <v>30</v>
      </c>
      <c r="I1147" s="18" t="s">
        <v>31</v>
      </c>
      <c r="J1147" s="19">
        <v>300000</v>
      </c>
      <c r="K1147" s="18">
        <v>9</v>
      </c>
      <c r="L1147" s="18" t="s">
        <v>28</v>
      </c>
      <c r="M1147" s="20">
        <f t="shared" si="35"/>
        <v>240000</v>
      </c>
      <c r="N1147" s="20">
        <f>'Working Sheet'!$J1147*'Working Sheet'!$K1147</f>
        <v>2700000</v>
      </c>
      <c r="O1147" s="21">
        <f>'Working Sheet'!$M1147*'Working Sheet'!$K1147</f>
        <v>2160000</v>
      </c>
      <c r="P1147" s="20">
        <f>'Working Sheet'!$N1147-'Working Sheet'!$O1147</f>
        <v>540000</v>
      </c>
    </row>
    <row r="1148" spans="1:16" ht="14.25" customHeight="1" x14ac:dyDescent="0.25">
      <c r="A1148" s="23" t="str">
        <f t="shared" ca="1" si="34"/>
        <v>ID_1974</v>
      </c>
      <c r="B1148" s="22">
        <v>45738</v>
      </c>
      <c r="C1148" s="23" t="str">
        <f>TEXT('Working Sheet'!$B1148,"mmm")</f>
        <v>Mar</v>
      </c>
      <c r="D1148" s="23" t="s">
        <v>29</v>
      </c>
      <c r="E1148" s="23" t="s">
        <v>12</v>
      </c>
      <c r="F1148" s="23" t="s">
        <v>13</v>
      </c>
      <c r="G1148" s="23" t="s">
        <v>20</v>
      </c>
      <c r="H1148" s="23" t="s">
        <v>36</v>
      </c>
      <c r="I1148" s="23" t="s">
        <v>31</v>
      </c>
      <c r="J1148" s="24">
        <v>150000</v>
      </c>
      <c r="K1148" s="23">
        <v>2</v>
      </c>
      <c r="L1148" s="23" t="s">
        <v>37</v>
      </c>
      <c r="M1148" s="25">
        <f t="shared" si="35"/>
        <v>120000</v>
      </c>
      <c r="N1148" s="25">
        <f>'Working Sheet'!$J1148*'Working Sheet'!$K1148</f>
        <v>300000</v>
      </c>
      <c r="O1148" s="26">
        <f>'Working Sheet'!$M1148*'Working Sheet'!$K1148</f>
        <v>240000</v>
      </c>
      <c r="P1148" s="25">
        <f>'Working Sheet'!$N1148-'Working Sheet'!$O1148</f>
        <v>60000</v>
      </c>
    </row>
    <row r="1149" spans="1:16" ht="14.25" customHeight="1" x14ac:dyDescent="0.25">
      <c r="A1149" s="18" t="str">
        <f t="shared" ca="1" si="34"/>
        <v>ID_1158</v>
      </c>
      <c r="B1149" s="17">
        <v>45758</v>
      </c>
      <c r="C1149" s="18" t="str">
        <f>TEXT('Working Sheet'!$B1149,"mmm")</f>
        <v>Apr</v>
      </c>
      <c r="D1149" s="18" t="s">
        <v>11</v>
      </c>
      <c r="E1149" s="18" t="s">
        <v>19</v>
      </c>
      <c r="F1149" s="18" t="s">
        <v>13</v>
      </c>
      <c r="G1149" s="18" t="s">
        <v>20</v>
      </c>
      <c r="H1149" s="18" t="s">
        <v>41</v>
      </c>
      <c r="I1149" s="18" t="s">
        <v>22</v>
      </c>
      <c r="J1149" s="19">
        <v>220000</v>
      </c>
      <c r="K1149" s="18">
        <v>9</v>
      </c>
      <c r="L1149" s="18" t="s">
        <v>24</v>
      </c>
      <c r="M1149" s="20">
        <f t="shared" si="35"/>
        <v>176000</v>
      </c>
      <c r="N1149" s="20">
        <f>'Working Sheet'!$J1149*'Working Sheet'!$K1149</f>
        <v>1980000</v>
      </c>
      <c r="O1149" s="21">
        <f>'Working Sheet'!$M1149*'Working Sheet'!$K1149</f>
        <v>1584000</v>
      </c>
      <c r="P1149" s="20">
        <f>'Working Sheet'!$N1149-'Working Sheet'!$O1149</f>
        <v>396000</v>
      </c>
    </row>
    <row r="1150" spans="1:16" ht="14.25" customHeight="1" x14ac:dyDescent="0.25">
      <c r="A1150" s="23" t="str">
        <f t="shared" ca="1" si="34"/>
        <v>ID_1099</v>
      </c>
      <c r="B1150" s="22">
        <v>45742</v>
      </c>
      <c r="C1150" s="23" t="str">
        <f>TEXT('Working Sheet'!$B1150,"mmm")</f>
        <v>Mar</v>
      </c>
      <c r="D1150" s="23" t="s">
        <v>29</v>
      </c>
      <c r="E1150" s="23" t="s">
        <v>32</v>
      </c>
      <c r="F1150" s="23" t="s">
        <v>13</v>
      </c>
      <c r="G1150" s="23" t="s">
        <v>20</v>
      </c>
      <c r="H1150" s="23" t="s">
        <v>27</v>
      </c>
      <c r="I1150" s="23" t="s">
        <v>22</v>
      </c>
      <c r="J1150" s="24">
        <v>60000</v>
      </c>
      <c r="K1150" s="23">
        <v>5</v>
      </c>
      <c r="L1150" s="23" t="s">
        <v>17</v>
      </c>
      <c r="M1150" s="25">
        <f t="shared" si="35"/>
        <v>48000</v>
      </c>
      <c r="N1150" s="25">
        <f>'Working Sheet'!$J1150*'Working Sheet'!$K1150</f>
        <v>300000</v>
      </c>
      <c r="O1150" s="26">
        <f>'Working Sheet'!$M1150*'Working Sheet'!$K1150</f>
        <v>240000</v>
      </c>
      <c r="P1150" s="25">
        <f>'Working Sheet'!$N1150-'Working Sheet'!$O1150</f>
        <v>60000</v>
      </c>
    </row>
    <row r="1151" spans="1:16" ht="14.25" customHeight="1" x14ac:dyDescent="0.25">
      <c r="A1151" s="18" t="str">
        <f t="shared" ca="1" si="34"/>
        <v>ID_1923</v>
      </c>
      <c r="B1151" s="17">
        <v>45708</v>
      </c>
      <c r="C1151" s="18" t="str">
        <f>TEXT('Working Sheet'!$B1151,"mmm")</f>
        <v>Feb</v>
      </c>
      <c r="D1151" s="18" t="s">
        <v>11</v>
      </c>
      <c r="E1151" s="18" t="s">
        <v>12</v>
      </c>
      <c r="F1151" s="18" t="s">
        <v>23</v>
      </c>
      <c r="G1151" s="18" t="s">
        <v>20</v>
      </c>
      <c r="H1151" s="18" t="s">
        <v>33</v>
      </c>
      <c r="I1151" s="18" t="s">
        <v>22</v>
      </c>
      <c r="J1151" s="19">
        <v>180000</v>
      </c>
      <c r="K1151" s="18">
        <v>6</v>
      </c>
      <c r="L1151" s="18" t="s">
        <v>35</v>
      </c>
      <c r="M1151" s="20">
        <f t="shared" si="35"/>
        <v>144000</v>
      </c>
      <c r="N1151" s="20">
        <f>'Working Sheet'!$J1151*'Working Sheet'!$K1151</f>
        <v>1080000</v>
      </c>
      <c r="O1151" s="21">
        <f>'Working Sheet'!$M1151*'Working Sheet'!$K1151</f>
        <v>864000</v>
      </c>
      <c r="P1151" s="20">
        <f>'Working Sheet'!$N1151-'Working Sheet'!$O1151</f>
        <v>216000</v>
      </c>
    </row>
    <row r="1152" spans="1:16" ht="14.25" customHeight="1" x14ac:dyDescent="0.25">
      <c r="A1152" s="23" t="str">
        <f t="shared" ca="1" si="34"/>
        <v>ID_698</v>
      </c>
      <c r="B1152" s="22">
        <v>45710</v>
      </c>
      <c r="C1152" s="23" t="str">
        <f>TEXT('Working Sheet'!$B1152,"mmm")</f>
        <v>Feb</v>
      </c>
      <c r="D1152" s="23" t="s">
        <v>18</v>
      </c>
      <c r="E1152" s="23" t="s">
        <v>12</v>
      </c>
      <c r="F1152" s="23" t="s">
        <v>23</v>
      </c>
      <c r="G1152" s="23" t="s">
        <v>20</v>
      </c>
      <c r="H1152" s="23" t="s">
        <v>40</v>
      </c>
      <c r="I1152" s="23" t="s">
        <v>31</v>
      </c>
      <c r="J1152" s="24">
        <v>250000</v>
      </c>
      <c r="K1152" s="23">
        <v>10</v>
      </c>
      <c r="L1152" s="23" t="s">
        <v>17</v>
      </c>
      <c r="M1152" s="25">
        <f t="shared" si="35"/>
        <v>200000</v>
      </c>
      <c r="N1152" s="25">
        <f>'Working Sheet'!$J1152*'Working Sheet'!$K1152</f>
        <v>2500000</v>
      </c>
      <c r="O1152" s="26">
        <f>'Working Sheet'!$M1152*'Working Sheet'!$K1152</f>
        <v>2000000</v>
      </c>
      <c r="P1152" s="25">
        <f>'Working Sheet'!$N1152-'Working Sheet'!$O1152</f>
        <v>500000</v>
      </c>
    </row>
    <row r="1153" spans="1:16" ht="14.25" customHeight="1" x14ac:dyDescent="0.25">
      <c r="A1153" s="18" t="str">
        <f t="shared" ca="1" si="34"/>
        <v>ID_1158</v>
      </c>
      <c r="B1153" s="17">
        <v>45743</v>
      </c>
      <c r="C1153" s="18" t="str">
        <f>TEXT('Working Sheet'!$B1153,"mmm")</f>
        <v>Mar</v>
      </c>
      <c r="D1153" s="18" t="s">
        <v>18</v>
      </c>
      <c r="E1153" s="18" t="s">
        <v>32</v>
      </c>
      <c r="F1153" s="18" t="s">
        <v>13</v>
      </c>
      <c r="G1153" s="18" t="s">
        <v>20</v>
      </c>
      <c r="H1153" s="18" t="s">
        <v>15</v>
      </c>
      <c r="I1153" s="18" t="s">
        <v>16</v>
      </c>
      <c r="J1153" s="19">
        <v>85000</v>
      </c>
      <c r="K1153" s="18">
        <v>1</v>
      </c>
      <c r="L1153" s="18" t="s">
        <v>37</v>
      </c>
      <c r="M1153" s="20">
        <f t="shared" si="35"/>
        <v>68000</v>
      </c>
      <c r="N1153" s="20">
        <f>'Working Sheet'!$J1153*'Working Sheet'!$K1153</f>
        <v>85000</v>
      </c>
      <c r="O1153" s="21">
        <f>'Working Sheet'!$M1153*'Working Sheet'!$K1153</f>
        <v>68000</v>
      </c>
      <c r="P1153" s="20">
        <f>'Working Sheet'!$N1153-'Working Sheet'!$O1153</f>
        <v>17000</v>
      </c>
    </row>
    <row r="1154" spans="1:16" ht="14.25" customHeight="1" x14ac:dyDescent="0.25">
      <c r="A1154" s="23" t="str">
        <f t="shared" ref="A1154:A1217" ca="1" si="36">"ID_"&amp; RANDBETWEEN(1,2098)</f>
        <v>ID_1553</v>
      </c>
      <c r="B1154" s="22">
        <v>45724</v>
      </c>
      <c r="C1154" s="23" t="str">
        <f>TEXT('Working Sheet'!$B1154,"mmm")</f>
        <v>Mar</v>
      </c>
      <c r="D1154" s="23" t="s">
        <v>29</v>
      </c>
      <c r="E1154" s="23" t="s">
        <v>12</v>
      </c>
      <c r="F1154" s="23" t="s">
        <v>13</v>
      </c>
      <c r="G1154" s="23" t="s">
        <v>14</v>
      </c>
      <c r="H1154" s="23" t="s">
        <v>40</v>
      </c>
      <c r="I1154" s="23" t="s">
        <v>31</v>
      </c>
      <c r="J1154" s="24">
        <v>250000</v>
      </c>
      <c r="K1154" s="23">
        <v>9</v>
      </c>
      <c r="L1154" s="23" t="s">
        <v>24</v>
      </c>
      <c r="M1154" s="25">
        <f t="shared" ref="M1154:M1217" si="37">J1154-J1154*0.2</f>
        <v>200000</v>
      </c>
      <c r="N1154" s="25">
        <f>'Working Sheet'!$J1154*'Working Sheet'!$K1154</f>
        <v>2250000</v>
      </c>
      <c r="O1154" s="26">
        <f>'Working Sheet'!$M1154*'Working Sheet'!$K1154</f>
        <v>1800000</v>
      </c>
      <c r="P1154" s="25">
        <f>'Working Sheet'!$N1154-'Working Sheet'!$O1154</f>
        <v>450000</v>
      </c>
    </row>
    <row r="1155" spans="1:16" ht="14.25" customHeight="1" x14ac:dyDescent="0.25">
      <c r="A1155" s="18" t="str">
        <f t="shared" ca="1" si="36"/>
        <v>ID_680</v>
      </c>
      <c r="B1155" s="17">
        <v>45756</v>
      </c>
      <c r="C1155" s="18" t="str">
        <f>TEXT('Working Sheet'!$B1155,"mmm")</f>
        <v>Apr</v>
      </c>
      <c r="D1155" s="18" t="s">
        <v>18</v>
      </c>
      <c r="E1155" s="18" t="s">
        <v>19</v>
      </c>
      <c r="F1155" s="18" t="s">
        <v>13</v>
      </c>
      <c r="G1155" s="18" t="s">
        <v>14</v>
      </c>
      <c r="H1155" s="18" t="s">
        <v>40</v>
      </c>
      <c r="I1155" s="18" t="s">
        <v>31</v>
      </c>
      <c r="J1155" s="19">
        <v>250000</v>
      </c>
      <c r="K1155" s="18">
        <v>2</v>
      </c>
      <c r="L1155" s="18" t="s">
        <v>24</v>
      </c>
      <c r="M1155" s="20">
        <f t="shared" si="37"/>
        <v>200000</v>
      </c>
      <c r="N1155" s="20">
        <f>'Working Sheet'!$J1155*'Working Sheet'!$K1155</f>
        <v>500000</v>
      </c>
      <c r="O1155" s="21">
        <f>'Working Sheet'!$M1155*'Working Sheet'!$K1155</f>
        <v>400000</v>
      </c>
      <c r="P1155" s="20">
        <f>'Working Sheet'!$N1155-'Working Sheet'!$O1155</f>
        <v>100000</v>
      </c>
    </row>
    <row r="1156" spans="1:16" ht="14.25" customHeight="1" x14ac:dyDescent="0.25">
      <c r="A1156" s="23" t="str">
        <f t="shared" ca="1" si="36"/>
        <v>ID_2031</v>
      </c>
      <c r="B1156" s="22">
        <v>45690</v>
      </c>
      <c r="C1156" s="23" t="str">
        <f>TEXT('Working Sheet'!$B1156,"mmm")</f>
        <v>Feb</v>
      </c>
      <c r="D1156" s="23" t="s">
        <v>25</v>
      </c>
      <c r="E1156" s="23" t="s">
        <v>19</v>
      </c>
      <c r="F1156" s="23" t="s">
        <v>13</v>
      </c>
      <c r="G1156" s="23" t="s">
        <v>14</v>
      </c>
      <c r="H1156" s="23" t="s">
        <v>40</v>
      </c>
      <c r="I1156" s="23" t="s">
        <v>31</v>
      </c>
      <c r="J1156" s="24">
        <v>250000</v>
      </c>
      <c r="K1156" s="23">
        <v>1</v>
      </c>
      <c r="L1156" s="23" t="s">
        <v>39</v>
      </c>
      <c r="M1156" s="25">
        <f t="shared" si="37"/>
        <v>200000</v>
      </c>
      <c r="N1156" s="25">
        <f>'Working Sheet'!$J1156*'Working Sheet'!$K1156</f>
        <v>250000</v>
      </c>
      <c r="O1156" s="26">
        <f>'Working Sheet'!$M1156*'Working Sheet'!$K1156</f>
        <v>200000</v>
      </c>
      <c r="P1156" s="25">
        <f>'Working Sheet'!$N1156-'Working Sheet'!$O1156</f>
        <v>50000</v>
      </c>
    </row>
    <row r="1157" spans="1:16" ht="14.25" customHeight="1" x14ac:dyDescent="0.25">
      <c r="A1157" s="18" t="str">
        <f t="shared" ca="1" si="36"/>
        <v>ID_1086</v>
      </c>
      <c r="B1157" s="17">
        <v>45691</v>
      </c>
      <c r="C1157" s="18" t="str">
        <f>TEXT('Working Sheet'!$B1157,"mmm")</f>
        <v>Feb</v>
      </c>
      <c r="D1157" s="18" t="s">
        <v>11</v>
      </c>
      <c r="E1157" s="18" t="s">
        <v>12</v>
      </c>
      <c r="F1157" s="18" t="s">
        <v>23</v>
      </c>
      <c r="G1157" s="18" t="s">
        <v>20</v>
      </c>
      <c r="H1157" s="18" t="s">
        <v>30</v>
      </c>
      <c r="I1157" s="18" t="s">
        <v>31</v>
      </c>
      <c r="J1157" s="19">
        <v>300000</v>
      </c>
      <c r="K1157" s="18">
        <v>9</v>
      </c>
      <c r="L1157" s="18" t="s">
        <v>28</v>
      </c>
      <c r="M1157" s="20">
        <f t="shared" si="37"/>
        <v>240000</v>
      </c>
      <c r="N1157" s="20">
        <f>'Working Sheet'!$J1157*'Working Sheet'!$K1157</f>
        <v>2700000</v>
      </c>
      <c r="O1157" s="21">
        <f>'Working Sheet'!$M1157*'Working Sheet'!$K1157</f>
        <v>2160000</v>
      </c>
      <c r="P1157" s="20">
        <f>'Working Sheet'!$N1157-'Working Sheet'!$O1157</f>
        <v>540000</v>
      </c>
    </row>
    <row r="1158" spans="1:16" ht="14.25" customHeight="1" x14ac:dyDescent="0.25">
      <c r="A1158" s="23" t="str">
        <f t="shared" ca="1" si="36"/>
        <v>ID_1485</v>
      </c>
      <c r="B1158" s="22">
        <v>45724</v>
      </c>
      <c r="C1158" s="23" t="str">
        <f>TEXT('Working Sheet'!$B1158,"mmm")</f>
        <v>Mar</v>
      </c>
      <c r="D1158" s="23" t="s">
        <v>11</v>
      </c>
      <c r="E1158" s="23" t="s">
        <v>19</v>
      </c>
      <c r="F1158" s="23" t="s">
        <v>23</v>
      </c>
      <c r="G1158" s="23" t="s">
        <v>14</v>
      </c>
      <c r="H1158" s="23" t="s">
        <v>34</v>
      </c>
      <c r="I1158" s="23" t="s">
        <v>16</v>
      </c>
      <c r="J1158" s="24">
        <v>320000</v>
      </c>
      <c r="K1158" s="23">
        <v>10</v>
      </c>
      <c r="L1158" s="23" t="s">
        <v>24</v>
      </c>
      <c r="M1158" s="25">
        <f t="shared" si="37"/>
        <v>256000</v>
      </c>
      <c r="N1158" s="25">
        <f>'Working Sheet'!$J1158*'Working Sheet'!$K1158</f>
        <v>3200000</v>
      </c>
      <c r="O1158" s="26">
        <f>'Working Sheet'!$M1158*'Working Sheet'!$K1158</f>
        <v>2560000</v>
      </c>
      <c r="P1158" s="25">
        <f>'Working Sheet'!$N1158-'Working Sheet'!$O1158</f>
        <v>640000</v>
      </c>
    </row>
    <row r="1159" spans="1:16" ht="14.25" customHeight="1" x14ac:dyDescent="0.25">
      <c r="A1159" s="18" t="str">
        <f t="shared" ca="1" si="36"/>
        <v>ID_1280</v>
      </c>
      <c r="B1159" s="17">
        <v>45665</v>
      </c>
      <c r="C1159" s="18" t="str">
        <f>TEXT('Working Sheet'!$B1159,"mmm")</f>
        <v>Jan</v>
      </c>
      <c r="D1159" s="18" t="s">
        <v>25</v>
      </c>
      <c r="E1159" s="18" t="s">
        <v>19</v>
      </c>
      <c r="F1159" s="18" t="s">
        <v>23</v>
      </c>
      <c r="G1159" s="18" t="s">
        <v>14</v>
      </c>
      <c r="H1159" s="18" t="s">
        <v>33</v>
      </c>
      <c r="I1159" s="18" t="s">
        <v>22</v>
      </c>
      <c r="J1159" s="19">
        <v>180000</v>
      </c>
      <c r="K1159" s="18">
        <v>9</v>
      </c>
      <c r="L1159" s="18" t="s">
        <v>37</v>
      </c>
      <c r="M1159" s="20">
        <f t="shared" si="37"/>
        <v>144000</v>
      </c>
      <c r="N1159" s="20">
        <f>'Working Sheet'!$J1159*'Working Sheet'!$K1159</f>
        <v>1620000</v>
      </c>
      <c r="O1159" s="21">
        <f>'Working Sheet'!$M1159*'Working Sheet'!$K1159</f>
        <v>1296000</v>
      </c>
      <c r="P1159" s="20">
        <f>'Working Sheet'!$N1159-'Working Sheet'!$O1159</f>
        <v>324000</v>
      </c>
    </row>
    <row r="1160" spans="1:16" ht="14.25" customHeight="1" x14ac:dyDescent="0.25">
      <c r="A1160" s="23" t="str">
        <f t="shared" ca="1" si="36"/>
        <v>ID_786</v>
      </c>
      <c r="B1160" s="22">
        <v>45761</v>
      </c>
      <c r="C1160" s="23" t="str">
        <f>TEXT('Working Sheet'!$B1160,"mmm")</f>
        <v>Apr</v>
      </c>
      <c r="D1160" s="23" t="s">
        <v>25</v>
      </c>
      <c r="E1160" s="23" t="s">
        <v>26</v>
      </c>
      <c r="F1160" s="23" t="s">
        <v>23</v>
      </c>
      <c r="G1160" s="23" t="s">
        <v>14</v>
      </c>
      <c r="H1160" s="23" t="s">
        <v>40</v>
      </c>
      <c r="I1160" s="23" t="s">
        <v>31</v>
      </c>
      <c r="J1160" s="24">
        <v>250000</v>
      </c>
      <c r="K1160" s="23">
        <v>1</v>
      </c>
      <c r="L1160" s="23" t="s">
        <v>39</v>
      </c>
      <c r="M1160" s="25">
        <f t="shared" si="37"/>
        <v>200000</v>
      </c>
      <c r="N1160" s="25">
        <f>'Working Sheet'!$J1160*'Working Sheet'!$K1160</f>
        <v>250000</v>
      </c>
      <c r="O1160" s="26">
        <f>'Working Sheet'!$M1160*'Working Sheet'!$K1160</f>
        <v>200000</v>
      </c>
      <c r="P1160" s="25">
        <f>'Working Sheet'!$N1160-'Working Sheet'!$O1160</f>
        <v>50000</v>
      </c>
    </row>
    <row r="1161" spans="1:16" ht="14.25" customHeight="1" x14ac:dyDescent="0.25">
      <c r="A1161" s="18" t="str">
        <f t="shared" ca="1" si="36"/>
        <v>ID_1121</v>
      </c>
      <c r="B1161" s="17">
        <v>45747</v>
      </c>
      <c r="C1161" s="18" t="str">
        <f>TEXT('Working Sheet'!$B1161,"mmm")</f>
        <v>Mar</v>
      </c>
      <c r="D1161" s="18" t="s">
        <v>25</v>
      </c>
      <c r="E1161" s="18" t="s">
        <v>32</v>
      </c>
      <c r="F1161" s="18" t="s">
        <v>23</v>
      </c>
      <c r="G1161" s="18" t="s">
        <v>14</v>
      </c>
      <c r="H1161" s="18" t="s">
        <v>15</v>
      </c>
      <c r="I1161" s="18" t="s">
        <v>16</v>
      </c>
      <c r="J1161" s="19">
        <v>85000</v>
      </c>
      <c r="K1161" s="18">
        <v>7</v>
      </c>
      <c r="L1161" s="18" t="s">
        <v>39</v>
      </c>
      <c r="M1161" s="20">
        <f t="shared" si="37"/>
        <v>68000</v>
      </c>
      <c r="N1161" s="20">
        <f>'Working Sheet'!$J1161*'Working Sheet'!$K1161</f>
        <v>595000</v>
      </c>
      <c r="O1161" s="21">
        <f>'Working Sheet'!$M1161*'Working Sheet'!$K1161</f>
        <v>476000</v>
      </c>
      <c r="P1161" s="20">
        <f>'Working Sheet'!$N1161-'Working Sheet'!$O1161</f>
        <v>119000</v>
      </c>
    </row>
    <row r="1162" spans="1:16" ht="14.25" customHeight="1" x14ac:dyDescent="0.25">
      <c r="A1162" s="23" t="str">
        <f t="shared" ca="1" si="36"/>
        <v>ID_1534</v>
      </c>
      <c r="B1162" s="22">
        <v>45767</v>
      </c>
      <c r="C1162" s="23" t="str">
        <f>TEXT('Working Sheet'!$B1162,"mmm")</f>
        <v>Apr</v>
      </c>
      <c r="D1162" s="23" t="s">
        <v>11</v>
      </c>
      <c r="E1162" s="23" t="s">
        <v>12</v>
      </c>
      <c r="F1162" s="23" t="s">
        <v>13</v>
      </c>
      <c r="G1162" s="23" t="s">
        <v>20</v>
      </c>
      <c r="H1162" s="23" t="s">
        <v>21</v>
      </c>
      <c r="I1162" s="23" t="s">
        <v>22</v>
      </c>
      <c r="J1162" s="24">
        <v>30000</v>
      </c>
      <c r="K1162" s="23">
        <v>6</v>
      </c>
      <c r="L1162" s="23" t="s">
        <v>28</v>
      </c>
      <c r="M1162" s="25">
        <f t="shared" si="37"/>
        <v>24000</v>
      </c>
      <c r="N1162" s="25">
        <f>'Working Sheet'!$J1162*'Working Sheet'!$K1162</f>
        <v>180000</v>
      </c>
      <c r="O1162" s="26">
        <f>'Working Sheet'!$M1162*'Working Sheet'!$K1162</f>
        <v>144000</v>
      </c>
      <c r="P1162" s="25">
        <f>'Working Sheet'!$N1162-'Working Sheet'!$O1162</f>
        <v>36000</v>
      </c>
    </row>
    <row r="1163" spans="1:16" ht="14.25" customHeight="1" x14ac:dyDescent="0.25">
      <c r="A1163" s="18" t="str">
        <f t="shared" ca="1" si="36"/>
        <v>ID_1110</v>
      </c>
      <c r="B1163" s="17">
        <v>45686</v>
      </c>
      <c r="C1163" s="18" t="str">
        <f>TEXT('Working Sheet'!$B1163,"mmm")</f>
        <v>Jan</v>
      </c>
      <c r="D1163" s="18" t="s">
        <v>11</v>
      </c>
      <c r="E1163" s="18" t="s">
        <v>19</v>
      </c>
      <c r="F1163" s="18" t="s">
        <v>13</v>
      </c>
      <c r="G1163" s="18" t="s">
        <v>20</v>
      </c>
      <c r="H1163" s="18" t="s">
        <v>21</v>
      </c>
      <c r="I1163" s="18" t="s">
        <v>22</v>
      </c>
      <c r="J1163" s="19">
        <v>30000</v>
      </c>
      <c r="K1163" s="18">
        <v>6</v>
      </c>
      <c r="L1163" s="18" t="s">
        <v>24</v>
      </c>
      <c r="M1163" s="20">
        <f t="shared" si="37"/>
        <v>24000</v>
      </c>
      <c r="N1163" s="20">
        <f>'Working Sheet'!$J1163*'Working Sheet'!$K1163</f>
        <v>180000</v>
      </c>
      <c r="O1163" s="21">
        <f>'Working Sheet'!$M1163*'Working Sheet'!$K1163</f>
        <v>144000</v>
      </c>
      <c r="P1163" s="20">
        <f>'Working Sheet'!$N1163-'Working Sheet'!$O1163</f>
        <v>36000</v>
      </c>
    </row>
    <row r="1164" spans="1:16" ht="14.25" customHeight="1" x14ac:dyDescent="0.25">
      <c r="A1164" s="23" t="str">
        <f t="shared" ca="1" si="36"/>
        <v>ID_928</v>
      </c>
      <c r="B1164" s="22">
        <v>45739</v>
      </c>
      <c r="C1164" s="23" t="str">
        <f>TEXT('Working Sheet'!$B1164,"mmm")</f>
        <v>Mar</v>
      </c>
      <c r="D1164" s="23" t="s">
        <v>11</v>
      </c>
      <c r="E1164" s="23" t="s">
        <v>12</v>
      </c>
      <c r="F1164" s="23" t="s">
        <v>23</v>
      </c>
      <c r="G1164" s="23" t="s">
        <v>20</v>
      </c>
      <c r="H1164" s="23" t="s">
        <v>34</v>
      </c>
      <c r="I1164" s="23" t="s">
        <v>16</v>
      </c>
      <c r="J1164" s="24">
        <v>320000</v>
      </c>
      <c r="K1164" s="23">
        <v>2</v>
      </c>
      <c r="L1164" s="23" t="s">
        <v>37</v>
      </c>
      <c r="M1164" s="25">
        <f t="shared" si="37"/>
        <v>256000</v>
      </c>
      <c r="N1164" s="25">
        <f>'Working Sheet'!$J1164*'Working Sheet'!$K1164</f>
        <v>640000</v>
      </c>
      <c r="O1164" s="26">
        <f>'Working Sheet'!$M1164*'Working Sheet'!$K1164</f>
        <v>512000</v>
      </c>
      <c r="P1164" s="25">
        <f>'Working Sheet'!$N1164-'Working Sheet'!$O1164</f>
        <v>128000</v>
      </c>
    </row>
    <row r="1165" spans="1:16" ht="14.25" customHeight="1" x14ac:dyDescent="0.25">
      <c r="A1165" s="18" t="str">
        <f t="shared" ca="1" si="36"/>
        <v>ID_1295</v>
      </c>
      <c r="B1165" s="17">
        <v>45682</v>
      </c>
      <c r="C1165" s="18" t="str">
        <f>TEXT('Working Sheet'!$B1165,"mmm")</f>
        <v>Jan</v>
      </c>
      <c r="D1165" s="18" t="s">
        <v>11</v>
      </c>
      <c r="E1165" s="18" t="s">
        <v>32</v>
      </c>
      <c r="F1165" s="18" t="s">
        <v>13</v>
      </c>
      <c r="G1165" s="18" t="s">
        <v>20</v>
      </c>
      <c r="H1165" s="18" t="s">
        <v>27</v>
      </c>
      <c r="I1165" s="18" t="s">
        <v>22</v>
      </c>
      <c r="J1165" s="19">
        <v>60000</v>
      </c>
      <c r="K1165" s="18">
        <v>6</v>
      </c>
      <c r="L1165" s="18" t="s">
        <v>24</v>
      </c>
      <c r="M1165" s="20">
        <f t="shared" si="37"/>
        <v>48000</v>
      </c>
      <c r="N1165" s="20">
        <f>'Working Sheet'!$J1165*'Working Sheet'!$K1165</f>
        <v>360000</v>
      </c>
      <c r="O1165" s="21">
        <f>'Working Sheet'!$M1165*'Working Sheet'!$K1165</f>
        <v>288000</v>
      </c>
      <c r="P1165" s="20">
        <f>'Working Sheet'!$N1165-'Working Sheet'!$O1165</f>
        <v>72000</v>
      </c>
    </row>
    <row r="1166" spans="1:16" ht="14.25" customHeight="1" x14ac:dyDescent="0.25">
      <c r="A1166" s="23" t="str">
        <f t="shared" ca="1" si="36"/>
        <v>ID_477</v>
      </c>
      <c r="B1166" s="22">
        <v>45728</v>
      </c>
      <c r="C1166" s="23" t="str">
        <f>TEXT('Working Sheet'!$B1166,"mmm")</f>
        <v>Mar</v>
      </c>
      <c r="D1166" s="23" t="s">
        <v>11</v>
      </c>
      <c r="E1166" s="23" t="s">
        <v>19</v>
      </c>
      <c r="F1166" s="23" t="s">
        <v>13</v>
      </c>
      <c r="G1166" s="23" t="s">
        <v>20</v>
      </c>
      <c r="H1166" s="23" t="s">
        <v>41</v>
      </c>
      <c r="I1166" s="23" t="s">
        <v>22</v>
      </c>
      <c r="J1166" s="24">
        <v>220000</v>
      </c>
      <c r="K1166" s="23">
        <v>10</v>
      </c>
      <c r="L1166" s="23" t="s">
        <v>39</v>
      </c>
      <c r="M1166" s="25">
        <f t="shared" si="37"/>
        <v>176000</v>
      </c>
      <c r="N1166" s="25">
        <f>'Working Sheet'!$J1166*'Working Sheet'!$K1166</f>
        <v>2200000</v>
      </c>
      <c r="O1166" s="26">
        <f>'Working Sheet'!$M1166*'Working Sheet'!$K1166</f>
        <v>1760000</v>
      </c>
      <c r="P1166" s="25">
        <f>'Working Sheet'!$N1166-'Working Sheet'!$O1166</f>
        <v>440000</v>
      </c>
    </row>
    <row r="1167" spans="1:16" ht="14.25" customHeight="1" x14ac:dyDescent="0.25">
      <c r="A1167" s="18" t="str">
        <f t="shared" ca="1" si="36"/>
        <v>ID_1822</v>
      </c>
      <c r="B1167" s="17">
        <v>45757</v>
      </c>
      <c r="C1167" s="18" t="str">
        <f>TEXT('Working Sheet'!$B1167,"mmm")</f>
        <v>Apr</v>
      </c>
      <c r="D1167" s="18" t="s">
        <v>11</v>
      </c>
      <c r="E1167" s="18" t="s">
        <v>32</v>
      </c>
      <c r="F1167" s="18" t="s">
        <v>13</v>
      </c>
      <c r="G1167" s="18" t="s">
        <v>14</v>
      </c>
      <c r="H1167" s="18" t="s">
        <v>27</v>
      </c>
      <c r="I1167" s="18" t="s">
        <v>22</v>
      </c>
      <c r="J1167" s="19">
        <v>60000</v>
      </c>
      <c r="K1167" s="18">
        <v>6</v>
      </c>
      <c r="L1167" s="18" t="s">
        <v>39</v>
      </c>
      <c r="M1167" s="20">
        <f t="shared" si="37"/>
        <v>48000</v>
      </c>
      <c r="N1167" s="20">
        <f>'Working Sheet'!$J1167*'Working Sheet'!$K1167</f>
        <v>360000</v>
      </c>
      <c r="O1167" s="21">
        <f>'Working Sheet'!$M1167*'Working Sheet'!$K1167</f>
        <v>288000</v>
      </c>
      <c r="P1167" s="20">
        <f>'Working Sheet'!$N1167-'Working Sheet'!$O1167</f>
        <v>72000</v>
      </c>
    </row>
    <row r="1168" spans="1:16" ht="14.25" customHeight="1" x14ac:dyDescent="0.25">
      <c r="A1168" s="23" t="str">
        <f t="shared" ca="1" si="36"/>
        <v>ID_1296</v>
      </c>
      <c r="B1168" s="22">
        <v>45658</v>
      </c>
      <c r="C1168" s="23" t="str">
        <f>TEXT('Working Sheet'!$B1168,"mmm")</f>
        <v>Jan</v>
      </c>
      <c r="D1168" s="23" t="s">
        <v>11</v>
      </c>
      <c r="E1168" s="23" t="s">
        <v>26</v>
      </c>
      <c r="F1168" s="23" t="s">
        <v>13</v>
      </c>
      <c r="G1168" s="23" t="s">
        <v>14</v>
      </c>
      <c r="H1168" s="23" t="s">
        <v>41</v>
      </c>
      <c r="I1168" s="23" t="s">
        <v>22</v>
      </c>
      <c r="J1168" s="24">
        <v>220000</v>
      </c>
      <c r="K1168" s="23">
        <v>7</v>
      </c>
      <c r="L1168" s="23" t="s">
        <v>37</v>
      </c>
      <c r="M1168" s="25">
        <f t="shared" si="37"/>
        <v>176000</v>
      </c>
      <c r="N1168" s="25">
        <f>'Working Sheet'!$J1168*'Working Sheet'!$K1168</f>
        <v>1540000</v>
      </c>
      <c r="O1168" s="26">
        <f>'Working Sheet'!$M1168*'Working Sheet'!$K1168</f>
        <v>1232000</v>
      </c>
      <c r="P1168" s="25">
        <f>'Working Sheet'!$N1168-'Working Sheet'!$O1168</f>
        <v>308000</v>
      </c>
    </row>
    <row r="1169" spans="1:16" ht="14.25" customHeight="1" x14ac:dyDescent="0.25">
      <c r="A1169" s="18" t="str">
        <f t="shared" ca="1" si="36"/>
        <v>ID_1809</v>
      </c>
      <c r="B1169" s="17">
        <v>45677</v>
      </c>
      <c r="C1169" s="18" t="str">
        <f>TEXT('Working Sheet'!$B1169,"mmm")</f>
        <v>Jan</v>
      </c>
      <c r="D1169" s="18" t="s">
        <v>18</v>
      </c>
      <c r="E1169" s="18" t="s">
        <v>19</v>
      </c>
      <c r="F1169" s="18" t="s">
        <v>23</v>
      </c>
      <c r="G1169" s="18" t="s">
        <v>20</v>
      </c>
      <c r="H1169" s="18" t="s">
        <v>38</v>
      </c>
      <c r="I1169" s="18" t="s">
        <v>31</v>
      </c>
      <c r="J1169" s="19">
        <v>420000</v>
      </c>
      <c r="K1169" s="18">
        <v>8</v>
      </c>
      <c r="L1169" s="18" t="s">
        <v>37</v>
      </c>
      <c r="M1169" s="20">
        <f t="shared" si="37"/>
        <v>336000</v>
      </c>
      <c r="N1169" s="20">
        <f>'Working Sheet'!$J1169*'Working Sheet'!$K1169</f>
        <v>3360000</v>
      </c>
      <c r="O1169" s="21">
        <f>'Working Sheet'!$M1169*'Working Sheet'!$K1169</f>
        <v>2688000</v>
      </c>
      <c r="P1169" s="20">
        <f>'Working Sheet'!$N1169-'Working Sheet'!$O1169</f>
        <v>672000</v>
      </c>
    </row>
    <row r="1170" spans="1:16" ht="14.25" customHeight="1" x14ac:dyDescent="0.25">
      <c r="A1170" s="23" t="str">
        <f t="shared" ca="1" si="36"/>
        <v>ID_138</v>
      </c>
      <c r="B1170" s="22">
        <v>45663</v>
      </c>
      <c r="C1170" s="23" t="str">
        <f>TEXT('Working Sheet'!$B1170,"mmm")</f>
        <v>Jan</v>
      </c>
      <c r="D1170" s="23" t="s">
        <v>18</v>
      </c>
      <c r="E1170" s="23" t="s">
        <v>19</v>
      </c>
      <c r="F1170" s="23" t="s">
        <v>13</v>
      </c>
      <c r="G1170" s="23" t="s">
        <v>20</v>
      </c>
      <c r="H1170" s="23" t="s">
        <v>38</v>
      </c>
      <c r="I1170" s="23" t="s">
        <v>31</v>
      </c>
      <c r="J1170" s="24">
        <v>420000</v>
      </c>
      <c r="K1170" s="23">
        <v>1</v>
      </c>
      <c r="L1170" s="23" t="s">
        <v>39</v>
      </c>
      <c r="M1170" s="25">
        <f t="shared" si="37"/>
        <v>336000</v>
      </c>
      <c r="N1170" s="25">
        <f>'Working Sheet'!$J1170*'Working Sheet'!$K1170</f>
        <v>420000</v>
      </c>
      <c r="O1170" s="26">
        <f>'Working Sheet'!$M1170*'Working Sheet'!$K1170</f>
        <v>336000</v>
      </c>
      <c r="P1170" s="25">
        <f>'Working Sheet'!$N1170-'Working Sheet'!$O1170</f>
        <v>84000</v>
      </c>
    </row>
    <row r="1171" spans="1:16" ht="14.25" customHeight="1" x14ac:dyDescent="0.25">
      <c r="A1171" s="18" t="str">
        <f t="shared" ca="1" si="36"/>
        <v>ID_221</v>
      </c>
      <c r="B1171" s="17">
        <v>45728</v>
      </c>
      <c r="C1171" s="18" t="str">
        <f>TEXT('Working Sheet'!$B1171,"mmm")</f>
        <v>Mar</v>
      </c>
      <c r="D1171" s="18" t="s">
        <v>18</v>
      </c>
      <c r="E1171" s="18" t="s">
        <v>12</v>
      </c>
      <c r="F1171" s="18" t="s">
        <v>23</v>
      </c>
      <c r="G1171" s="18" t="s">
        <v>20</v>
      </c>
      <c r="H1171" s="18" t="s">
        <v>40</v>
      </c>
      <c r="I1171" s="18" t="s">
        <v>31</v>
      </c>
      <c r="J1171" s="19">
        <v>250000</v>
      </c>
      <c r="K1171" s="18">
        <v>9</v>
      </c>
      <c r="L1171" s="18" t="s">
        <v>37</v>
      </c>
      <c r="M1171" s="20">
        <f t="shared" si="37"/>
        <v>200000</v>
      </c>
      <c r="N1171" s="20">
        <f>'Working Sheet'!$J1171*'Working Sheet'!$K1171</f>
        <v>2250000</v>
      </c>
      <c r="O1171" s="21">
        <f>'Working Sheet'!$M1171*'Working Sheet'!$K1171</f>
        <v>1800000</v>
      </c>
      <c r="P1171" s="20">
        <f>'Working Sheet'!$N1171-'Working Sheet'!$O1171</f>
        <v>450000</v>
      </c>
    </row>
    <row r="1172" spans="1:16" ht="14.25" customHeight="1" x14ac:dyDescent="0.25">
      <c r="A1172" s="23" t="str">
        <f t="shared" ca="1" si="36"/>
        <v>ID_1906</v>
      </c>
      <c r="B1172" s="22">
        <v>45716</v>
      </c>
      <c r="C1172" s="23" t="str">
        <f>TEXT('Working Sheet'!$B1172,"mmm")</f>
        <v>Feb</v>
      </c>
      <c r="D1172" s="23" t="s">
        <v>29</v>
      </c>
      <c r="E1172" s="23" t="s">
        <v>32</v>
      </c>
      <c r="F1172" s="23" t="s">
        <v>13</v>
      </c>
      <c r="G1172" s="23" t="s">
        <v>14</v>
      </c>
      <c r="H1172" s="23" t="s">
        <v>21</v>
      </c>
      <c r="I1172" s="23" t="s">
        <v>22</v>
      </c>
      <c r="J1172" s="24">
        <v>30000</v>
      </c>
      <c r="K1172" s="23">
        <v>3</v>
      </c>
      <c r="L1172" s="23" t="s">
        <v>24</v>
      </c>
      <c r="M1172" s="25">
        <f t="shared" si="37"/>
        <v>24000</v>
      </c>
      <c r="N1172" s="25">
        <f>'Working Sheet'!$J1172*'Working Sheet'!$K1172</f>
        <v>90000</v>
      </c>
      <c r="O1172" s="26">
        <f>'Working Sheet'!$M1172*'Working Sheet'!$K1172</f>
        <v>72000</v>
      </c>
      <c r="P1172" s="25">
        <f>'Working Sheet'!$N1172-'Working Sheet'!$O1172</f>
        <v>18000</v>
      </c>
    </row>
    <row r="1173" spans="1:16" ht="14.25" customHeight="1" x14ac:dyDescent="0.25">
      <c r="A1173" s="18" t="str">
        <f t="shared" ca="1" si="36"/>
        <v>ID_156</v>
      </c>
      <c r="B1173" s="17">
        <v>45778</v>
      </c>
      <c r="C1173" s="18" t="str">
        <f>TEXT('Working Sheet'!$B1173,"mmm")</f>
        <v>May</v>
      </c>
      <c r="D1173" s="18" t="s">
        <v>29</v>
      </c>
      <c r="E1173" s="18" t="s">
        <v>26</v>
      </c>
      <c r="F1173" s="18" t="s">
        <v>13</v>
      </c>
      <c r="G1173" s="18" t="s">
        <v>14</v>
      </c>
      <c r="H1173" s="18" t="s">
        <v>34</v>
      </c>
      <c r="I1173" s="18" t="s">
        <v>16</v>
      </c>
      <c r="J1173" s="19">
        <v>320000</v>
      </c>
      <c r="K1173" s="18">
        <v>1</v>
      </c>
      <c r="L1173" s="18" t="s">
        <v>39</v>
      </c>
      <c r="M1173" s="20">
        <f t="shared" si="37"/>
        <v>256000</v>
      </c>
      <c r="N1173" s="20">
        <f>'Working Sheet'!$J1173*'Working Sheet'!$K1173</f>
        <v>320000</v>
      </c>
      <c r="O1173" s="21">
        <f>'Working Sheet'!$M1173*'Working Sheet'!$K1173</f>
        <v>256000</v>
      </c>
      <c r="P1173" s="20">
        <f>'Working Sheet'!$N1173-'Working Sheet'!$O1173</f>
        <v>64000</v>
      </c>
    </row>
    <row r="1174" spans="1:16" ht="14.25" customHeight="1" x14ac:dyDescent="0.25">
      <c r="A1174" s="23" t="str">
        <f t="shared" ca="1" si="36"/>
        <v>ID_1612</v>
      </c>
      <c r="B1174" s="22">
        <v>45690</v>
      </c>
      <c r="C1174" s="23" t="str">
        <f>TEXT('Working Sheet'!$B1174,"mmm")</f>
        <v>Feb</v>
      </c>
      <c r="D1174" s="23" t="s">
        <v>11</v>
      </c>
      <c r="E1174" s="23" t="s">
        <v>32</v>
      </c>
      <c r="F1174" s="23" t="s">
        <v>23</v>
      </c>
      <c r="G1174" s="23" t="s">
        <v>14</v>
      </c>
      <c r="H1174" s="23" t="s">
        <v>34</v>
      </c>
      <c r="I1174" s="23" t="s">
        <v>16</v>
      </c>
      <c r="J1174" s="24">
        <v>320000</v>
      </c>
      <c r="K1174" s="23">
        <v>10</v>
      </c>
      <c r="L1174" s="23" t="s">
        <v>28</v>
      </c>
      <c r="M1174" s="25">
        <f t="shared" si="37"/>
        <v>256000</v>
      </c>
      <c r="N1174" s="25">
        <f>'Working Sheet'!$J1174*'Working Sheet'!$K1174</f>
        <v>3200000</v>
      </c>
      <c r="O1174" s="26">
        <f>'Working Sheet'!$M1174*'Working Sheet'!$K1174</f>
        <v>2560000</v>
      </c>
      <c r="P1174" s="25">
        <f>'Working Sheet'!$N1174-'Working Sheet'!$O1174</f>
        <v>640000</v>
      </c>
    </row>
    <row r="1175" spans="1:16" ht="14.25" customHeight="1" x14ac:dyDescent="0.25">
      <c r="A1175" s="18" t="str">
        <f t="shared" ca="1" si="36"/>
        <v>ID_1803</v>
      </c>
      <c r="B1175" s="17">
        <v>45763</v>
      </c>
      <c r="C1175" s="18" t="str">
        <f>TEXT('Working Sheet'!$B1175,"mmm")</f>
        <v>Apr</v>
      </c>
      <c r="D1175" s="18" t="s">
        <v>29</v>
      </c>
      <c r="E1175" s="18" t="s">
        <v>19</v>
      </c>
      <c r="F1175" s="18" t="s">
        <v>23</v>
      </c>
      <c r="G1175" s="18" t="s">
        <v>14</v>
      </c>
      <c r="H1175" s="18" t="s">
        <v>33</v>
      </c>
      <c r="I1175" s="18" t="s">
        <v>22</v>
      </c>
      <c r="J1175" s="19">
        <v>180000</v>
      </c>
      <c r="K1175" s="18">
        <v>4</v>
      </c>
      <c r="L1175" s="18" t="s">
        <v>28</v>
      </c>
      <c r="M1175" s="20">
        <f t="shared" si="37"/>
        <v>144000</v>
      </c>
      <c r="N1175" s="20">
        <f>'Working Sheet'!$J1175*'Working Sheet'!$K1175</f>
        <v>720000</v>
      </c>
      <c r="O1175" s="21">
        <f>'Working Sheet'!$M1175*'Working Sheet'!$K1175</f>
        <v>576000</v>
      </c>
      <c r="P1175" s="20">
        <f>'Working Sheet'!$N1175-'Working Sheet'!$O1175</f>
        <v>144000</v>
      </c>
    </row>
    <row r="1176" spans="1:16" ht="14.25" customHeight="1" x14ac:dyDescent="0.25">
      <c r="A1176" s="23" t="str">
        <f t="shared" ca="1" si="36"/>
        <v>ID_1040</v>
      </c>
      <c r="B1176" s="22">
        <v>45719</v>
      </c>
      <c r="C1176" s="23" t="str">
        <f>TEXT('Working Sheet'!$B1176,"mmm")</f>
        <v>Mar</v>
      </c>
      <c r="D1176" s="23" t="s">
        <v>11</v>
      </c>
      <c r="E1176" s="23" t="s">
        <v>19</v>
      </c>
      <c r="F1176" s="23" t="s">
        <v>13</v>
      </c>
      <c r="G1176" s="23" t="s">
        <v>20</v>
      </c>
      <c r="H1176" s="23" t="s">
        <v>38</v>
      </c>
      <c r="I1176" s="23" t="s">
        <v>31</v>
      </c>
      <c r="J1176" s="24">
        <v>420000</v>
      </c>
      <c r="K1176" s="23">
        <v>5</v>
      </c>
      <c r="L1176" s="23" t="s">
        <v>37</v>
      </c>
      <c r="M1176" s="25">
        <f t="shared" si="37"/>
        <v>336000</v>
      </c>
      <c r="N1176" s="25">
        <f>'Working Sheet'!$J1176*'Working Sheet'!$K1176</f>
        <v>2100000</v>
      </c>
      <c r="O1176" s="26">
        <f>'Working Sheet'!$M1176*'Working Sheet'!$K1176</f>
        <v>1680000</v>
      </c>
      <c r="P1176" s="25">
        <f>'Working Sheet'!$N1176-'Working Sheet'!$O1176</f>
        <v>420000</v>
      </c>
    </row>
    <row r="1177" spans="1:16" ht="14.25" customHeight="1" x14ac:dyDescent="0.25">
      <c r="A1177" s="18" t="str">
        <f t="shared" ca="1" si="36"/>
        <v>ID_2076</v>
      </c>
      <c r="B1177" s="17">
        <v>45735</v>
      </c>
      <c r="C1177" s="18" t="str">
        <f>TEXT('Working Sheet'!$B1177,"mmm")</f>
        <v>Mar</v>
      </c>
      <c r="D1177" s="18" t="s">
        <v>29</v>
      </c>
      <c r="E1177" s="18" t="s">
        <v>32</v>
      </c>
      <c r="F1177" s="18" t="s">
        <v>13</v>
      </c>
      <c r="G1177" s="18" t="s">
        <v>14</v>
      </c>
      <c r="H1177" s="18" t="s">
        <v>27</v>
      </c>
      <c r="I1177" s="18" t="s">
        <v>22</v>
      </c>
      <c r="J1177" s="19">
        <v>60000</v>
      </c>
      <c r="K1177" s="18">
        <v>5</v>
      </c>
      <c r="L1177" s="18" t="s">
        <v>24</v>
      </c>
      <c r="M1177" s="20">
        <f t="shared" si="37"/>
        <v>48000</v>
      </c>
      <c r="N1177" s="20">
        <f>'Working Sheet'!$J1177*'Working Sheet'!$K1177</f>
        <v>300000</v>
      </c>
      <c r="O1177" s="21">
        <f>'Working Sheet'!$M1177*'Working Sheet'!$K1177</f>
        <v>240000</v>
      </c>
      <c r="P1177" s="20">
        <f>'Working Sheet'!$N1177-'Working Sheet'!$O1177</f>
        <v>60000</v>
      </c>
    </row>
    <row r="1178" spans="1:16" ht="14.25" customHeight="1" x14ac:dyDescent="0.25">
      <c r="A1178" s="23" t="str">
        <f t="shared" ca="1" si="36"/>
        <v>ID_720</v>
      </c>
      <c r="B1178" s="22">
        <v>45698</v>
      </c>
      <c r="C1178" s="23" t="str">
        <f>TEXT('Working Sheet'!$B1178,"mmm")</f>
        <v>Feb</v>
      </c>
      <c r="D1178" s="23" t="s">
        <v>29</v>
      </c>
      <c r="E1178" s="23" t="s">
        <v>32</v>
      </c>
      <c r="F1178" s="23" t="s">
        <v>13</v>
      </c>
      <c r="G1178" s="23" t="s">
        <v>20</v>
      </c>
      <c r="H1178" s="23" t="s">
        <v>27</v>
      </c>
      <c r="I1178" s="23" t="s">
        <v>22</v>
      </c>
      <c r="J1178" s="24">
        <v>60000</v>
      </c>
      <c r="K1178" s="23">
        <v>9</v>
      </c>
      <c r="L1178" s="23" t="s">
        <v>37</v>
      </c>
      <c r="M1178" s="25">
        <f t="shared" si="37"/>
        <v>48000</v>
      </c>
      <c r="N1178" s="25">
        <f>'Working Sheet'!$J1178*'Working Sheet'!$K1178</f>
        <v>540000</v>
      </c>
      <c r="O1178" s="26">
        <f>'Working Sheet'!$M1178*'Working Sheet'!$K1178</f>
        <v>432000</v>
      </c>
      <c r="P1178" s="25">
        <f>'Working Sheet'!$N1178-'Working Sheet'!$O1178</f>
        <v>108000</v>
      </c>
    </row>
    <row r="1179" spans="1:16" ht="14.25" customHeight="1" x14ac:dyDescent="0.25">
      <c r="A1179" s="18" t="str">
        <f t="shared" ca="1" si="36"/>
        <v>ID_2019</v>
      </c>
      <c r="B1179" s="17">
        <v>45676</v>
      </c>
      <c r="C1179" s="18" t="str">
        <f>TEXT('Working Sheet'!$B1179,"mmm")</f>
        <v>Jan</v>
      </c>
      <c r="D1179" s="18" t="s">
        <v>18</v>
      </c>
      <c r="E1179" s="18" t="s">
        <v>26</v>
      </c>
      <c r="F1179" s="18" t="s">
        <v>23</v>
      </c>
      <c r="G1179" s="18" t="s">
        <v>20</v>
      </c>
      <c r="H1179" s="18" t="s">
        <v>30</v>
      </c>
      <c r="I1179" s="18" t="s">
        <v>31</v>
      </c>
      <c r="J1179" s="19">
        <v>300000</v>
      </c>
      <c r="K1179" s="18">
        <v>10</v>
      </c>
      <c r="L1179" s="18" t="s">
        <v>24</v>
      </c>
      <c r="M1179" s="20">
        <f t="shared" si="37"/>
        <v>240000</v>
      </c>
      <c r="N1179" s="20">
        <f>'Working Sheet'!$J1179*'Working Sheet'!$K1179</f>
        <v>3000000</v>
      </c>
      <c r="O1179" s="21">
        <f>'Working Sheet'!$M1179*'Working Sheet'!$K1179</f>
        <v>2400000</v>
      </c>
      <c r="P1179" s="20">
        <f>'Working Sheet'!$N1179-'Working Sheet'!$O1179</f>
        <v>600000</v>
      </c>
    </row>
    <row r="1180" spans="1:16" ht="14.25" customHeight="1" x14ac:dyDescent="0.25">
      <c r="A1180" s="23" t="str">
        <f t="shared" ca="1" si="36"/>
        <v>ID_1540</v>
      </c>
      <c r="B1180" s="22">
        <v>45775</v>
      </c>
      <c r="C1180" s="23" t="str">
        <f>TEXT('Working Sheet'!$B1180,"mmm")</f>
        <v>Apr</v>
      </c>
      <c r="D1180" s="23" t="s">
        <v>25</v>
      </c>
      <c r="E1180" s="23" t="s">
        <v>32</v>
      </c>
      <c r="F1180" s="23" t="s">
        <v>13</v>
      </c>
      <c r="G1180" s="23" t="s">
        <v>20</v>
      </c>
      <c r="H1180" s="23" t="s">
        <v>38</v>
      </c>
      <c r="I1180" s="23" t="s">
        <v>31</v>
      </c>
      <c r="J1180" s="24">
        <v>420000</v>
      </c>
      <c r="K1180" s="23">
        <v>8</v>
      </c>
      <c r="L1180" s="23" t="s">
        <v>39</v>
      </c>
      <c r="M1180" s="25">
        <f t="shared" si="37"/>
        <v>336000</v>
      </c>
      <c r="N1180" s="25">
        <f>'Working Sheet'!$J1180*'Working Sheet'!$K1180</f>
        <v>3360000</v>
      </c>
      <c r="O1180" s="26">
        <f>'Working Sheet'!$M1180*'Working Sheet'!$K1180</f>
        <v>2688000</v>
      </c>
      <c r="P1180" s="25">
        <f>'Working Sheet'!$N1180-'Working Sheet'!$O1180</f>
        <v>672000</v>
      </c>
    </row>
    <row r="1181" spans="1:16" ht="14.25" customHeight="1" x14ac:dyDescent="0.25">
      <c r="A1181" s="18" t="str">
        <f t="shared" ca="1" si="36"/>
        <v>ID_3</v>
      </c>
      <c r="B1181" s="17">
        <v>45725</v>
      </c>
      <c r="C1181" s="18" t="str">
        <f>TEXT('Working Sheet'!$B1181,"mmm")</f>
        <v>Mar</v>
      </c>
      <c r="D1181" s="18" t="s">
        <v>25</v>
      </c>
      <c r="E1181" s="18" t="s">
        <v>26</v>
      </c>
      <c r="F1181" s="18" t="s">
        <v>23</v>
      </c>
      <c r="G1181" s="18" t="s">
        <v>20</v>
      </c>
      <c r="H1181" s="18" t="s">
        <v>33</v>
      </c>
      <c r="I1181" s="18" t="s">
        <v>22</v>
      </c>
      <c r="J1181" s="19">
        <v>180000</v>
      </c>
      <c r="K1181" s="18">
        <v>4</v>
      </c>
      <c r="L1181" s="18" t="s">
        <v>24</v>
      </c>
      <c r="M1181" s="20">
        <f t="shared" si="37"/>
        <v>144000</v>
      </c>
      <c r="N1181" s="20">
        <f>'Working Sheet'!$J1181*'Working Sheet'!$K1181</f>
        <v>720000</v>
      </c>
      <c r="O1181" s="21">
        <f>'Working Sheet'!$M1181*'Working Sheet'!$K1181</f>
        <v>576000</v>
      </c>
      <c r="P1181" s="20">
        <f>'Working Sheet'!$N1181-'Working Sheet'!$O1181</f>
        <v>144000</v>
      </c>
    </row>
    <row r="1182" spans="1:16" ht="14.25" customHeight="1" x14ac:dyDescent="0.25">
      <c r="A1182" s="23" t="str">
        <f t="shared" ca="1" si="36"/>
        <v>ID_808</v>
      </c>
      <c r="B1182" s="22">
        <v>45701</v>
      </c>
      <c r="C1182" s="23" t="str">
        <f>TEXT('Working Sheet'!$B1182,"mmm")</f>
        <v>Feb</v>
      </c>
      <c r="D1182" s="23" t="s">
        <v>18</v>
      </c>
      <c r="E1182" s="23" t="s">
        <v>26</v>
      </c>
      <c r="F1182" s="23" t="s">
        <v>13</v>
      </c>
      <c r="G1182" s="23" t="s">
        <v>20</v>
      </c>
      <c r="H1182" s="23" t="s">
        <v>21</v>
      </c>
      <c r="I1182" s="23" t="s">
        <v>22</v>
      </c>
      <c r="J1182" s="24">
        <v>30000</v>
      </c>
      <c r="K1182" s="23">
        <v>5</v>
      </c>
      <c r="L1182" s="23" t="s">
        <v>37</v>
      </c>
      <c r="M1182" s="25">
        <f t="shared" si="37"/>
        <v>24000</v>
      </c>
      <c r="N1182" s="25">
        <f>'Working Sheet'!$J1182*'Working Sheet'!$K1182</f>
        <v>150000</v>
      </c>
      <c r="O1182" s="26">
        <f>'Working Sheet'!$M1182*'Working Sheet'!$K1182</f>
        <v>120000</v>
      </c>
      <c r="P1182" s="25">
        <f>'Working Sheet'!$N1182-'Working Sheet'!$O1182</f>
        <v>30000</v>
      </c>
    </row>
    <row r="1183" spans="1:16" ht="14.25" customHeight="1" x14ac:dyDescent="0.25">
      <c r="A1183" s="18" t="str">
        <f t="shared" ca="1" si="36"/>
        <v>ID_1871</v>
      </c>
      <c r="B1183" s="17">
        <v>45685</v>
      </c>
      <c r="C1183" s="18" t="str">
        <f>TEXT('Working Sheet'!$B1183,"mmm")</f>
        <v>Jan</v>
      </c>
      <c r="D1183" s="18" t="s">
        <v>29</v>
      </c>
      <c r="E1183" s="18" t="s">
        <v>19</v>
      </c>
      <c r="F1183" s="18" t="s">
        <v>13</v>
      </c>
      <c r="G1183" s="18" t="s">
        <v>14</v>
      </c>
      <c r="H1183" s="18" t="s">
        <v>40</v>
      </c>
      <c r="I1183" s="18" t="s">
        <v>31</v>
      </c>
      <c r="J1183" s="19">
        <v>250000</v>
      </c>
      <c r="K1183" s="18">
        <v>3</v>
      </c>
      <c r="L1183" s="18" t="s">
        <v>24</v>
      </c>
      <c r="M1183" s="20">
        <f t="shared" si="37"/>
        <v>200000</v>
      </c>
      <c r="N1183" s="20">
        <f>'Working Sheet'!$J1183*'Working Sheet'!$K1183</f>
        <v>750000</v>
      </c>
      <c r="O1183" s="21">
        <f>'Working Sheet'!$M1183*'Working Sheet'!$K1183</f>
        <v>600000</v>
      </c>
      <c r="P1183" s="20">
        <f>'Working Sheet'!$N1183-'Working Sheet'!$O1183</f>
        <v>150000</v>
      </c>
    </row>
    <row r="1184" spans="1:16" ht="14.25" customHeight="1" x14ac:dyDescent="0.25">
      <c r="A1184" s="23" t="str">
        <f t="shared" ca="1" si="36"/>
        <v>ID_1929</v>
      </c>
      <c r="B1184" s="22">
        <v>45740</v>
      </c>
      <c r="C1184" s="23" t="str">
        <f>TEXT('Working Sheet'!$B1184,"mmm")</f>
        <v>Mar</v>
      </c>
      <c r="D1184" s="23" t="s">
        <v>18</v>
      </c>
      <c r="E1184" s="23" t="s">
        <v>26</v>
      </c>
      <c r="F1184" s="23" t="s">
        <v>23</v>
      </c>
      <c r="G1184" s="23" t="s">
        <v>20</v>
      </c>
      <c r="H1184" s="23" t="s">
        <v>15</v>
      </c>
      <c r="I1184" s="23" t="s">
        <v>16</v>
      </c>
      <c r="J1184" s="24">
        <v>85000</v>
      </c>
      <c r="K1184" s="23">
        <v>8</v>
      </c>
      <c r="L1184" s="23" t="s">
        <v>28</v>
      </c>
      <c r="M1184" s="25">
        <f t="shared" si="37"/>
        <v>68000</v>
      </c>
      <c r="N1184" s="25">
        <f>'Working Sheet'!$J1184*'Working Sheet'!$K1184</f>
        <v>680000</v>
      </c>
      <c r="O1184" s="26">
        <f>'Working Sheet'!$M1184*'Working Sheet'!$K1184</f>
        <v>544000</v>
      </c>
      <c r="P1184" s="25">
        <f>'Working Sheet'!$N1184-'Working Sheet'!$O1184</f>
        <v>136000</v>
      </c>
    </row>
    <row r="1185" spans="1:16" ht="14.25" customHeight="1" x14ac:dyDescent="0.25">
      <c r="A1185" s="18" t="str">
        <f t="shared" ca="1" si="36"/>
        <v>ID_125</v>
      </c>
      <c r="B1185" s="17">
        <v>45688</v>
      </c>
      <c r="C1185" s="18" t="str">
        <f>TEXT('Working Sheet'!$B1185,"mmm")</f>
        <v>Jan</v>
      </c>
      <c r="D1185" s="18" t="s">
        <v>25</v>
      </c>
      <c r="E1185" s="18" t="s">
        <v>12</v>
      </c>
      <c r="F1185" s="18" t="s">
        <v>23</v>
      </c>
      <c r="G1185" s="18" t="s">
        <v>14</v>
      </c>
      <c r="H1185" s="18" t="s">
        <v>27</v>
      </c>
      <c r="I1185" s="18" t="s">
        <v>22</v>
      </c>
      <c r="J1185" s="19">
        <v>60000</v>
      </c>
      <c r="K1185" s="18">
        <v>8</v>
      </c>
      <c r="L1185" s="18" t="s">
        <v>37</v>
      </c>
      <c r="M1185" s="20">
        <f t="shared" si="37"/>
        <v>48000</v>
      </c>
      <c r="N1185" s="20">
        <f>'Working Sheet'!$J1185*'Working Sheet'!$K1185</f>
        <v>480000</v>
      </c>
      <c r="O1185" s="21">
        <f>'Working Sheet'!$M1185*'Working Sheet'!$K1185</f>
        <v>384000</v>
      </c>
      <c r="P1185" s="20">
        <f>'Working Sheet'!$N1185-'Working Sheet'!$O1185</f>
        <v>96000</v>
      </c>
    </row>
    <row r="1186" spans="1:16" ht="14.25" customHeight="1" x14ac:dyDescent="0.25">
      <c r="A1186" s="23" t="str">
        <f t="shared" ca="1" si="36"/>
        <v>ID_568</v>
      </c>
      <c r="B1186" s="22">
        <v>45728</v>
      </c>
      <c r="C1186" s="23" t="str">
        <f>TEXT('Working Sheet'!$B1186,"mmm")</f>
        <v>Mar</v>
      </c>
      <c r="D1186" s="23" t="s">
        <v>25</v>
      </c>
      <c r="E1186" s="23" t="s">
        <v>12</v>
      </c>
      <c r="F1186" s="23" t="s">
        <v>23</v>
      </c>
      <c r="G1186" s="23" t="s">
        <v>20</v>
      </c>
      <c r="H1186" s="23" t="s">
        <v>36</v>
      </c>
      <c r="I1186" s="23" t="s">
        <v>31</v>
      </c>
      <c r="J1186" s="24">
        <v>150000</v>
      </c>
      <c r="K1186" s="23">
        <v>5</v>
      </c>
      <c r="L1186" s="23" t="s">
        <v>17</v>
      </c>
      <c r="M1186" s="25">
        <f t="shared" si="37"/>
        <v>120000</v>
      </c>
      <c r="N1186" s="25">
        <f>'Working Sheet'!$J1186*'Working Sheet'!$K1186</f>
        <v>750000</v>
      </c>
      <c r="O1186" s="26">
        <f>'Working Sheet'!$M1186*'Working Sheet'!$K1186</f>
        <v>600000</v>
      </c>
      <c r="P1186" s="25">
        <f>'Working Sheet'!$N1186-'Working Sheet'!$O1186</f>
        <v>150000</v>
      </c>
    </row>
    <row r="1187" spans="1:16" ht="14.25" customHeight="1" x14ac:dyDescent="0.25">
      <c r="A1187" s="18" t="str">
        <f t="shared" ca="1" si="36"/>
        <v>ID_1654</v>
      </c>
      <c r="B1187" s="17">
        <v>45723</v>
      </c>
      <c r="C1187" s="18" t="str">
        <f>TEXT('Working Sheet'!$B1187,"mmm")</f>
        <v>Mar</v>
      </c>
      <c r="D1187" s="18" t="s">
        <v>29</v>
      </c>
      <c r="E1187" s="18" t="s">
        <v>12</v>
      </c>
      <c r="F1187" s="18" t="s">
        <v>23</v>
      </c>
      <c r="G1187" s="18" t="s">
        <v>14</v>
      </c>
      <c r="H1187" s="18" t="s">
        <v>34</v>
      </c>
      <c r="I1187" s="18" t="s">
        <v>16</v>
      </c>
      <c r="J1187" s="19">
        <v>320000</v>
      </c>
      <c r="K1187" s="18">
        <v>9</v>
      </c>
      <c r="L1187" s="18" t="s">
        <v>35</v>
      </c>
      <c r="M1187" s="20">
        <f t="shared" si="37"/>
        <v>256000</v>
      </c>
      <c r="N1187" s="20">
        <f>'Working Sheet'!$J1187*'Working Sheet'!$K1187</f>
        <v>2880000</v>
      </c>
      <c r="O1187" s="21">
        <f>'Working Sheet'!$M1187*'Working Sheet'!$K1187</f>
        <v>2304000</v>
      </c>
      <c r="P1187" s="20">
        <f>'Working Sheet'!$N1187-'Working Sheet'!$O1187</f>
        <v>576000</v>
      </c>
    </row>
    <row r="1188" spans="1:16" ht="14.25" customHeight="1" x14ac:dyDescent="0.25">
      <c r="A1188" s="23" t="str">
        <f t="shared" ca="1" si="36"/>
        <v>ID_1541</v>
      </c>
      <c r="B1188" s="22">
        <v>45701</v>
      </c>
      <c r="C1188" s="23" t="str">
        <f>TEXT('Working Sheet'!$B1188,"mmm")</f>
        <v>Feb</v>
      </c>
      <c r="D1188" s="23" t="s">
        <v>29</v>
      </c>
      <c r="E1188" s="23" t="s">
        <v>32</v>
      </c>
      <c r="F1188" s="23" t="s">
        <v>23</v>
      </c>
      <c r="G1188" s="23" t="s">
        <v>14</v>
      </c>
      <c r="H1188" s="23" t="s">
        <v>38</v>
      </c>
      <c r="I1188" s="23" t="s">
        <v>31</v>
      </c>
      <c r="J1188" s="24">
        <v>420000</v>
      </c>
      <c r="K1188" s="23">
        <v>7</v>
      </c>
      <c r="L1188" s="23" t="s">
        <v>17</v>
      </c>
      <c r="M1188" s="25">
        <f t="shared" si="37"/>
        <v>336000</v>
      </c>
      <c r="N1188" s="25">
        <f>'Working Sheet'!$J1188*'Working Sheet'!$K1188</f>
        <v>2940000</v>
      </c>
      <c r="O1188" s="26">
        <f>'Working Sheet'!$M1188*'Working Sheet'!$K1188</f>
        <v>2352000</v>
      </c>
      <c r="P1188" s="25">
        <f>'Working Sheet'!$N1188-'Working Sheet'!$O1188</f>
        <v>588000</v>
      </c>
    </row>
    <row r="1189" spans="1:16" ht="14.25" customHeight="1" x14ac:dyDescent="0.25">
      <c r="A1189" s="18" t="str">
        <f t="shared" ca="1" si="36"/>
        <v>ID_82</v>
      </c>
      <c r="B1189" s="17">
        <v>45763</v>
      </c>
      <c r="C1189" s="18" t="str">
        <f>TEXT('Working Sheet'!$B1189,"mmm")</f>
        <v>Apr</v>
      </c>
      <c r="D1189" s="18" t="s">
        <v>25</v>
      </c>
      <c r="E1189" s="18" t="s">
        <v>26</v>
      </c>
      <c r="F1189" s="18" t="s">
        <v>23</v>
      </c>
      <c r="G1189" s="18" t="s">
        <v>20</v>
      </c>
      <c r="H1189" s="18" t="s">
        <v>27</v>
      </c>
      <c r="I1189" s="18" t="s">
        <v>22</v>
      </c>
      <c r="J1189" s="19">
        <v>60000</v>
      </c>
      <c r="K1189" s="18">
        <v>6</v>
      </c>
      <c r="L1189" s="18" t="s">
        <v>37</v>
      </c>
      <c r="M1189" s="20">
        <f t="shared" si="37"/>
        <v>48000</v>
      </c>
      <c r="N1189" s="20">
        <f>'Working Sheet'!$J1189*'Working Sheet'!$K1189</f>
        <v>360000</v>
      </c>
      <c r="O1189" s="21">
        <f>'Working Sheet'!$M1189*'Working Sheet'!$K1189</f>
        <v>288000</v>
      </c>
      <c r="P1189" s="20">
        <f>'Working Sheet'!$N1189-'Working Sheet'!$O1189</f>
        <v>72000</v>
      </c>
    </row>
    <row r="1190" spans="1:16" ht="14.25" customHeight="1" x14ac:dyDescent="0.25">
      <c r="A1190" s="23" t="str">
        <f t="shared" ca="1" si="36"/>
        <v>ID_530</v>
      </c>
      <c r="B1190" s="22">
        <v>45726</v>
      </c>
      <c r="C1190" s="23" t="str">
        <f>TEXT('Working Sheet'!$B1190,"mmm")</f>
        <v>Mar</v>
      </c>
      <c r="D1190" s="23" t="s">
        <v>29</v>
      </c>
      <c r="E1190" s="23" t="s">
        <v>12</v>
      </c>
      <c r="F1190" s="23" t="s">
        <v>13</v>
      </c>
      <c r="G1190" s="23" t="s">
        <v>20</v>
      </c>
      <c r="H1190" s="23" t="s">
        <v>36</v>
      </c>
      <c r="I1190" s="23" t="s">
        <v>31</v>
      </c>
      <c r="J1190" s="24">
        <v>150000</v>
      </c>
      <c r="K1190" s="23">
        <v>7</v>
      </c>
      <c r="L1190" s="23" t="s">
        <v>39</v>
      </c>
      <c r="M1190" s="25">
        <f t="shared" si="37"/>
        <v>120000</v>
      </c>
      <c r="N1190" s="25">
        <f>'Working Sheet'!$J1190*'Working Sheet'!$K1190</f>
        <v>1050000</v>
      </c>
      <c r="O1190" s="26">
        <f>'Working Sheet'!$M1190*'Working Sheet'!$K1190</f>
        <v>840000</v>
      </c>
      <c r="P1190" s="25">
        <f>'Working Sheet'!$N1190-'Working Sheet'!$O1190</f>
        <v>210000</v>
      </c>
    </row>
    <row r="1191" spans="1:16" ht="14.25" customHeight="1" x14ac:dyDescent="0.25">
      <c r="A1191" s="18" t="str">
        <f t="shared" ca="1" si="36"/>
        <v>ID_1483</v>
      </c>
      <c r="B1191" s="17">
        <v>45731</v>
      </c>
      <c r="C1191" s="18" t="str">
        <f>TEXT('Working Sheet'!$B1191,"mmm")</f>
        <v>Mar</v>
      </c>
      <c r="D1191" s="18" t="s">
        <v>18</v>
      </c>
      <c r="E1191" s="18" t="s">
        <v>26</v>
      </c>
      <c r="F1191" s="18" t="s">
        <v>13</v>
      </c>
      <c r="G1191" s="18" t="s">
        <v>20</v>
      </c>
      <c r="H1191" s="18" t="s">
        <v>34</v>
      </c>
      <c r="I1191" s="18" t="s">
        <v>16</v>
      </c>
      <c r="J1191" s="19">
        <v>320000</v>
      </c>
      <c r="K1191" s="18">
        <v>10</v>
      </c>
      <c r="L1191" s="18" t="s">
        <v>28</v>
      </c>
      <c r="M1191" s="20">
        <f t="shared" si="37"/>
        <v>256000</v>
      </c>
      <c r="N1191" s="20">
        <f>'Working Sheet'!$J1191*'Working Sheet'!$K1191</f>
        <v>3200000</v>
      </c>
      <c r="O1191" s="21">
        <f>'Working Sheet'!$M1191*'Working Sheet'!$K1191</f>
        <v>2560000</v>
      </c>
      <c r="P1191" s="20">
        <f>'Working Sheet'!$N1191-'Working Sheet'!$O1191</f>
        <v>640000</v>
      </c>
    </row>
    <row r="1192" spans="1:16" ht="14.25" customHeight="1" x14ac:dyDescent="0.25">
      <c r="A1192" s="23" t="str">
        <f t="shared" ca="1" si="36"/>
        <v>ID_1177</v>
      </c>
      <c r="B1192" s="22">
        <v>45732</v>
      </c>
      <c r="C1192" s="23" t="str">
        <f>TEXT('Working Sheet'!$B1192,"mmm")</f>
        <v>Mar</v>
      </c>
      <c r="D1192" s="23" t="s">
        <v>18</v>
      </c>
      <c r="E1192" s="23" t="s">
        <v>12</v>
      </c>
      <c r="F1192" s="23" t="s">
        <v>23</v>
      </c>
      <c r="G1192" s="23" t="s">
        <v>14</v>
      </c>
      <c r="H1192" s="23" t="s">
        <v>30</v>
      </c>
      <c r="I1192" s="23" t="s">
        <v>31</v>
      </c>
      <c r="J1192" s="24">
        <v>300000</v>
      </c>
      <c r="K1192" s="23">
        <v>8</v>
      </c>
      <c r="L1192" s="23" t="s">
        <v>24</v>
      </c>
      <c r="M1192" s="25">
        <f t="shared" si="37"/>
        <v>240000</v>
      </c>
      <c r="N1192" s="25">
        <f>'Working Sheet'!$J1192*'Working Sheet'!$K1192</f>
        <v>2400000</v>
      </c>
      <c r="O1192" s="26">
        <f>'Working Sheet'!$M1192*'Working Sheet'!$K1192</f>
        <v>1920000</v>
      </c>
      <c r="P1192" s="25">
        <f>'Working Sheet'!$N1192-'Working Sheet'!$O1192</f>
        <v>480000</v>
      </c>
    </row>
    <row r="1193" spans="1:16" ht="14.25" customHeight="1" x14ac:dyDescent="0.25">
      <c r="A1193" s="18" t="str">
        <f t="shared" ca="1" si="36"/>
        <v>ID_272</v>
      </c>
      <c r="B1193" s="17">
        <v>45672</v>
      </c>
      <c r="C1193" s="18" t="str">
        <f>TEXT('Working Sheet'!$B1193,"mmm")</f>
        <v>Jan</v>
      </c>
      <c r="D1193" s="18" t="s">
        <v>11</v>
      </c>
      <c r="E1193" s="18" t="s">
        <v>12</v>
      </c>
      <c r="F1193" s="18" t="s">
        <v>13</v>
      </c>
      <c r="G1193" s="18" t="s">
        <v>14</v>
      </c>
      <c r="H1193" s="18" t="s">
        <v>38</v>
      </c>
      <c r="I1193" s="18" t="s">
        <v>31</v>
      </c>
      <c r="J1193" s="19">
        <v>420000</v>
      </c>
      <c r="K1193" s="18">
        <v>5</v>
      </c>
      <c r="L1193" s="18" t="s">
        <v>35</v>
      </c>
      <c r="M1193" s="20">
        <f t="shared" si="37"/>
        <v>336000</v>
      </c>
      <c r="N1193" s="20">
        <f>'Working Sheet'!$J1193*'Working Sheet'!$K1193</f>
        <v>2100000</v>
      </c>
      <c r="O1193" s="21">
        <f>'Working Sheet'!$M1193*'Working Sheet'!$K1193</f>
        <v>1680000</v>
      </c>
      <c r="P1193" s="20">
        <f>'Working Sheet'!$N1193-'Working Sheet'!$O1193</f>
        <v>420000</v>
      </c>
    </row>
    <row r="1194" spans="1:16" ht="14.25" customHeight="1" x14ac:dyDescent="0.25">
      <c r="A1194" s="23" t="str">
        <f t="shared" ca="1" si="36"/>
        <v>ID_345</v>
      </c>
      <c r="B1194" s="22">
        <v>45773</v>
      </c>
      <c r="C1194" s="23" t="str">
        <f>TEXT('Working Sheet'!$B1194,"mmm")</f>
        <v>Apr</v>
      </c>
      <c r="D1194" s="23" t="s">
        <v>18</v>
      </c>
      <c r="E1194" s="23" t="s">
        <v>26</v>
      </c>
      <c r="F1194" s="23" t="s">
        <v>13</v>
      </c>
      <c r="G1194" s="23" t="s">
        <v>20</v>
      </c>
      <c r="H1194" s="23" t="s">
        <v>41</v>
      </c>
      <c r="I1194" s="23" t="s">
        <v>22</v>
      </c>
      <c r="J1194" s="24">
        <v>220000</v>
      </c>
      <c r="K1194" s="23">
        <v>5</v>
      </c>
      <c r="L1194" s="23" t="s">
        <v>17</v>
      </c>
      <c r="M1194" s="25">
        <f t="shared" si="37"/>
        <v>176000</v>
      </c>
      <c r="N1194" s="25">
        <f>'Working Sheet'!$J1194*'Working Sheet'!$K1194</f>
        <v>1100000</v>
      </c>
      <c r="O1194" s="26">
        <f>'Working Sheet'!$M1194*'Working Sheet'!$K1194</f>
        <v>880000</v>
      </c>
      <c r="P1194" s="25">
        <f>'Working Sheet'!$N1194-'Working Sheet'!$O1194</f>
        <v>220000</v>
      </c>
    </row>
    <row r="1195" spans="1:16" ht="14.25" customHeight="1" x14ac:dyDescent="0.25">
      <c r="A1195" s="18" t="str">
        <f t="shared" ca="1" si="36"/>
        <v>ID_1704</v>
      </c>
      <c r="B1195" s="17">
        <v>45753</v>
      </c>
      <c r="C1195" s="18" t="str">
        <f>TEXT('Working Sheet'!$B1195,"mmm")</f>
        <v>Apr</v>
      </c>
      <c r="D1195" s="18" t="s">
        <v>11</v>
      </c>
      <c r="E1195" s="18" t="s">
        <v>12</v>
      </c>
      <c r="F1195" s="18" t="s">
        <v>23</v>
      </c>
      <c r="G1195" s="18" t="s">
        <v>20</v>
      </c>
      <c r="H1195" s="18" t="s">
        <v>34</v>
      </c>
      <c r="I1195" s="18" t="s">
        <v>16</v>
      </c>
      <c r="J1195" s="19">
        <v>320000</v>
      </c>
      <c r="K1195" s="18">
        <v>3</v>
      </c>
      <c r="L1195" s="18" t="s">
        <v>24</v>
      </c>
      <c r="M1195" s="20">
        <f t="shared" si="37"/>
        <v>256000</v>
      </c>
      <c r="N1195" s="20">
        <f>'Working Sheet'!$J1195*'Working Sheet'!$K1195</f>
        <v>960000</v>
      </c>
      <c r="O1195" s="21">
        <f>'Working Sheet'!$M1195*'Working Sheet'!$K1195</f>
        <v>768000</v>
      </c>
      <c r="P1195" s="20">
        <f>'Working Sheet'!$N1195-'Working Sheet'!$O1195</f>
        <v>192000</v>
      </c>
    </row>
    <row r="1196" spans="1:16" ht="14.25" customHeight="1" x14ac:dyDescent="0.25">
      <c r="A1196" s="23" t="str">
        <f t="shared" ca="1" si="36"/>
        <v>ID_20</v>
      </c>
      <c r="B1196" s="22">
        <v>45763</v>
      </c>
      <c r="C1196" s="23" t="str">
        <f>TEXT('Working Sheet'!$B1196,"mmm")</f>
        <v>Apr</v>
      </c>
      <c r="D1196" s="23" t="s">
        <v>18</v>
      </c>
      <c r="E1196" s="23" t="s">
        <v>12</v>
      </c>
      <c r="F1196" s="23" t="s">
        <v>13</v>
      </c>
      <c r="G1196" s="23" t="s">
        <v>14</v>
      </c>
      <c r="H1196" s="23" t="s">
        <v>33</v>
      </c>
      <c r="I1196" s="23" t="s">
        <v>22</v>
      </c>
      <c r="J1196" s="24">
        <v>180000</v>
      </c>
      <c r="K1196" s="23">
        <v>9</v>
      </c>
      <c r="L1196" s="23" t="s">
        <v>39</v>
      </c>
      <c r="M1196" s="25">
        <f t="shared" si="37"/>
        <v>144000</v>
      </c>
      <c r="N1196" s="25">
        <f>'Working Sheet'!$J1196*'Working Sheet'!$K1196</f>
        <v>1620000</v>
      </c>
      <c r="O1196" s="26">
        <f>'Working Sheet'!$M1196*'Working Sheet'!$K1196</f>
        <v>1296000</v>
      </c>
      <c r="P1196" s="25">
        <f>'Working Sheet'!$N1196-'Working Sheet'!$O1196</f>
        <v>324000</v>
      </c>
    </row>
    <row r="1197" spans="1:16" ht="14.25" customHeight="1" x14ac:dyDescent="0.25">
      <c r="A1197" s="18" t="str">
        <f t="shared" ca="1" si="36"/>
        <v>ID_510</v>
      </c>
      <c r="B1197" s="17">
        <v>45746</v>
      </c>
      <c r="C1197" s="18" t="str">
        <f>TEXT('Working Sheet'!$B1197,"mmm")</f>
        <v>Mar</v>
      </c>
      <c r="D1197" s="18" t="s">
        <v>29</v>
      </c>
      <c r="E1197" s="18" t="s">
        <v>12</v>
      </c>
      <c r="F1197" s="18" t="s">
        <v>13</v>
      </c>
      <c r="G1197" s="18" t="s">
        <v>14</v>
      </c>
      <c r="H1197" s="18" t="s">
        <v>30</v>
      </c>
      <c r="I1197" s="18" t="s">
        <v>31</v>
      </c>
      <c r="J1197" s="19">
        <v>300000</v>
      </c>
      <c r="K1197" s="18">
        <v>1</v>
      </c>
      <c r="L1197" s="18" t="s">
        <v>39</v>
      </c>
      <c r="M1197" s="20">
        <f t="shared" si="37"/>
        <v>240000</v>
      </c>
      <c r="N1197" s="20">
        <f>'Working Sheet'!$J1197*'Working Sheet'!$K1197</f>
        <v>300000</v>
      </c>
      <c r="O1197" s="21">
        <f>'Working Sheet'!$M1197*'Working Sheet'!$K1197</f>
        <v>240000</v>
      </c>
      <c r="P1197" s="20">
        <f>'Working Sheet'!$N1197-'Working Sheet'!$O1197</f>
        <v>60000</v>
      </c>
    </row>
    <row r="1198" spans="1:16" ht="14.25" customHeight="1" x14ac:dyDescent="0.25">
      <c r="A1198" s="23" t="str">
        <f t="shared" ca="1" si="36"/>
        <v>ID_1356</v>
      </c>
      <c r="B1198" s="22">
        <v>45750</v>
      </c>
      <c r="C1198" s="23" t="str">
        <f>TEXT('Working Sheet'!$B1198,"mmm")</f>
        <v>Apr</v>
      </c>
      <c r="D1198" s="23" t="s">
        <v>29</v>
      </c>
      <c r="E1198" s="23" t="s">
        <v>26</v>
      </c>
      <c r="F1198" s="23" t="s">
        <v>13</v>
      </c>
      <c r="G1198" s="23" t="s">
        <v>20</v>
      </c>
      <c r="H1198" s="23" t="s">
        <v>41</v>
      </c>
      <c r="I1198" s="23" t="s">
        <v>22</v>
      </c>
      <c r="J1198" s="24">
        <v>220000</v>
      </c>
      <c r="K1198" s="23">
        <v>7</v>
      </c>
      <c r="L1198" s="23" t="s">
        <v>39</v>
      </c>
      <c r="M1198" s="25">
        <f t="shared" si="37"/>
        <v>176000</v>
      </c>
      <c r="N1198" s="25">
        <f>'Working Sheet'!$J1198*'Working Sheet'!$K1198</f>
        <v>1540000</v>
      </c>
      <c r="O1198" s="26">
        <f>'Working Sheet'!$M1198*'Working Sheet'!$K1198</f>
        <v>1232000</v>
      </c>
      <c r="P1198" s="25">
        <f>'Working Sheet'!$N1198-'Working Sheet'!$O1198</f>
        <v>308000</v>
      </c>
    </row>
    <row r="1199" spans="1:16" ht="14.25" customHeight="1" x14ac:dyDescent="0.25">
      <c r="A1199" s="18" t="str">
        <f t="shared" ca="1" si="36"/>
        <v>ID_678</v>
      </c>
      <c r="B1199" s="17">
        <v>45741</v>
      </c>
      <c r="C1199" s="18" t="str">
        <f>TEXT('Working Sheet'!$B1199,"mmm")</f>
        <v>Mar</v>
      </c>
      <c r="D1199" s="18" t="s">
        <v>18</v>
      </c>
      <c r="E1199" s="18" t="s">
        <v>19</v>
      </c>
      <c r="F1199" s="18" t="s">
        <v>23</v>
      </c>
      <c r="G1199" s="18" t="s">
        <v>20</v>
      </c>
      <c r="H1199" s="18" t="s">
        <v>15</v>
      </c>
      <c r="I1199" s="18" t="s">
        <v>16</v>
      </c>
      <c r="J1199" s="19">
        <v>85000</v>
      </c>
      <c r="K1199" s="18">
        <v>9</v>
      </c>
      <c r="L1199" s="18" t="s">
        <v>24</v>
      </c>
      <c r="M1199" s="20">
        <f t="shared" si="37"/>
        <v>68000</v>
      </c>
      <c r="N1199" s="20">
        <f>'Working Sheet'!$J1199*'Working Sheet'!$K1199</f>
        <v>765000</v>
      </c>
      <c r="O1199" s="21">
        <f>'Working Sheet'!$M1199*'Working Sheet'!$K1199</f>
        <v>612000</v>
      </c>
      <c r="P1199" s="20">
        <f>'Working Sheet'!$N1199-'Working Sheet'!$O1199</f>
        <v>153000</v>
      </c>
    </row>
    <row r="1200" spans="1:16" ht="14.25" customHeight="1" x14ac:dyDescent="0.25">
      <c r="A1200" s="23" t="str">
        <f t="shared" ca="1" si="36"/>
        <v>ID_1122</v>
      </c>
      <c r="B1200" s="22">
        <v>45695</v>
      </c>
      <c r="C1200" s="23" t="str">
        <f>TEXT('Working Sheet'!$B1200,"mmm")</f>
        <v>Feb</v>
      </c>
      <c r="D1200" s="23" t="s">
        <v>18</v>
      </c>
      <c r="E1200" s="23" t="s">
        <v>19</v>
      </c>
      <c r="F1200" s="23" t="s">
        <v>13</v>
      </c>
      <c r="G1200" s="23" t="s">
        <v>14</v>
      </c>
      <c r="H1200" s="23" t="s">
        <v>15</v>
      </c>
      <c r="I1200" s="23" t="s">
        <v>16</v>
      </c>
      <c r="J1200" s="24">
        <v>85000</v>
      </c>
      <c r="K1200" s="23">
        <v>4</v>
      </c>
      <c r="L1200" s="23" t="s">
        <v>28</v>
      </c>
      <c r="M1200" s="25">
        <f t="shared" si="37"/>
        <v>68000</v>
      </c>
      <c r="N1200" s="25">
        <f>'Working Sheet'!$J1200*'Working Sheet'!$K1200</f>
        <v>340000</v>
      </c>
      <c r="O1200" s="26">
        <f>'Working Sheet'!$M1200*'Working Sheet'!$K1200</f>
        <v>272000</v>
      </c>
      <c r="P1200" s="25">
        <f>'Working Sheet'!$N1200-'Working Sheet'!$O1200</f>
        <v>68000</v>
      </c>
    </row>
    <row r="1201" spans="1:16" ht="14.25" customHeight="1" x14ac:dyDescent="0.25">
      <c r="A1201" s="18" t="str">
        <f t="shared" ca="1" si="36"/>
        <v>ID_1769</v>
      </c>
      <c r="B1201" s="17">
        <v>45746</v>
      </c>
      <c r="C1201" s="18" t="str">
        <f>TEXT('Working Sheet'!$B1201,"mmm")</f>
        <v>Mar</v>
      </c>
      <c r="D1201" s="18" t="s">
        <v>18</v>
      </c>
      <c r="E1201" s="18" t="s">
        <v>32</v>
      </c>
      <c r="F1201" s="18" t="s">
        <v>13</v>
      </c>
      <c r="G1201" s="18" t="s">
        <v>20</v>
      </c>
      <c r="H1201" s="18" t="s">
        <v>27</v>
      </c>
      <c r="I1201" s="18" t="s">
        <v>22</v>
      </c>
      <c r="J1201" s="19">
        <v>60000</v>
      </c>
      <c r="K1201" s="18">
        <v>8</v>
      </c>
      <c r="L1201" s="18" t="s">
        <v>28</v>
      </c>
      <c r="M1201" s="20">
        <f t="shared" si="37"/>
        <v>48000</v>
      </c>
      <c r="N1201" s="20">
        <f>'Working Sheet'!$J1201*'Working Sheet'!$K1201</f>
        <v>480000</v>
      </c>
      <c r="O1201" s="21">
        <f>'Working Sheet'!$M1201*'Working Sheet'!$K1201</f>
        <v>384000</v>
      </c>
      <c r="P1201" s="20">
        <f>'Working Sheet'!$N1201-'Working Sheet'!$O1201</f>
        <v>96000</v>
      </c>
    </row>
    <row r="1202" spans="1:16" ht="14.25" customHeight="1" x14ac:dyDescent="0.25">
      <c r="A1202" s="23" t="str">
        <f t="shared" ca="1" si="36"/>
        <v>ID_533</v>
      </c>
      <c r="B1202" s="22">
        <v>45681</v>
      </c>
      <c r="C1202" s="23" t="str">
        <f>TEXT('Working Sheet'!$B1202,"mmm")</f>
        <v>Jan</v>
      </c>
      <c r="D1202" s="23" t="s">
        <v>25</v>
      </c>
      <c r="E1202" s="23" t="s">
        <v>19</v>
      </c>
      <c r="F1202" s="23" t="s">
        <v>23</v>
      </c>
      <c r="G1202" s="23" t="s">
        <v>20</v>
      </c>
      <c r="H1202" s="23" t="s">
        <v>36</v>
      </c>
      <c r="I1202" s="23" t="s">
        <v>31</v>
      </c>
      <c r="J1202" s="24">
        <v>150000</v>
      </c>
      <c r="K1202" s="23">
        <v>6</v>
      </c>
      <c r="L1202" s="23" t="s">
        <v>35</v>
      </c>
      <c r="M1202" s="25">
        <f t="shared" si="37"/>
        <v>120000</v>
      </c>
      <c r="N1202" s="25">
        <f>'Working Sheet'!$J1202*'Working Sheet'!$K1202</f>
        <v>900000</v>
      </c>
      <c r="O1202" s="26">
        <f>'Working Sheet'!$M1202*'Working Sheet'!$K1202</f>
        <v>720000</v>
      </c>
      <c r="P1202" s="25">
        <f>'Working Sheet'!$N1202-'Working Sheet'!$O1202</f>
        <v>180000</v>
      </c>
    </row>
    <row r="1203" spans="1:16" ht="14.25" customHeight="1" x14ac:dyDescent="0.25">
      <c r="A1203" s="18" t="str">
        <f t="shared" ca="1" si="36"/>
        <v>ID_1297</v>
      </c>
      <c r="B1203" s="17">
        <v>45749</v>
      </c>
      <c r="C1203" s="18" t="str">
        <f>TEXT('Working Sheet'!$B1203,"mmm")</f>
        <v>Apr</v>
      </c>
      <c r="D1203" s="18" t="s">
        <v>18</v>
      </c>
      <c r="E1203" s="18" t="s">
        <v>26</v>
      </c>
      <c r="F1203" s="18" t="s">
        <v>23</v>
      </c>
      <c r="G1203" s="18" t="s">
        <v>14</v>
      </c>
      <c r="H1203" s="18" t="s">
        <v>15</v>
      </c>
      <c r="I1203" s="18" t="s">
        <v>16</v>
      </c>
      <c r="J1203" s="19">
        <v>85000</v>
      </c>
      <c r="K1203" s="18">
        <v>10</v>
      </c>
      <c r="L1203" s="18" t="s">
        <v>28</v>
      </c>
      <c r="M1203" s="20">
        <f t="shared" si="37"/>
        <v>68000</v>
      </c>
      <c r="N1203" s="20">
        <f>'Working Sheet'!$J1203*'Working Sheet'!$K1203</f>
        <v>850000</v>
      </c>
      <c r="O1203" s="21">
        <f>'Working Sheet'!$M1203*'Working Sheet'!$K1203</f>
        <v>680000</v>
      </c>
      <c r="P1203" s="20">
        <f>'Working Sheet'!$N1203-'Working Sheet'!$O1203</f>
        <v>170000</v>
      </c>
    </row>
    <row r="1204" spans="1:16" ht="14.25" customHeight="1" x14ac:dyDescent="0.25">
      <c r="A1204" s="23" t="str">
        <f t="shared" ca="1" si="36"/>
        <v>ID_1509</v>
      </c>
      <c r="B1204" s="22">
        <v>45759</v>
      </c>
      <c r="C1204" s="23" t="str">
        <f>TEXT('Working Sheet'!$B1204,"mmm")</f>
        <v>Apr</v>
      </c>
      <c r="D1204" s="23" t="s">
        <v>11</v>
      </c>
      <c r="E1204" s="23" t="s">
        <v>19</v>
      </c>
      <c r="F1204" s="23" t="s">
        <v>23</v>
      </c>
      <c r="G1204" s="23" t="s">
        <v>20</v>
      </c>
      <c r="H1204" s="23" t="s">
        <v>15</v>
      </c>
      <c r="I1204" s="23" t="s">
        <v>16</v>
      </c>
      <c r="J1204" s="24">
        <v>85000</v>
      </c>
      <c r="K1204" s="23">
        <v>3</v>
      </c>
      <c r="L1204" s="23" t="s">
        <v>39</v>
      </c>
      <c r="M1204" s="25">
        <f t="shared" si="37"/>
        <v>68000</v>
      </c>
      <c r="N1204" s="25">
        <f>'Working Sheet'!$J1204*'Working Sheet'!$K1204</f>
        <v>255000</v>
      </c>
      <c r="O1204" s="26">
        <f>'Working Sheet'!$M1204*'Working Sheet'!$K1204</f>
        <v>204000</v>
      </c>
      <c r="P1204" s="25">
        <f>'Working Sheet'!$N1204-'Working Sheet'!$O1204</f>
        <v>51000</v>
      </c>
    </row>
    <row r="1205" spans="1:16" ht="14.25" customHeight="1" x14ac:dyDescent="0.25">
      <c r="A1205" s="18" t="str">
        <f t="shared" ca="1" si="36"/>
        <v>ID_139</v>
      </c>
      <c r="B1205" s="17">
        <v>45742</v>
      </c>
      <c r="C1205" s="18" t="str">
        <f>TEXT('Working Sheet'!$B1205,"mmm")</f>
        <v>Mar</v>
      </c>
      <c r="D1205" s="18" t="s">
        <v>11</v>
      </c>
      <c r="E1205" s="18" t="s">
        <v>26</v>
      </c>
      <c r="F1205" s="18" t="s">
        <v>23</v>
      </c>
      <c r="G1205" s="18" t="s">
        <v>14</v>
      </c>
      <c r="H1205" s="18" t="s">
        <v>30</v>
      </c>
      <c r="I1205" s="18" t="s">
        <v>31</v>
      </c>
      <c r="J1205" s="19">
        <v>300000</v>
      </c>
      <c r="K1205" s="18">
        <v>8</v>
      </c>
      <c r="L1205" s="18" t="s">
        <v>35</v>
      </c>
      <c r="M1205" s="20">
        <f t="shared" si="37"/>
        <v>240000</v>
      </c>
      <c r="N1205" s="20">
        <f>'Working Sheet'!$J1205*'Working Sheet'!$K1205</f>
        <v>2400000</v>
      </c>
      <c r="O1205" s="21">
        <f>'Working Sheet'!$M1205*'Working Sheet'!$K1205</f>
        <v>1920000</v>
      </c>
      <c r="P1205" s="20">
        <f>'Working Sheet'!$N1205-'Working Sheet'!$O1205</f>
        <v>480000</v>
      </c>
    </row>
    <row r="1206" spans="1:16" ht="14.25" customHeight="1" x14ac:dyDescent="0.25">
      <c r="A1206" s="23" t="str">
        <f t="shared" ca="1" si="36"/>
        <v>ID_1303</v>
      </c>
      <c r="B1206" s="22">
        <v>45713</v>
      </c>
      <c r="C1206" s="23" t="str">
        <f>TEXT('Working Sheet'!$B1206,"mmm")</f>
        <v>Feb</v>
      </c>
      <c r="D1206" s="23" t="s">
        <v>11</v>
      </c>
      <c r="E1206" s="23" t="s">
        <v>12</v>
      </c>
      <c r="F1206" s="23" t="s">
        <v>23</v>
      </c>
      <c r="G1206" s="23" t="s">
        <v>14</v>
      </c>
      <c r="H1206" s="23" t="s">
        <v>38</v>
      </c>
      <c r="I1206" s="23" t="s">
        <v>31</v>
      </c>
      <c r="J1206" s="24">
        <v>420000</v>
      </c>
      <c r="K1206" s="23">
        <v>6</v>
      </c>
      <c r="L1206" s="23" t="s">
        <v>37</v>
      </c>
      <c r="M1206" s="25">
        <f t="shared" si="37"/>
        <v>336000</v>
      </c>
      <c r="N1206" s="25">
        <f>'Working Sheet'!$J1206*'Working Sheet'!$K1206</f>
        <v>2520000</v>
      </c>
      <c r="O1206" s="26">
        <f>'Working Sheet'!$M1206*'Working Sheet'!$K1206</f>
        <v>2016000</v>
      </c>
      <c r="P1206" s="25">
        <f>'Working Sheet'!$N1206-'Working Sheet'!$O1206</f>
        <v>504000</v>
      </c>
    </row>
    <row r="1207" spans="1:16" ht="14.25" customHeight="1" x14ac:dyDescent="0.25">
      <c r="A1207" s="18" t="str">
        <f t="shared" ca="1" si="36"/>
        <v>ID_1631</v>
      </c>
      <c r="B1207" s="17">
        <v>45675</v>
      </c>
      <c r="C1207" s="18" t="str">
        <f>TEXT('Working Sheet'!$B1207,"mmm")</f>
        <v>Jan</v>
      </c>
      <c r="D1207" s="18" t="s">
        <v>25</v>
      </c>
      <c r="E1207" s="18" t="s">
        <v>26</v>
      </c>
      <c r="F1207" s="18" t="s">
        <v>23</v>
      </c>
      <c r="G1207" s="18" t="s">
        <v>14</v>
      </c>
      <c r="H1207" s="18" t="s">
        <v>40</v>
      </c>
      <c r="I1207" s="18" t="s">
        <v>31</v>
      </c>
      <c r="J1207" s="19">
        <v>250000</v>
      </c>
      <c r="K1207" s="18">
        <v>3</v>
      </c>
      <c r="L1207" s="18" t="s">
        <v>24</v>
      </c>
      <c r="M1207" s="20">
        <f t="shared" si="37"/>
        <v>200000</v>
      </c>
      <c r="N1207" s="20">
        <f>'Working Sheet'!$J1207*'Working Sheet'!$K1207</f>
        <v>750000</v>
      </c>
      <c r="O1207" s="21">
        <f>'Working Sheet'!$M1207*'Working Sheet'!$K1207</f>
        <v>600000</v>
      </c>
      <c r="P1207" s="20">
        <f>'Working Sheet'!$N1207-'Working Sheet'!$O1207</f>
        <v>150000</v>
      </c>
    </row>
    <row r="1208" spans="1:16" ht="14.25" customHeight="1" x14ac:dyDescent="0.25">
      <c r="A1208" s="23" t="str">
        <f t="shared" ca="1" si="36"/>
        <v>ID_196</v>
      </c>
      <c r="B1208" s="22">
        <v>45727</v>
      </c>
      <c r="C1208" s="23" t="str">
        <f>TEXT('Working Sheet'!$B1208,"mmm")</f>
        <v>Mar</v>
      </c>
      <c r="D1208" s="23" t="s">
        <v>11</v>
      </c>
      <c r="E1208" s="23" t="s">
        <v>32</v>
      </c>
      <c r="F1208" s="23" t="s">
        <v>13</v>
      </c>
      <c r="G1208" s="23" t="s">
        <v>20</v>
      </c>
      <c r="H1208" s="23" t="s">
        <v>40</v>
      </c>
      <c r="I1208" s="23" t="s">
        <v>31</v>
      </c>
      <c r="J1208" s="24">
        <v>250000</v>
      </c>
      <c r="K1208" s="23">
        <v>8</v>
      </c>
      <c r="L1208" s="23" t="s">
        <v>28</v>
      </c>
      <c r="M1208" s="25">
        <f t="shared" si="37"/>
        <v>200000</v>
      </c>
      <c r="N1208" s="25">
        <f>'Working Sheet'!$J1208*'Working Sheet'!$K1208</f>
        <v>2000000</v>
      </c>
      <c r="O1208" s="26">
        <f>'Working Sheet'!$M1208*'Working Sheet'!$K1208</f>
        <v>1600000</v>
      </c>
      <c r="P1208" s="25">
        <f>'Working Sheet'!$N1208-'Working Sheet'!$O1208</f>
        <v>400000</v>
      </c>
    </row>
    <row r="1209" spans="1:16" ht="14.25" customHeight="1" x14ac:dyDescent="0.25">
      <c r="A1209" s="18" t="str">
        <f t="shared" ca="1" si="36"/>
        <v>ID_1385</v>
      </c>
      <c r="B1209" s="17">
        <v>45665</v>
      </c>
      <c r="C1209" s="18" t="str">
        <f>TEXT('Working Sheet'!$B1209,"mmm")</f>
        <v>Jan</v>
      </c>
      <c r="D1209" s="18" t="s">
        <v>29</v>
      </c>
      <c r="E1209" s="18" t="s">
        <v>19</v>
      </c>
      <c r="F1209" s="18" t="s">
        <v>23</v>
      </c>
      <c r="G1209" s="18" t="s">
        <v>14</v>
      </c>
      <c r="H1209" s="18" t="s">
        <v>15</v>
      </c>
      <c r="I1209" s="18" t="s">
        <v>16</v>
      </c>
      <c r="J1209" s="19">
        <v>85000</v>
      </c>
      <c r="K1209" s="18">
        <v>3</v>
      </c>
      <c r="L1209" s="18" t="s">
        <v>28</v>
      </c>
      <c r="M1209" s="20">
        <f t="shared" si="37"/>
        <v>68000</v>
      </c>
      <c r="N1209" s="20">
        <f>'Working Sheet'!$J1209*'Working Sheet'!$K1209</f>
        <v>255000</v>
      </c>
      <c r="O1209" s="21">
        <f>'Working Sheet'!$M1209*'Working Sheet'!$K1209</f>
        <v>204000</v>
      </c>
      <c r="P1209" s="20">
        <f>'Working Sheet'!$N1209-'Working Sheet'!$O1209</f>
        <v>51000</v>
      </c>
    </row>
    <row r="1210" spans="1:16" ht="14.25" customHeight="1" x14ac:dyDescent="0.25">
      <c r="A1210" s="23" t="str">
        <f t="shared" ca="1" si="36"/>
        <v>ID_1746</v>
      </c>
      <c r="B1210" s="22">
        <v>45743</v>
      </c>
      <c r="C1210" s="23" t="str">
        <f>TEXT('Working Sheet'!$B1210,"mmm")</f>
        <v>Mar</v>
      </c>
      <c r="D1210" s="23" t="s">
        <v>29</v>
      </c>
      <c r="E1210" s="23" t="s">
        <v>32</v>
      </c>
      <c r="F1210" s="23" t="s">
        <v>23</v>
      </c>
      <c r="G1210" s="23" t="s">
        <v>14</v>
      </c>
      <c r="H1210" s="23" t="s">
        <v>21</v>
      </c>
      <c r="I1210" s="23" t="s">
        <v>22</v>
      </c>
      <c r="J1210" s="24">
        <v>30000</v>
      </c>
      <c r="K1210" s="23">
        <v>7</v>
      </c>
      <c r="L1210" s="23" t="s">
        <v>28</v>
      </c>
      <c r="M1210" s="25">
        <f t="shared" si="37"/>
        <v>24000</v>
      </c>
      <c r="N1210" s="25">
        <f>'Working Sheet'!$J1210*'Working Sheet'!$K1210</f>
        <v>210000</v>
      </c>
      <c r="O1210" s="26">
        <f>'Working Sheet'!$M1210*'Working Sheet'!$K1210</f>
        <v>168000</v>
      </c>
      <c r="P1210" s="25">
        <f>'Working Sheet'!$N1210-'Working Sheet'!$O1210</f>
        <v>42000</v>
      </c>
    </row>
    <row r="1211" spans="1:16" ht="14.25" customHeight="1" x14ac:dyDescent="0.25">
      <c r="A1211" s="18" t="str">
        <f t="shared" ca="1" si="36"/>
        <v>ID_599</v>
      </c>
      <c r="B1211" s="17">
        <v>45673</v>
      </c>
      <c r="C1211" s="18" t="str">
        <f>TEXT('Working Sheet'!$B1211,"mmm")</f>
        <v>Jan</v>
      </c>
      <c r="D1211" s="18" t="s">
        <v>18</v>
      </c>
      <c r="E1211" s="18" t="s">
        <v>26</v>
      </c>
      <c r="F1211" s="18" t="s">
        <v>13</v>
      </c>
      <c r="G1211" s="18" t="s">
        <v>20</v>
      </c>
      <c r="H1211" s="18" t="s">
        <v>27</v>
      </c>
      <c r="I1211" s="18" t="s">
        <v>22</v>
      </c>
      <c r="J1211" s="19">
        <v>60000</v>
      </c>
      <c r="K1211" s="18">
        <v>7</v>
      </c>
      <c r="L1211" s="18" t="s">
        <v>35</v>
      </c>
      <c r="M1211" s="20">
        <f t="shared" si="37"/>
        <v>48000</v>
      </c>
      <c r="N1211" s="20">
        <f>'Working Sheet'!$J1211*'Working Sheet'!$K1211</f>
        <v>420000</v>
      </c>
      <c r="O1211" s="21">
        <f>'Working Sheet'!$M1211*'Working Sheet'!$K1211</f>
        <v>336000</v>
      </c>
      <c r="P1211" s="20">
        <f>'Working Sheet'!$N1211-'Working Sheet'!$O1211</f>
        <v>84000</v>
      </c>
    </row>
    <row r="1212" spans="1:16" ht="14.25" customHeight="1" x14ac:dyDescent="0.25">
      <c r="A1212" s="23" t="str">
        <f t="shared" ca="1" si="36"/>
        <v>ID_1602</v>
      </c>
      <c r="B1212" s="22">
        <v>45664</v>
      </c>
      <c r="C1212" s="23" t="str">
        <f>TEXT('Working Sheet'!$B1212,"mmm")</f>
        <v>Jan</v>
      </c>
      <c r="D1212" s="23" t="s">
        <v>25</v>
      </c>
      <c r="E1212" s="23" t="s">
        <v>12</v>
      </c>
      <c r="F1212" s="23" t="s">
        <v>13</v>
      </c>
      <c r="G1212" s="23" t="s">
        <v>20</v>
      </c>
      <c r="H1212" s="23" t="s">
        <v>41</v>
      </c>
      <c r="I1212" s="23" t="s">
        <v>22</v>
      </c>
      <c r="J1212" s="24">
        <v>220000</v>
      </c>
      <c r="K1212" s="23">
        <v>10</v>
      </c>
      <c r="L1212" s="23" t="s">
        <v>24</v>
      </c>
      <c r="M1212" s="25">
        <f t="shared" si="37"/>
        <v>176000</v>
      </c>
      <c r="N1212" s="25">
        <f>'Working Sheet'!$J1212*'Working Sheet'!$K1212</f>
        <v>2200000</v>
      </c>
      <c r="O1212" s="26">
        <f>'Working Sheet'!$M1212*'Working Sheet'!$K1212</f>
        <v>1760000</v>
      </c>
      <c r="P1212" s="25">
        <f>'Working Sheet'!$N1212-'Working Sheet'!$O1212</f>
        <v>440000</v>
      </c>
    </row>
    <row r="1213" spans="1:16" ht="14.25" customHeight="1" x14ac:dyDescent="0.25">
      <c r="A1213" s="18" t="str">
        <f t="shared" ca="1" si="36"/>
        <v>ID_358</v>
      </c>
      <c r="B1213" s="17">
        <v>45749</v>
      </c>
      <c r="C1213" s="18" t="str">
        <f>TEXT('Working Sheet'!$B1213,"mmm")</f>
        <v>Apr</v>
      </c>
      <c r="D1213" s="18" t="s">
        <v>25</v>
      </c>
      <c r="E1213" s="18" t="s">
        <v>19</v>
      </c>
      <c r="F1213" s="18" t="s">
        <v>13</v>
      </c>
      <c r="G1213" s="18" t="s">
        <v>20</v>
      </c>
      <c r="H1213" s="18" t="s">
        <v>40</v>
      </c>
      <c r="I1213" s="18" t="s">
        <v>31</v>
      </c>
      <c r="J1213" s="19">
        <v>250000</v>
      </c>
      <c r="K1213" s="18">
        <v>5</v>
      </c>
      <c r="L1213" s="18" t="s">
        <v>39</v>
      </c>
      <c r="M1213" s="20">
        <f t="shared" si="37"/>
        <v>200000</v>
      </c>
      <c r="N1213" s="20">
        <f>'Working Sheet'!$J1213*'Working Sheet'!$K1213</f>
        <v>1250000</v>
      </c>
      <c r="O1213" s="21">
        <f>'Working Sheet'!$M1213*'Working Sheet'!$K1213</f>
        <v>1000000</v>
      </c>
      <c r="P1213" s="20">
        <f>'Working Sheet'!$N1213-'Working Sheet'!$O1213</f>
        <v>250000</v>
      </c>
    </row>
    <row r="1214" spans="1:16" ht="14.25" customHeight="1" x14ac:dyDescent="0.25">
      <c r="A1214" s="23" t="str">
        <f t="shared" ca="1" si="36"/>
        <v>ID_948</v>
      </c>
      <c r="B1214" s="22">
        <v>45756</v>
      </c>
      <c r="C1214" s="23" t="str">
        <f>TEXT('Working Sheet'!$B1214,"mmm")</f>
        <v>Apr</v>
      </c>
      <c r="D1214" s="23" t="s">
        <v>25</v>
      </c>
      <c r="E1214" s="23" t="s">
        <v>32</v>
      </c>
      <c r="F1214" s="23" t="s">
        <v>13</v>
      </c>
      <c r="G1214" s="23" t="s">
        <v>14</v>
      </c>
      <c r="H1214" s="23" t="s">
        <v>15</v>
      </c>
      <c r="I1214" s="23" t="s">
        <v>16</v>
      </c>
      <c r="J1214" s="24">
        <v>85000</v>
      </c>
      <c r="K1214" s="23">
        <v>7</v>
      </c>
      <c r="L1214" s="23" t="s">
        <v>39</v>
      </c>
      <c r="M1214" s="25">
        <f t="shared" si="37"/>
        <v>68000</v>
      </c>
      <c r="N1214" s="25">
        <f>'Working Sheet'!$J1214*'Working Sheet'!$K1214</f>
        <v>595000</v>
      </c>
      <c r="O1214" s="26">
        <f>'Working Sheet'!$M1214*'Working Sheet'!$K1214</f>
        <v>476000</v>
      </c>
      <c r="P1214" s="25">
        <f>'Working Sheet'!$N1214-'Working Sheet'!$O1214</f>
        <v>119000</v>
      </c>
    </row>
    <row r="1215" spans="1:16" ht="14.25" customHeight="1" x14ac:dyDescent="0.25">
      <c r="A1215" s="18" t="str">
        <f t="shared" ca="1" si="36"/>
        <v>ID_770</v>
      </c>
      <c r="B1215" s="17">
        <v>45777</v>
      </c>
      <c r="C1215" s="18" t="str">
        <f>TEXT('Working Sheet'!$B1215,"mmm")</f>
        <v>Apr</v>
      </c>
      <c r="D1215" s="18" t="s">
        <v>11</v>
      </c>
      <c r="E1215" s="18" t="s">
        <v>19</v>
      </c>
      <c r="F1215" s="18" t="s">
        <v>23</v>
      </c>
      <c r="G1215" s="18" t="s">
        <v>14</v>
      </c>
      <c r="H1215" s="18" t="s">
        <v>36</v>
      </c>
      <c r="I1215" s="18" t="s">
        <v>31</v>
      </c>
      <c r="J1215" s="19">
        <v>150000</v>
      </c>
      <c r="K1215" s="18">
        <v>4</v>
      </c>
      <c r="L1215" s="18" t="s">
        <v>28</v>
      </c>
      <c r="M1215" s="20">
        <f t="shared" si="37"/>
        <v>120000</v>
      </c>
      <c r="N1215" s="20">
        <f>'Working Sheet'!$J1215*'Working Sheet'!$K1215</f>
        <v>600000</v>
      </c>
      <c r="O1215" s="21">
        <f>'Working Sheet'!$M1215*'Working Sheet'!$K1215</f>
        <v>480000</v>
      </c>
      <c r="P1215" s="20">
        <f>'Working Sheet'!$N1215-'Working Sheet'!$O1215</f>
        <v>120000</v>
      </c>
    </row>
    <row r="1216" spans="1:16" ht="14.25" customHeight="1" x14ac:dyDescent="0.25">
      <c r="A1216" s="23" t="str">
        <f t="shared" ca="1" si="36"/>
        <v>ID_1369</v>
      </c>
      <c r="B1216" s="22">
        <v>45749</v>
      </c>
      <c r="C1216" s="23" t="str">
        <f>TEXT('Working Sheet'!$B1216,"mmm")</f>
        <v>Apr</v>
      </c>
      <c r="D1216" s="23" t="s">
        <v>25</v>
      </c>
      <c r="E1216" s="23" t="s">
        <v>32</v>
      </c>
      <c r="F1216" s="23" t="s">
        <v>13</v>
      </c>
      <c r="G1216" s="23" t="s">
        <v>14</v>
      </c>
      <c r="H1216" s="23" t="s">
        <v>38</v>
      </c>
      <c r="I1216" s="23" t="s">
        <v>31</v>
      </c>
      <c r="J1216" s="24">
        <v>420000</v>
      </c>
      <c r="K1216" s="23">
        <v>5</v>
      </c>
      <c r="L1216" s="23" t="s">
        <v>24</v>
      </c>
      <c r="M1216" s="25">
        <f t="shared" si="37"/>
        <v>336000</v>
      </c>
      <c r="N1216" s="25">
        <f>'Working Sheet'!$J1216*'Working Sheet'!$K1216</f>
        <v>2100000</v>
      </c>
      <c r="O1216" s="26">
        <f>'Working Sheet'!$M1216*'Working Sheet'!$K1216</f>
        <v>1680000</v>
      </c>
      <c r="P1216" s="25">
        <f>'Working Sheet'!$N1216-'Working Sheet'!$O1216</f>
        <v>420000</v>
      </c>
    </row>
    <row r="1217" spans="1:16" ht="14.25" customHeight="1" x14ac:dyDescent="0.25">
      <c r="A1217" s="18" t="str">
        <f t="shared" ca="1" si="36"/>
        <v>ID_343</v>
      </c>
      <c r="B1217" s="17">
        <v>45703</v>
      </c>
      <c r="C1217" s="18" t="str">
        <f>TEXT('Working Sheet'!$B1217,"mmm")</f>
        <v>Feb</v>
      </c>
      <c r="D1217" s="18" t="s">
        <v>18</v>
      </c>
      <c r="E1217" s="18" t="s">
        <v>26</v>
      </c>
      <c r="F1217" s="18" t="s">
        <v>13</v>
      </c>
      <c r="G1217" s="18" t="s">
        <v>14</v>
      </c>
      <c r="H1217" s="18" t="s">
        <v>27</v>
      </c>
      <c r="I1217" s="18" t="s">
        <v>22</v>
      </c>
      <c r="J1217" s="19">
        <v>60000</v>
      </c>
      <c r="K1217" s="18">
        <v>5</v>
      </c>
      <c r="L1217" s="18" t="s">
        <v>17</v>
      </c>
      <c r="M1217" s="20">
        <f t="shared" si="37"/>
        <v>48000</v>
      </c>
      <c r="N1217" s="20">
        <f>'Working Sheet'!$J1217*'Working Sheet'!$K1217</f>
        <v>300000</v>
      </c>
      <c r="O1217" s="21">
        <f>'Working Sheet'!$M1217*'Working Sheet'!$K1217</f>
        <v>240000</v>
      </c>
      <c r="P1217" s="20">
        <f>'Working Sheet'!$N1217-'Working Sheet'!$O1217</f>
        <v>60000</v>
      </c>
    </row>
    <row r="1218" spans="1:16" ht="14.25" customHeight="1" x14ac:dyDescent="0.25">
      <c r="A1218" s="23" t="str">
        <f t="shared" ref="A1218:A1281" ca="1" si="38">"ID_"&amp; RANDBETWEEN(1,2098)</f>
        <v>ID_316</v>
      </c>
      <c r="B1218" s="22">
        <v>45706</v>
      </c>
      <c r="C1218" s="23" t="str">
        <f>TEXT('Working Sheet'!$B1218,"mmm")</f>
        <v>Feb</v>
      </c>
      <c r="D1218" s="23" t="s">
        <v>25</v>
      </c>
      <c r="E1218" s="23" t="s">
        <v>12</v>
      </c>
      <c r="F1218" s="23" t="s">
        <v>23</v>
      </c>
      <c r="G1218" s="23" t="s">
        <v>14</v>
      </c>
      <c r="H1218" s="23" t="s">
        <v>40</v>
      </c>
      <c r="I1218" s="23" t="s">
        <v>31</v>
      </c>
      <c r="J1218" s="24">
        <v>250000</v>
      </c>
      <c r="K1218" s="23">
        <v>10</v>
      </c>
      <c r="L1218" s="23" t="s">
        <v>24</v>
      </c>
      <c r="M1218" s="25">
        <f t="shared" ref="M1218:M1281" si="39">J1218-J1218*0.2</f>
        <v>200000</v>
      </c>
      <c r="N1218" s="25">
        <f>'Working Sheet'!$J1218*'Working Sheet'!$K1218</f>
        <v>2500000</v>
      </c>
      <c r="O1218" s="26">
        <f>'Working Sheet'!$M1218*'Working Sheet'!$K1218</f>
        <v>2000000</v>
      </c>
      <c r="P1218" s="25">
        <f>'Working Sheet'!$N1218-'Working Sheet'!$O1218</f>
        <v>500000</v>
      </c>
    </row>
    <row r="1219" spans="1:16" ht="14.25" customHeight="1" x14ac:dyDescent="0.25">
      <c r="A1219" s="18" t="str">
        <f t="shared" ca="1" si="38"/>
        <v>ID_224</v>
      </c>
      <c r="B1219" s="17">
        <v>45749</v>
      </c>
      <c r="C1219" s="18" t="str">
        <f>TEXT('Working Sheet'!$B1219,"mmm")</f>
        <v>Apr</v>
      </c>
      <c r="D1219" s="18" t="s">
        <v>11</v>
      </c>
      <c r="E1219" s="18" t="s">
        <v>19</v>
      </c>
      <c r="F1219" s="18" t="s">
        <v>13</v>
      </c>
      <c r="G1219" s="18" t="s">
        <v>14</v>
      </c>
      <c r="H1219" s="18" t="s">
        <v>27</v>
      </c>
      <c r="I1219" s="18" t="s">
        <v>22</v>
      </c>
      <c r="J1219" s="19">
        <v>60000</v>
      </c>
      <c r="K1219" s="18">
        <v>3</v>
      </c>
      <c r="L1219" s="18" t="s">
        <v>24</v>
      </c>
      <c r="M1219" s="20">
        <f t="shared" si="39"/>
        <v>48000</v>
      </c>
      <c r="N1219" s="20">
        <f>'Working Sheet'!$J1219*'Working Sheet'!$K1219</f>
        <v>180000</v>
      </c>
      <c r="O1219" s="21">
        <f>'Working Sheet'!$M1219*'Working Sheet'!$K1219</f>
        <v>144000</v>
      </c>
      <c r="P1219" s="20">
        <f>'Working Sheet'!$N1219-'Working Sheet'!$O1219</f>
        <v>36000</v>
      </c>
    </row>
    <row r="1220" spans="1:16" ht="14.25" customHeight="1" x14ac:dyDescent="0.25">
      <c r="A1220" s="23" t="str">
        <f t="shared" ca="1" si="38"/>
        <v>ID_1862</v>
      </c>
      <c r="B1220" s="22">
        <v>45669</v>
      </c>
      <c r="C1220" s="23" t="str">
        <f>TEXT('Working Sheet'!$B1220,"mmm")</f>
        <v>Jan</v>
      </c>
      <c r="D1220" s="23" t="s">
        <v>11</v>
      </c>
      <c r="E1220" s="23" t="s">
        <v>32</v>
      </c>
      <c r="F1220" s="23" t="s">
        <v>23</v>
      </c>
      <c r="G1220" s="23" t="s">
        <v>14</v>
      </c>
      <c r="H1220" s="23" t="s">
        <v>41</v>
      </c>
      <c r="I1220" s="23" t="s">
        <v>22</v>
      </c>
      <c r="J1220" s="24">
        <v>220000</v>
      </c>
      <c r="K1220" s="23">
        <v>5</v>
      </c>
      <c r="L1220" s="23" t="s">
        <v>37</v>
      </c>
      <c r="M1220" s="25">
        <f t="shared" si="39"/>
        <v>176000</v>
      </c>
      <c r="N1220" s="25">
        <f>'Working Sheet'!$J1220*'Working Sheet'!$K1220</f>
        <v>1100000</v>
      </c>
      <c r="O1220" s="26">
        <f>'Working Sheet'!$M1220*'Working Sheet'!$K1220</f>
        <v>880000</v>
      </c>
      <c r="P1220" s="25">
        <f>'Working Sheet'!$N1220-'Working Sheet'!$O1220</f>
        <v>220000</v>
      </c>
    </row>
    <row r="1221" spans="1:16" ht="14.25" customHeight="1" x14ac:dyDescent="0.25">
      <c r="A1221" s="18" t="str">
        <f t="shared" ca="1" si="38"/>
        <v>ID_388</v>
      </c>
      <c r="B1221" s="17">
        <v>45767</v>
      </c>
      <c r="C1221" s="18" t="str">
        <f>TEXT('Working Sheet'!$B1221,"mmm")</f>
        <v>Apr</v>
      </c>
      <c r="D1221" s="18" t="s">
        <v>25</v>
      </c>
      <c r="E1221" s="18" t="s">
        <v>12</v>
      </c>
      <c r="F1221" s="18" t="s">
        <v>23</v>
      </c>
      <c r="G1221" s="18" t="s">
        <v>20</v>
      </c>
      <c r="H1221" s="18" t="s">
        <v>38</v>
      </c>
      <c r="I1221" s="18" t="s">
        <v>31</v>
      </c>
      <c r="J1221" s="19">
        <v>420000</v>
      </c>
      <c r="K1221" s="18">
        <v>3</v>
      </c>
      <c r="L1221" s="18" t="s">
        <v>28</v>
      </c>
      <c r="M1221" s="20">
        <f t="shared" si="39"/>
        <v>336000</v>
      </c>
      <c r="N1221" s="20">
        <f>'Working Sheet'!$J1221*'Working Sheet'!$K1221</f>
        <v>1260000</v>
      </c>
      <c r="O1221" s="21">
        <f>'Working Sheet'!$M1221*'Working Sheet'!$K1221</f>
        <v>1008000</v>
      </c>
      <c r="P1221" s="20">
        <f>'Working Sheet'!$N1221-'Working Sheet'!$O1221</f>
        <v>252000</v>
      </c>
    </row>
    <row r="1222" spans="1:16" ht="14.25" customHeight="1" x14ac:dyDescent="0.25">
      <c r="A1222" s="23" t="str">
        <f t="shared" ca="1" si="38"/>
        <v>ID_210</v>
      </c>
      <c r="B1222" s="22">
        <v>45733</v>
      </c>
      <c r="C1222" s="23" t="str">
        <f>TEXT('Working Sheet'!$B1222,"mmm")</f>
        <v>Mar</v>
      </c>
      <c r="D1222" s="23" t="s">
        <v>11</v>
      </c>
      <c r="E1222" s="23" t="s">
        <v>19</v>
      </c>
      <c r="F1222" s="23" t="s">
        <v>23</v>
      </c>
      <c r="G1222" s="23" t="s">
        <v>20</v>
      </c>
      <c r="H1222" s="23" t="s">
        <v>27</v>
      </c>
      <c r="I1222" s="23" t="s">
        <v>22</v>
      </c>
      <c r="J1222" s="24">
        <v>60000</v>
      </c>
      <c r="K1222" s="23">
        <v>7</v>
      </c>
      <c r="L1222" s="23" t="s">
        <v>35</v>
      </c>
      <c r="M1222" s="25">
        <f t="shared" si="39"/>
        <v>48000</v>
      </c>
      <c r="N1222" s="25">
        <f>'Working Sheet'!$J1222*'Working Sheet'!$K1222</f>
        <v>420000</v>
      </c>
      <c r="O1222" s="26">
        <f>'Working Sheet'!$M1222*'Working Sheet'!$K1222</f>
        <v>336000</v>
      </c>
      <c r="P1222" s="25">
        <f>'Working Sheet'!$N1222-'Working Sheet'!$O1222</f>
        <v>84000</v>
      </c>
    </row>
    <row r="1223" spans="1:16" ht="14.25" customHeight="1" x14ac:dyDescent="0.25">
      <c r="A1223" s="18" t="str">
        <f t="shared" ca="1" si="38"/>
        <v>ID_590</v>
      </c>
      <c r="B1223" s="17">
        <v>45719</v>
      </c>
      <c r="C1223" s="18" t="str">
        <f>TEXT('Working Sheet'!$B1223,"mmm")</f>
        <v>Mar</v>
      </c>
      <c r="D1223" s="18" t="s">
        <v>11</v>
      </c>
      <c r="E1223" s="18" t="s">
        <v>12</v>
      </c>
      <c r="F1223" s="18" t="s">
        <v>13</v>
      </c>
      <c r="G1223" s="18" t="s">
        <v>14</v>
      </c>
      <c r="H1223" s="18" t="s">
        <v>41</v>
      </c>
      <c r="I1223" s="18" t="s">
        <v>22</v>
      </c>
      <c r="J1223" s="19">
        <v>220000</v>
      </c>
      <c r="K1223" s="18">
        <v>8</v>
      </c>
      <c r="L1223" s="18" t="s">
        <v>28</v>
      </c>
      <c r="M1223" s="20">
        <f t="shared" si="39"/>
        <v>176000</v>
      </c>
      <c r="N1223" s="20">
        <f>'Working Sheet'!$J1223*'Working Sheet'!$K1223</f>
        <v>1760000</v>
      </c>
      <c r="O1223" s="21">
        <f>'Working Sheet'!$M1223*'Working Sheet'!$K1223</f>
        <v>1408000</v>
      </c>
      <c r="P1223" s="20">
        <f>'Working Sheet'!$N1223-'Working Sheet'!$O1223</f>
        <v>352000</v>
      </c>
    </row>
    <row r="1224" spans="1:16" ht="14.25" customHeight="1" x14ac:dyDescent="0.25">
      <c r="A1224" s="23" t="str">
        <f t="shared" ca="1" si="38"/>
        <v>ID_1391</v>
      </c>
      <c r="B1224" s="22">
        <v>45778</v>
      </c>
      <c r="C1224" s="23" t="str">
        <f>TEXT('Working Sheet'!$B1224,"mmm")</f>
        <v>May</v>
      </c>
      <c r="D1224" s="23" t="s">
        <v>11</v>
      </c>
      <c r="E1224" s="23" t="s">
        <v>32</v>
      </c>
      <c r="F1224" s="23" t="s">
        <v>23</v>
      </c>
      <c r="G1224" s="23" t="s">
        <v>20</v>
      </c>
      <c r="H1224" s="23" t="s">
        <v>40</v>
      </c>
      <c r="I1224" s="23" t="s">
        <v>31</v>
      </c>
      <c r="J1224" s="24">
        <v>250000</v>
      </c>
      <c r="K1224" s="23">
        <v>6</v>
      </c>
      <c r="L1224" s="23" t="s">
        <v>37</v>
      </c>
      <c r="M1224" s="25">
        <f t="shared" si="39"/>
        <v>200000</v>
      </c>
      <c r="N1224" s="25">
        <f>'Working Sheet'!$J1224*'Working Sheet'!$K1224</f>
        <v>1500000</v>
      </c>
      <c r="O1224" s="26">
        <f>'Working Sheet'!$M1224*'Working Sheet'!$K1224</f>
        <v>1200000</v>
      </c>
      <c r="P1224" s="25">
        <f>'Working Sheet'!$N1224-'Working Sheet'!$O1224</f>
        <v>300000</v>
      </c>
    </row>
    <row r="1225" spans="1:16" ht="14.25" customHeight="1" x14ac:dyDescent="0.25">
      <c r="A1225" s="18" t="str">
        <f t="shared" ca="1" si="38"/>
        <v>ID_1833</v>
      </c>
      <c r="B1225" s="17">
        <v>45771</v>
      </c>
      <c r="C1225" s="18" t="str">
        <f>TEXT('Working Sheet'!$B1225,"mmm")</f>
        <v>Apr</v>
      </c>
      <c r="D1225" s="18" t="s">
        <v>11</v>
      </c>
      <c r="E1225" s="18" t="s">
        <v>19</v>
      </c>
      <c r="F1225" s="18" t="s">
        <v>23</v>
      </c>
      <c r="G1225" s="18" t="s">
        <v>14</v>
      </c>
      <c r="H1225" s="18" t="s">
        <v>36</v>
      </c>
      <c r="I1225" s="18" t="s">
        <v>31</v>
      </c>
      <c r="J1225" s="19">
        <v>150000</v>
      </c>
      <c r="K1225" s="18">
        <v>5</v>
      </c>
      <c r="L1225" s="18" t="s">
        <v>28</v>
      </c>
      <c r="M1225" s="20">
        <f t="shared" si="39"/>
        <v>120000</v>
      </c>
      <c r="N1225" s="20">
        <f>'Working Sheet'!$J1225*'Working Sheet'!$K1225</f>
        <v>750000</v>
      </c>
      <c r="O1225" s="21">
        <f>'Working Sheet'!$M1225*'Working Sheet'!$K1225</f>
        <v>600000</v>
      </c>
      <c r="P1225" s="20">
        <f>'Working Sheet'!$N1225-'Working Sheet'!$O1225</f>
        <v>150000</v>
      </c>
    </row>
    <row r="1226" spans="1:16" ht="14.25" customHeight="1" x14ac:dyDescent="0.25">
      <c r="A1226" s="23" t="str">
        <f t="shared" ca="1" si="38"/>
        <v>ID_1310</v>
      </c>
      <c r="B1226" s="22">
        <v>45677</v>
      </c>
      <c r="C1226" s="23" t="str">
        <f>TEXT('Working Sheet'!$B1226,"mmm")</f>
        <v>Jan</v>
      </c>
      <c r="D1226" s="23" t="s">
        <v>29</v>
      </c>
      <c r="E1226" s="23" t="s">
        <v>19</v>
      </c>
      <c r="F1226" s="23" t="s">
        <v>23</v>
      </c>
      <c r="G1226" s="23" t="s">
        <v>14</v>
      </c>
      <c r="H1226" s="23" t="s">
        <v>15</v>
      </c>
      <c r="I1226" s="23" t="s">
        <v>16</v>
      </c>
      <c r="J1226" s="24">
        <v>85000</v>
      </c>
      <c r="K1226" s="23">
        <v>2</v>
      </c>
      <c r="L1226" s="23" t="s">
        <v>35</v>
      </c>
      <c r="M1226" s="25">
        <f t="shared" si="39"/>
        <v>68000</v>
      </c>
      <c r="N1226" s="25">
        <f>'Working Sheet'!$J1226*'Working Sheet'!$K1226</f>
        <v>170000</v>
      </c>
      <c r="O1226" s="26">
        <f>'Working Sheet'!$M1226*'Working Sheet'!$K1226</f>
        <v>136000</v>
      </c>
      <c r="P1226" s="25">
        <f>'Working Sheet'!$N1226-'Working Sheet'!$O1226</f>
        <v>34000</v>
      </c>
    </row>
    <row r="1227" spans="1:16" ht="14.25" customHeight="1" x14ac:dyDescent="0.25">
      <c r="A1227" s="18" t="str">
        <f t="shared" ca="1" si="38"/>
        <v>ID_1526</v>
      </c>
      <c r="B1227" s="17">
        <v>45695</v>
      </c>
      <c r="C1227" s="18" t="str">
        <f>TEXT('Working Sheet'!$B1227,"mmm")</f>
        <v>Feb</v>
      </c>
      <c r="D1227" s="18" t="s">
        <v>25</v>
      </c>
      <c r="E1227" s="18" t="s">
        <v>12</v>
      </c>
      <c r="F1227" s="18" t="s">
        <v>23</v>
      </c>
      <c r="G1227" s="18" t="s">
        <v>20</v>
      </c>
      <c r="H1227" s="18" t="s">
        <v>15</v>
      </c>
      <c r="I1227" s="18" t="s">
        <v>16</v>
      </c>
      <c r="J1227" s="19">
        <v>85000</v>
      </c>
      <c r="K1227" s="18">
        <v>6</v>
      </c>
      <c r="L1227" s="18" t="s">
        <v>24</v>
      </c>
      <c r="M1227" s="20">
        <f t="shared" si="39"/>
        <v>68000</v>
      </c>
      <c r="N1227" s="20">
        <f>'Working Sheet'!$J1227*'Working Sheet'!$K1227</f>
        <v>510000</v>
      </c>
      <c r="O1227" s="21">
        <f>'Working Sheet'!$M1227*'Working Sheet'!$K1227</f>
        <v>408000</v>
      </c>
      <c r="P1227" s="20">
        <f>'Working Sheet'!$N1227-'Working Sheet'!$O1227</f>
        <v>102000</v>
      </c>
    </row>
    <row r="1228" spans="1:16" ht="14.25" customHeight="1" x14ac:dyDescent="0.25">
      <c r="A1228" s="23" t="str">
        <f t="shared" ca="1" si="38"/>
        <v>ID_923</v>
      </c>
      <c r="B1228" s="22">
        <v>45661</v>
      </c>
      <c r="C1228" s="23" t="str">
        <f>TEXT('Working Sheet'!$B1228,"mmm")</f>
        <v>Jan</v>
      </c>
      <c r="D1228" s="23" t="s">
        <v>11</v>
      </c>
      <c r="E1228" s="23" t="s">
        <v>32</v>
      </c>
      <c r="F1228" s="23" t="s">
        <v>23</v>
      </c>
      <c r="G1228" s="23" t="s">
        <v>14</v>
      </c>
      <c r="H1228" s="23" t="s">
        <v>36</v>
      </c>
      <c r="I1228" s="23" t="s">
        <v>31</v>
      </c>
      <c r="J1228" s="24">
        <v>150000</v>
      </c>
      <c r="K1228" s="23">
        <v>5</v>
      </c>
      <c r="L1228" s="23" t="s">
        <v>35</v>
      </c>
      <c r="M1228" s="25">
        <f t="shared" si="39"/>
        <v>120000</v>
      </c>
      <c r="N1228" s="25">
        <f>'Working Sheet'!$J1228*'Working Sheet'!$K1228</f>
        <v>750000</v>
      </c>
      <c r="O1228" s="26">
        <f>'Working Sheet'!$M1228*'Working Sheet'!$K1228</f>
        <v>600000</v>
      </c>
      <c r="P1228" s="25">
        <f>'Working Sheet'!$N1228-'Working Sheet'!$O1228</f>
        <v>150000</v>
      </c>
    </row>
    <row r="1229" spans="1:16" ht="14.25" customHeight="1" x14ac:dyDescent="0.25">
      <c r="A1229" s="18" t="str">
        <f t="shared" ca="1" si="38"/>
        <v>ID_1159</v>
      </c>
      <c r="B1229" s="17">
        <v>45667</v>
      </c>
      <c r="C1229" s="18" t="str">
        <f>TEXT('Working Sheet'!$B1229,"mmm")</f>
        <v>Jan</v>
      </c>
      <c r="D1229" s="18" t="s">
        <v>11</v>
      </c>
      <c r="E1229" s="18" t="s">
        <v>26</v>
      </c>
      <c r="F1229" s="18" t="s">
        <v>23</v>
      </c>
      <c r="G1229" s="18" t="s">
        <v>20</v>
      </c>
      <c r="H1229" s="18" t="s">
        <v>38</v>
      </c>
      <c r="I1229" s="18" t="s">
        <v>31</v>
      </c>
      <c r="J1229" s="19">
        <v>420000</v>
      </c>
      <c r="K1229" s="18">
        <v>4</v>
      </c>
      <c r="L1229" s="18" t="s">
        <v>37</v>
      </c>
      <c r="M1229" s="20">
        <f t="shared" si="39"/>
        <v>336000</v>
      </c>
      <c r="N1229" s="20">
        <f>'Working Sheet'!$J1229*'Working Sheet'!$K1229</f>
        <v>1680000</v>
      </c>
      <c r="O1229" s="21">
        <f>'Working Sheet'!$M1229*'Working Sheet'!$K1229</f>
        <v>1344000</v>
      </c>
      <c r="P1229" s="20">
        <f>'Working Sheet'!$N1229-'Working Sheet'!$O1229</f>
        <v>336000</v>
      </c>
    </row>
    <row r="1230" spans="1:16" ht="14.25" customHeight="1" x14ac:dyDescent="0.25">
      <c r="A1230" s="23" t="str">
        <f t="shared" ca="1" si="38"/>
        <v>ID_594</v>
      </c>
      <c r="B1230" s="22">
        <v>45761</v>
      </c>
      <c r="C1230" s="23" t="str">
        <f>TEXT('Working Sheet'!$B1230,"mmm")</f>
        <v>Apr</v>
      </c>
      <c r="D1230" s="23" t="s">
        <v>18</v>
      </c>
      <c r="E1230" s="23" t="s">
        <v>26</v>
      </c>
      <c r="F1230" s="23" t="s">
        <v>23</v>
      </c>
      <c r="G1230" s="23" t="s">
        <v>20</v>
      </c>
      <c r="H1230" s="23" t="s">
        <v>30</v>
      </c>
      <c r="I1230" s="23" t="s">
        <v>31</v>
      </c>
      <c r="J1230" s="24">
        <v>300000</v>
      </c>
      <c r="K1230" s="23">
        <v>6</v>
      </c>
      <c r="L1230" s="23" t="s">
        <v>39</v>
      </c>
      <c r="M1230" s="25">
        <f t="shared" si="39"/>
        <v>240000</v>
      </c>
      <c r="N1230" s="25">
        <f>'Working Sheet'!$J1230*'Working Sheet'!$K1230</f>
        <v>1800000</v>
      </c>
      <c r="O1230" s="26">
        <f>'Working Sheet'!$M1230*'Working Sheet'!$K1230</f>
        <v>1440000</v>
      </c>
      <c r="P1230" s="25">
        <f>'Working Sheet'!$N1230-'Working Sheet'!$O1230</f>
        <v>360000</v>
      </c>
    </row>
    <row r="1231" spans="1:16" ht="14.25" customHeight="1" x14ac:dyDescent="0.25">
      <c r="A1231" s="18" t="str">
        <f t="shared" ca="1" si="38"/>
        <v>ID_1481</v>
      </c>
      <c r="B1231" s="17">
        <v>45728</v>
      </c>
      <c r="C1231" s="18" t="str">
        <f>TEXT('Working Sheet'!$B1231,"mmm")</f>
        <v>Mar</v>
      </c>
      <c r="D1231" s="18" t="s">
        <v>29</v>
      </c>
      <c r="E1231" s="18" t="s">
        <v>12</v>
      </c>
      <c r="F1231" s="18" t="s">
        <v>23</v>
      </c>
      <c r="G1231" s="18" t="s">
        <v>14</v>
      </c>
      <c r="H1231" s="18" t="s">
        <v>27</v>
      </c>
      <c r="I1231" s="18" t="s">
        <v>22</v>
      </c>
      <c r="J1231" s="19">
        <v>60000</v>
      </c>
      <c r="K1231" s="18">
        <v>2</v>
      </c>
      <c r="L1231" s="18" t="s">
        <v>37</v>
      </c>
      <c r="M1231" s="20">
        <f t="shared" si="39"/>
        <v>48000</v>
      </c>
      <c r="N1231" s="20">
        <f>'Working Sheet'!$J1231*'Working Sheet'!$K1231</f>
        <v>120000</v>
      </c>
      <c r="O1231" s="21">
        <f>'Working Sheet'!$M1231*'Working Sheet'!$K1231</f>
        <v>96000</v>
      </c>
      <c r="P1231" s="20">
        <f>'Working Sheet'!$N1231-'Working Sheet'!$O1231</f>
        <v>24000</v>
      </c>
    </row>
    <row r="1232" spans="1:16" ht="14.25" customHeight="1" x14ac:dyDescent="0.25">
      <c r="A1232" s="23" t="str">
        <f t="shared" ca="1" si="38"/>
        <v>ID_334</v>
      </c>
      <c r="B1232" s="22">
        <v>45677</v>
      </c>
      <c r="C1232" s="23" t="str">
        <f>TEXT('Working Sheet'!$B1232,"mmm")</f>
        <v>Jan</v>
      </c>
      <c r="D1232" s="23" t="s">
        <v>29</v>
      </c>
      <c r="E1232" s="23" t="s">
        <v>32</v>
      </c>
      <c r="F1232" s="23" t="s">
        <v>23</v>
      </c>
      <c r="G1232" s="23" t="s">
        <v>14</v>
      </c>
      <c r="H1232" s="23" t="s">
        <v>15</v>
      </c>
      <c r="I1232" s="23" t="s">
        <v>16</v>
      </c>
      <c r="J1232" s="24">
        <v>85000</v>
      </c>
      <c r="K1232" s="23">
        <v>5</v>
      </c>
      <c r="L1232" s="23" t="s">
        <v>35</v>
      </c>
      <c r="M1232" s="25">
        <f t="shared" si="39"/>
        <v>68000</v>
      </c>
      <c r="N1232" s="25">
        <f>'Working Sheet'!$J1232*'Working Sheet'!$K1232</f>
        <v>425000</v>
      </c>
      <c r="O1232" s="26">
        <f>'Working Sheet'!$M1232*'Working Sheet'!$K1232</f>
        <v>340000</v>
      </c>
      <c r="P1232" s="25">
        <f>'Working Sheet'!$N1232-'Working Sheet'!$O1232</f>
        <v>85000</v>
      </c>
    </row>
    <row r="1233" spans="1:16" ht="14.25" customHeight="1" x14ac:dyDescent="0.25">
      <c r="A1233" s="18" t="str">
        <f t="shared" ca="1" si="38"/>
        <v>ID_936</v>
      </c>
      <c r="B1233" s="17">
        <v>45770</v>
      </c>
      <c r="C1233" s="18" t="str">
        <f>TEXT('Working Sheet'!$B1233,"mmm")</f>
        <v>Apr</v>
      </c>
      <c r="D1233" s="18" t="s">
        <v>11</v>
      </c>
      <c r="E1233" s="18" t="s">
        <v>32</v>
      </c>
      <c r="F1233" s="18" t="s">
        <v>13</v>
      </c>
      <c r="G1233" s="18" t="s">
        <v>20</v>
      </c>
      <c r="H1233" s="18" t="s">
        <v>27</v>
      </c>
      <c r="I1233" s="18" t="s">
        <v>22</v>
      </c>
      <c r="J1233" s="19">
        <v>60000</v>
      </c>
      <c r="K1233" s="18">
        <v>3</v>
      </c>
      <c r="L1233" s="18" t="s">
        <v>24</v>
      </c>
      <c r="M1233" s="20">
        <f t="shared" si="39"/>
        <v>48000</v>
      </c>
      <c r="N1233" s="20">
        <f>'Working Sheet'!$J1233*'Working Sheet'!$K1233</f>
        <v>180000</v>
      </c>
      <c r="O1233" s="21">
        <f>'Working Sheet'!$M1233*'Working Sheet'!$K1233</f>
        <v>144000</v>
      </c>
      <c r="P1233" s="20">
        <f>'Working Sheet'!$N1233-'Working Sheet'!$O1233</f>
        <v>36000</v>
      </c>
    </row>
    <row r="1234" spans="1:16" ht="14.25" customHeight="1" x14ac:dyDescent="0.25">
      <c r="A1234" s="23" t="str">
        <f t="shared" ca="1" si="38"/>
        <v>ID_1740</v>
      </c>
      <c r="B1234" s="22">
        <v>45700</v>
      </c>
      <c r="C1234" s="23" t="str">
        <f>TEXT('Working Sheet'!$B1234,"mmm")</f>
        <v>Feb</v>
      </c>
      <c r="D1234" s="23" t="s">
        <v>29</v>
      </c>
      <c r="E1234" s="23" t="s">
        <v>32</v>
      </c>
      <c r="F1234" s="23" t="s">
        <v>23</v>
      </c>
      <c r="G1234" s="23" t="s">
        <v>14</v>
      </c>
      <c r="H1234" s="23" t="s">
        <v>15</v>
      </c>
      <c r="I1234" s="23" t="s">
        <v>16</v>
      </c>
      <c r="J1234" s="24">
        <v>85000</v>
      </c>
      <c r="K1234" s="23">
        <v>7</v>
      </c>
      <c r="L1234" s="23" t="s">
        <v>35</v>
      </c>
      <c r="M1234" s="25">
        <f t="shared" si="39"/>
        <v>68000</v>
      </c>
      <c r="N1234" s="25">
        <f>'Working Sheet'!$J1234*'Working Sheet'!$K1234</f>
        <v>595000</v>
      </c>
      <c r="O1234" s="26">
        <f>'Working Sheet'!$M1234*'Working Sheet'!$K1234</f>
        <v>476000</v>
      </c>
      <c r="P1234" s="25">
        <f>'Working Sheet'!$N1234-'Working Sheet'!$O1234</f>
        <v>119000</v>
      </c>
    </row>
    <row r="1235" spans="1:16" ht="14.25" customHeight="1" x14ac:dyDescent="0.25">
      <c r="A1235" s="18" t="str">
        <f t="shared" ca="1" si="38"/>
        <v>ID_55</v>
      </c>
      <c r="B1235" s="17">
        <v>45751</v>
      </c>
      <c r="C1235" s="18" t="str">
        <f>TEXT('Working Sheet'!$B1235,"mmm")</f>
        <v>Apr</v>
      </c>
      <c r="D1235" s="18" t="s">
        <v>29</v>
      </c>
      <c r="E1235" s="18" t="s">
        <v>19</v>
      </c>
      <c r="F1235" s="18" t="s">
        <v>23</v>
      </c>
      <c r="G1235" s="18" t="s">
        <v>14</v>
      </c>
      <c r="H1235" s="18" t="s">
        <v>33</v>
      </c>
      <c r="I1235" s="18" t="s">
        <v>22</v>
      </c>
      <c r="J1235" s="19">
        <v>180000</v>
      </c>
      <c r="K1235" s="18">
        <v>5</v>
      </c>
      <c r="L1235" s="18" t="s">
        <v>39</v>
      </c>
      <c r="M1235" s="20">
        <f t="shared" si="39"/>
        <v>144000</v>
      </c>
      <c r="N1235" s="20">
        <f>'Working Sheet'!$J1235*'Working Sheet'!$K1235</f>
        <v>900000</v>
      </c>
      <c r="O1235" s="21">
        <f>'Working Sheet'!$M1235*'Working Sheet'!$K1235</f>
        <v>720000</v>
      </c>
      <c r="P1235" s="20">
        <f>'Working Sheet'!$N1235-'Working Sheet'!$O1235</f>
        <v>180000</v>
      </c>
    </row>
    <row r="1236" spans="1:16" ht="14.25" customHeight="1" x14ac:dyDescent="0.25">
      <c r="A1236" s="23" t="str">
        <f t="shared" ca="1" si="38"/>
        <v>ID_1249</v>
      </c>
      <c r="B1236" s="22">
        <v>45739</v>
      </c>
      <c r="C1236" s="23" t="str">
        <f>TEXT('Working Sheet'!$B1236,"mmm")</f>
        <v>Mar</v>
      </c>
      <c r="D1236" s="23" t="s">
        <v>18</v>
      </c>
      <c r="E1236" s="23" t="s">
        <v>19</v>
      </c>
      <c r="F1236" s="23" t="s">
        <v>13</v>
      </c>
      <c r="G1236" s="23" t="s">
        <v>14</v>
      </c>
      <c r="H1236" s="23" t="s">
        <v>38</v>
      </c>
      <c r="I1236" s="23" t="s">
        <v>31</v>
      </c>
      <c r="J1236" s="24">
        <v>420000</v>
      </c>
      <c r="K1236" s="23">
        <v>5</v>
      </c>
      <c r="L1236" s="23" t="s">
        <v>28</v>
      </c>
      <c r="M1236" s="25">
        <f t="shared" si="39"/>
        <v>336000</v>
      </c>
      <c r="N1236" s="25">
        <f>'Working Sheet'!$J1236*'Working Sheet'!$K1236</f>
        <v>2100000</v>
      </c>
      <c r="O1236" s="26">
        <f>'Working Sheet'!$M1236*'Working Sheet'!$K1236</f>
        <v>1680000</v>
      </c>
      <c r="P1236" s="25">
        <f>'Working Sheet'!$N1236-'Working Sheet'!$O1236</f>
        <v>420000</v>
      </c>
    </row>
    <row r="1237" spans="1:16" ht="14.25" customHeight="1" x14ac:dyDescent="0.25">
      <c r="A1237" s="18" t="str">
        <f t="shared" ca="1" si="38"/>
        <v>ID_1811</v>
      </c>
      <c r="B1237" s="17">
        <v>45757</v>
      </c>
      <c r="C1237" s="18" t="str">
        <f>TEXT('Working Sheet'!$B1237,"mmm")</f>
        <v>Apr</v>
      </c>
      <c r="D1237" s="18" t="s">
        <v>18</v>
      </c>
      <c r="E1237" s="18" t="s">
        <v>32</v>
      </c>
      <c r="F1237" s="18" t="s">
        <v>23</v>
      </c>
      <c r="G1237" s="18" t="s">
        <v>20</v>
      </c>
      <c r="H1237" s="18" t="s">
        <v>15</v>
      </c>
      <c r="I1237" s="18" t="s">
        <v>16</v>
      </c>
      <c r="J1237" s="19">
        <v>85000</v>
      </c>
      <c r="K1237" s="18">
        <v>6</v>
      </c>
      <c r="L1237" s="18" t="s">
        <v>28</v>
      </c>
      <c r="M1237" s="20">
        <f t="shared" si="39"/>
        <v>68000</v>
      </c>
      <c r="N1237" s="20">
        <f>'Working Sheet'!$J1237*'Working Sheet'!$K1237</f>
        <v>510000</v>
      </c>
      <c r="O1237" s="21">
        <f>'Working Sheet'!$M1237*'Working Sheet'!$K1237</f>
        <v>408000</v>
      </c>
      <c r="P1237" s="20">
        <f>'Working Sheet'!$N1237-'Working Sheet'!$O1237</f>
        <v>102000</v>
      </c>
    </row>
    <row r="1238" spans="1:16" ht="14.25" customHeight="1" x14ac:dyDescent="0.25">
      <c r="A1238" s="23" t="str">
        <f t="shared" ca="1" si="38"/>
        <v>ID_430</v>
      </c>
      <c r="B1238" s="22">
        <v>45721</v>
      </c>
      <c r="C1238" s="23" t="str">
        <f>TEXT('Working Sheet'!$B1238,"mmm")</f>
        <v>Mar</v>
      </c>
      <c r="D1238" s="23" t="s">
        <v>29</v>
      </c>
      <c r="E1238" s="23" t="s">
        <v>12</v>
      </c>
      <c r="F1238" s="23" t="s">
        <v>13</v>
      </c>
      <c r="G1238" s="23" t="s">
        <v>20</v>
      </c>
      <c r="H1238" s="23" t="s">
        <v>38</v>
      </c>
      <c r="I1238" s="23" t="s">
        <v>31</v>
      </c>
      <c r="J1238" s="24">
        <v>420000</v>
      </c>
      <c r="K1238" s="23">
        <v>7</v>
      </c>
      <c r="L1238" s="23" t="s">
        <v>17</v>
      </c>
      <c r="M1238" s="25">
        <f t="shared" si="39"/>
        <v>336000</v>
      </c>
      <c r="N1238" s="25">
        <f>'Working Sheet'!$J1238*'Working Sheet'!$K1238</f>
        <v>2940000</v>
      </c>
      <c r="O1238" s="26">
        <f>'Working Sheet'!$M1238*'Working Sheet'!$K1238</f>
        <v>2352000</v>
      </c>
      <c r="P1238" s="25">
        <f>'Working Sheet'!$N1238-'Working Sheet'!$O1238</f>
        <v>588000</v>
      </c>
    </row>
    <row r="1239" spans="1:16" ht="14.25" customHeight="1" x14ac:dyDescent="0.25">
      <c r="A1239" s="18" t="str">
        <f t="shared" ca="1" si="38"/>
        <v>ID_998</v>
      </c>
      <c r="B1239" s="17">
        <v>45690</v>
      </c>
      <c r="C1239" s="18" t="str">
        <f>TEXT('Working Sheet'!$B1239,"mmm")</f>
        <v>Feb</v>
      </c>
      <c r="D1239" s="18" t="s">
        <v>25</v>
      </c>
      <c r="E1239" s="18" t="s">
        <v>32</v>
      </c>
      <c r="F1239" s="18" t="s">
        <v>23</v>
      </c>
      <c r="G1239" s="18" t="s">
        <v>14</v>
      </c>
      <c r="H1239" s="18" t="s">
        <v>38</v>
      </c>
      <c r="I1239" s="18" t="s">
        <v>31</v>
      </c>
      <c r="J1239" s="19">
        <v>420000</v>
      </c>
      <c r="K1239" s="18">
        <v>9</v>
      </c>
      <c r="L1239" s="18" t="s">
        <v>39</v>
      </c>
      <c r="M1239" s="20">
        <f t="shared" si="39"/>
        <v>336000</v>
      </c>
      <c r="N1239" s="20">
        <f>'Working Sheet'!$J1239*'Working Sheet'!$K1239</f>
        <v>3780000</v>
      </c>
      <c r="O1239" s="21">
        <f>'Working Sheet'!$M1239*'Working Sheet'!$K1239</f>
        <v>3024000</v>
      </c>
      <c r="P1239" s="20">
        <f>'Working Sheet'!$N1239-'Working Sheet'!$O1239</f>
        <v>756000</v>
      </c>
    </row>
    <row r="1240" spans="1:16" ht="14.25" customHeight="1" x14ac:dyDescent="0.25">
      <c r="A1240" s="23" t="str">
        <f t="shared" ca="1" si="38"/>
        <v>ID_2043</v>
      </c>
      <c r="B1240" s="22">
        <v>45706</v>
      </c>
      <c r="C1240" s="23" t="str">
        <f>TEXT('Working Sheet'!$B1240,"mmm")</f>
        <v>Feb</v>
      </c>
      <c r="D1240" s="23" t="s">
        <v>11</v>
      </c>
      <c r="E1240" s="23" t="s">
        <v>19</v>
      </c>
      <c r="F1240" s="23" t="s">
        <v>23</v>
      </c>
      <c r="G1240" s="23" t="s">
        <v>14</v>
      </c>
      <c r="H1240" s="23" t="s">
        <v>30</v>
      </c>
      <c r="I1240" s="23" t="s">
        <v>31</v>
      </c>
      <c r="J1240" s="24">
        <v>300000</v>
      </c>
      <c r="K1240" s="23">
        <v>3</v>
      </c>
      <c r="L1240" s="23" t="s">
        <v>37</v>
      </c>
      <c r="M1240" s="25">
        <f t="shared" si="39"/>
        <v>240000</v>
      </c>
      <c r="N1240" s="25">
        <f>'Working Sheet'!$J1240*'Working Sheet'!$K1240</f>
        <v>900000</v>
      </c>
      <c r="O1240" s="26">
        <f>'Working Sheet'!$M1240*'Working Sheet'!$K1240</f>
        <v>720000</v>
      </c>
      <c r="P1240" s="25">
        <f>'Working Sheet'!$N1240-'Working Sheet'!$O1240</f>
        <v>180000</v>
      </c>
    </row>
    <row r="1241" spans="1:16" ht="14.25" customHeight="1" x14ac:dyDescent="0.25">
      <c r="A1241" s="18" t="str">
        <f t="shared" ca="1" si="38"/>
        <v>ID_1972</v>
      </c>
      <c r="B1241" s="17">
        <v>45667</v>
      </c>
      <c r="C1241" s="18" t="str">
        <f>TEXT('Working Sheet'!$B1241,"mmm")</f>
        <v>Jan</v>
      </c>
      <c r="D1241" s="18" t="s">
        <v>18</v>
      </c>
      <c r="E1241" s="18" t="s">
        <v>26</v>
      </c>
      <c r="F1241" s="18" t="s">
        <v>13</v>
      </c>
      <c r="G1241" s="18" t="s">
        <v>14</v>
      </c>
      <c r="H1241" s="18" t="s">
        <v>15</v>
      </c>
      <c r="I1241" s="18" t="s">
        <v>16</v>
      </c>
      <c r="J1241" s="19">
        <v>85000</v>
      </c>
      <c r="K1241" s="18">
        <v>9</v>
      </c>
      <c r="L1241" s="18" t="s">
        <v>37</v>
      </c>
      <c r="M1241" s="20">
        <f t="shared" si="39"/>
        <v>68000</v>
      </c>
      <c r="N1241" s="20">
        <f>'Working Sheet'!$J1241*'Working Sheet'!$K1241</f>
        <v>765000</v>
      </c>
      <c r="O1241" s="21">
        <f>'Working Sheet'!$M1241*'Working Sheet'!$K1241</f>
        <v>612000</v>
      </c>
      <c r="P1241" s="20">
        <f>'Working Sheet'!$N1241-'Working Sheet'!$O1241</f>
        <v>153000</v>
      </c>
    </row>
    <row r="1242" spans="1:16" ht="14.25" customHeight="1" x14ac:dyDescent="0.25">
      <c r="A1242" s="23" t="str">
        <f t="shared" ca="1" si="38"/>
        <v>ID_1046</v>
      </c>
      <c r="B1242" s="22">
        <v>45718</v>
      </c>
      <c r="C1242" s="23" t="str">
        <f>TEXT('Working Sheet'!$B1242,"mmm")</f>
        <v>Mar</v>
      </c>
      <c r="D1242" s="23" t="s">
        <v>25</v>
      </c>
      <c r="E1242" s="23" t="s">
        <v>12</v>
      </c>
      <c r="F1242" s="23" t="s">
        <v>23</v>
      </c>
      <c r="G1242" s="23" t="s">
        <v>20</v>
      </c>
      <c r="H1242" s="23" t="s">
        <v>41</v>
      </c>
      <c r="I1242" s="23" t="s">
        <v>22</v>
      </c>
      <c r="J1242" s="24">
        <v>220000</v>
      </c>
      <c r="K1242" s="23">
        <v>7</v>
      </c>
      <c r="L1242" s="23" t="s">
        <v>35</v>
      </c>
      <c r="M1242" s="25">
        <f t="shared" si="39"/>
        <v>176000</v>
      </c>
      <c r="N1242" s="25">
        <f>'Working Sheet'!$J1242*'Working Sheet'!$K1242</f>
        <v>1540000</v>
      </c>
      <c r="O1242" s="26">
        <f>'Working Sheet'!$M1242*'Working Sheet'!$K1242</f>
        <v>1232000</v>
      </c>
      <c r="P1242" s="25">
        <f>'Working Sheet'!$N1242-'Working Sheet'!$O1242</f>
        <v>308000</v>
      </c>
    </row>
    <row r="1243" spans="1:16" ht="14.25" customHeight="1" x14ac:dyDescent="0.25">
      <c r="A1243" s="18" t="str">
        <f t="shared" ca="1" si="38"/>
        <v>ID_1519</v>
      </c>
      <c r="B1243" s="17">
        <v>45754</v>
      </c>
      <c r="C1243" s="18" t="str">
        <f>TEXT('Working Sheet'!$B1243,"mmm")</f>
        <v>Apr</v>
      </c>
      <c r="D1243" s="18" t="s">
        <v>11</v>
      </c>
      <c r="E1243" s="18" t="s">
        <v>19</v>
      </c>
      <c r="F1243" s="18" t="s">
        <v>23</v>
      </c>
      <c r="G1243" s="18" t="s">
        <v>20</v>
      </c>
      <c r="H1243" s="18" t="s">
        <v>30</v>
      </c>
      <c r="I1243" s="18" t="s">
        <v>31</v>
      </c>
      <c r="J1243" s="19">
        <v>300000</v>
      </c>
      <c r="K1243" s="18">
        <v>10</v>
      </c>
      <c r="L1243" s="18" t="s">
        <v>17</v>
      </c>
      <c r="M1243" s="20">
        <f t="shared" si="39"/>
        <v>240000</v>
      </c>
      <c r="N1243" s="20">
        <f>'Working Sheet'!$J1243*'Working Sheet'!$K1243</f>
        <v>3000000</v>
      </c>
      <c r="O1243" s="21">
        <f>'Working Sheet'!$M1243*'Working Sheet'!$K1243</f>
        <v>2400000</v>
      </c>
      <c r="P1243" s="20">
        <f>'Working Sheet'!$N1243-'Working Sheet'!$O1243</f>
        <v>600000</v>
      </c>
    </row>
    <row r="1244" spans="1:16" ht="14.25" customHeight="1" x14ac:dyDescent="0.25">
      <c r="A1244" s="23" t="str">
        <f t="shared" ca="1" si="38"/>
        <v>ID_1506</v>
      </c>
      <c r="B1244" s="22">
        <v>45760</v>
      </c>
      <c r="C1244" s="23" t="str">
        <f>TEXT('Working Sheet'!$B1244,"mmm")</f>
        <v>Apr</v>
      </c>
      <c r="D1244" s="23" t="s">
        <v>11</v>
      </c>
      <c r="E1244" s="23" t="s">
        <v>12</v>
      </c>
      <c r="F1244" s="23" t="s">
        <v>13</v>
      </c>
      <c r="G1244" s="23" t="s">
        <v>20</v>
      </c>
      <c r="H1244" s="23" t="s">
        <v>15</v>
      </c>
      <c r="I1244" s="23" t="s">
        <v>16</v>
      </c>
      <c r="J1244" s="24">
        <v>85000</v>
      </c>
      <c r="K1244" s="23">
        <v>8</v>
      </c>
      <c r="L1244" s="23" t="s">
        <v>37</v>
      </c>
      <c r="M1244" s="25">
        <f t="shared" si="39"/>
        <v>68000</v>
      </c>
      <c r="N1244" s="25">
        <f>'Working Sheet'!$J1244*'Working Sheet'!$K1244</f>
        <v>680000</v>
      </c>
      <c r="O1244" s="26">
        <f>'Working Sheet'!$M1244*'Working Sheet'!$K1244</f>
        <v>544000</v>
      </c>
      <c r="P1244" s="25">
        <f>'Working Sheet'!$N1244-'Working Sheet'!$O1244</f>
        <v>136000</v>
      </c>
    </row>
    <row r="1245" spans="1:16" ht="14.25" customHeight="1" x14ac:dyDescent="0.25">
      <c r="A1245" s="18" t="str">
        <f t="shared" ca="1" si="38"/>
        <v>ID_1262</v>
      </c>
      <c r="B1245" s="17">
        <v>45701</v>
      </c>
      <c r="C1245" s="18" t="str">
        <f>TEXT('Working Sheet'!$B1245,"mmm")</f>
        <v>Feb</v>
      </c>
      <c r="D1245" s="18" t="s">
        <v>18</v>
      </c>
      <c r="E1245" s="18" t="s">
        <v>19</v>
      </c>
      <c r="F1245" s="18" t="s">
        <v>23</v>
      </c>
      <c r="G1245" s="18" t="s">
        <v>14</v>
      </c>
      <c r="H1245" s="18" t="s">
        <v>21</v>
      </c>
      <c r="I1245" s="18" t="s">
        <v>22</v>
      </c>
      <c r="J1245" s="19">
        <v>30000</v>
      </c>
      <c r="K1245" s="18">
        <v>3</v>
      </c>
      <c r="L1245" s="18" t="s">
        <v>37</v>
      </c>
      <c r="M1245" s="20">
        <f t="shared" si="39"/>
        <v>24000</v>
      </c>
      <c r="N1245" s="20">
        <f>'Working Sheet'!$J1245*'Working Sheet'!$K1245</f>
        <v>90000</v>
      </c>
      <c r="O1245" s="21">
        <f>'Working Sheet'!$M1245*'Working Sheet'!$K1245</f>
        <v>72000</v>
      </c>
      <c r="P1245" s="20">
        <f>'Working Sheet'!$N1245-'Working Sheet'!$O1245</f>
        <v>18000</v>
      </c>
    </row>
    <row r="1246" spans="1:16" ht="14.25" customHeight="1" x14ac:dyDescent="0.25">
      <c r="A1246" s="23" t="str">
        <f t="shared" ca="1" si="38"/>
        <v>ID_112</v>
      </c>
      <c r="B1246" s="22">
        <v>45699</v>
      </c>
      <c r="C1246" s="23" t="str">
        <f>TEXT('Working Sheet'!$B1246,"mmm")</f>
        <v>Feb</v>
      </c>
      <c r="D1246" s="23" t="s">
        <v>25</v>
      </c>
      <c r="E1246" s="23" t="s">
        <v>26</v>
      </c>
      <c r="F1246" s="23" t="s">
        <v>23</v>
      </c>
      <c r="G1246" s="23" t="s">
        <v>20</v>
      </c>
      <c r="H1246" s="23" t="s">
        <v>15</v>
      </c>
      <c r="I1246" s="23" t="s">
        <v>16</v>
      </c>
      <c r="J1246" s="24">
        <v>85000</v>
      </c>
      <c r="K1246" s="23">
        <v>8</v>
      </c>
      <c r="L1246" s="23" t="s">
        <v>35</v>
      </c>
      <c r="M1246" s="25">
        <f t="shared" si="39"/>
        <v>68000</v>
      </c>
      <c r="N1246" s="25">
        <f>'Working Sheet'!$J1246*'Working Sheet'!$K1246</f>
        <v>680000</v>
      </c>
      <c r="O1246" s="26">
        <f>'Working Sheet'!$M1246*'Working Sheet'!$K1246</f>
        <v>544000</v>
      </c>
      <c r="P1246" s="25">
        <f>'Working Sheet'!$N1246-'Working Sheet'!$O1246</f>
        <v>136000</v>
      </c>
    </row>
    <row r="1247" spans="1:16" ht="14.25" customHeight="1" x14ac:dyDescent="0.25">
      <c r="A1247" s="18" t="str">
        <f t="shared" ca="1" si="38"/>
        <v>ID_1817</v>
      </c>
      <c r="B1247" s="17">
        <v>45697</v>
      </c>
      <c r="C1247" s="18" t="str">
        <f>TEXT('Working Sheet'!$B1247,"mmm")</f>
        <v>Feb</v>
      </c>
      <c r="D1247" s="18" t="s">
        <v>11</v>
      </c>
      <c r="E1247" s="18" t="s">
        <v>26</v>
      </c>
      <c r="F1247" s="18" t="s">
        <v>13</v>
      </c>
      <c r="G1247" s="18" t="s">
        <v>20</v>
      </c>
      <c r="H1247" s="18" t="s">
        <v>33</v>
      </c>
      <c r="I1247" s="18" t="s">
        <v>22</v>
      </c>
      <c r="J1247" s="19">
        <v>180000</v>
      </c>
      <c r="K1247" s="18">
        <v>3</v>
      </c>
      <c r="L1247" s="18" t="s">
        <v>35</v>
      </c>
      <c r="M1247" s="20">
        <f t="shared" si="39"/>
        <v>144000</v>
      </c>
      <c r="N1247" s="20">
        <f>'Working Sheet'!$J1247*'Working Sheet'!$K1247</f>
        <v>540000</v>
      </c>
      <c r="O1247" s="21">
        <f>'Working Sheet'!$M1247*'Working Sheet'!$K1247</f>
        <v>432000</v>
      </c>
      <c r="P1247" s="20">
        <f>'Working Sheet'!$N1247-'Working Sheet'!$O1247</f>
        <v>108000</v>
      </c>
    </row>
    <row r="1248" spans="1:16" ht="14.25" customHeight="1" x14ac:dyDescent="0.25">
      <c r="A1248" s="23" t="str">
        <f t="shared" ca="1" si="38"/>
        <v>ID_1510</v>
      </c>
      <c r="B1248" s="22">
        <v>45741</v>
      </c>
      <c r="C1248" s="23" t="str">
        <f>TEXT('Working Sheet'!$B1248,"mmm")</f>
        <v>Mar</v>
      </c>
      <c r="D1248" s="23" t="s">
        <v>29</v>
      </c>
      <c r="E1248" s="23" t="s">
        <v>12</v>
      </c>
      <c r="F1248" s="23" t="s">
        <v>13</v>
      </c>
      <c r="G1248" s="23" t="s">
        <v>14</v>
      </c>
      <c r="H1248" s="23" t="s">
        <v>41</v>
      </c>
      <c r="I1248" s="23" t="s">
        <v>22</v>
      </c>
      <c r="J1248" s="24">
        <v>220000</v>
      </c>
      <c r="K1248" s="23">
        <v>7</v>
      </c>
      <c r="L1248" s="23" t="s">
        <v>37</v>
      </c>
      <c r="M1248" s="25">
        <f t="shared" si="39"/>
        <v>176000</v>
      </c>
      <c r="N1248" s="25">
        <f>'Working Sheet'!$J1248*'Working Sheet'!$K1248</f>
        <v>1540000</v>
      </c>
      <c r="O1248" s="26">
        <f>'Working Sheet'!$M1248*'Working Sheet'!$K1248</f>
        <v>1232000</v>
      </c>
      <c r="P1248" s="25">
        <f>'Working Sheet'!$N1248-'Working Sheet'!$O1248</f>
        <v>308000</v>
      </c>
    </row>
    <row r="1249" spans="1:16" ht="14.25" customHeight="1" x14ac:dyDescent="0.25">
      <c r="A1249" s="18" t="str">
        <f t="shared" ca="1" si="38"/>
        <v>ID_1377</v>
      </c>
      <c r="B1249" s="17">
        <v>45725</v>
      </c>
      <c r="C1249" s="18" t="str">
        <f>TEXT('Working Sheet'!$B1249,"mmm")</f>
        <v>Mar</v>
      </c>
      <c r="D1249" s="18" t="s">
        <v>29</v>
      </c>
      <c r="E1249" s="18" t="s">
        <v>26</v>
      </c>
      <c r="F1249" s="18" t="s">
        <v>13</v>
      </c>
      <c r="G1249" s="18" t="s">
        <v>14</v>
      </c>
      <c r="H1249" s="18" t="s">
        <v>33</v>
      </c>
      <c r="I1249" s="18" t="s">
        <v>22</v>
      </c>
      <c r="J1249" s="19">
        <v>180000</v>
      </c>
      <c r="K1249" s="18">
        <v>8</v>
      </c>
      <c r="L1249" s="18" t="s">
        <v>39</v>
      </c>
      <c r="M1249" s="20">
        <f t="shared" si="39"/>
        <v>144000</v>
      </c>
      <c r="N1249" s="20">
        <f>'Working Sheet'!$J1249*'Working Sheet'!$K1249</f>
        <v>1440000</v>
      </c>
      <c r="O1249" s="21">
        <f>'Working Sheet'!$M1249*'Working Sheet'!$K1249</f>
        <v>1152000</v>
      </c>
      <c r="P1249" s="20">
        <f>'Working Sheet'!$N1249-'Working Sheet'!$O1249</f>
        <v>288000</v>
      </c>
    </row>
    <row r="1250" spans="1:16" ht="14.25" customHeight="1" x14ac:dyDescent="0.25">
      <c r="A1250" s="23" t="str">
        <f t="shared" ca="1" si="38"/>
        <v>ID_1247</v>
      </c>
      <c r="B1250" s="22">
        <v>45738</v>
      </c>
      <c r="C1250" s="23" t="str">
        <f>TEXT('Working Sheet'!$B1250,"mmm")</f>
        <v>Mar</v>
      </c>
      <c r="D1250" s="23" t="s">
        <v>25</v>
      </c>
      <c r="E1250" s="23" t="s">
        <v>32</v>
      </c>
      <c r="F1250" s="23" t="s">
        <v>13</v>
      </c>
      <c r="G1250" s="23" t="s">
        <v>14</v>
      </c>
      <c r="H1250" s="23" t="s">
        <v>21</v>
      </c>
      <c r="I1250" s="23" t="s">
        <v>22</v>
      </c>
      <c r="J1250" s="24">
        <v>30000</v>
      </c>
      <c r="K1250" s="23">
        <v>1</v>
      </c>
      <c r="L1250" s="23" t="s">
        <v>28</v>
      </c>
      <c r="M1250" s="25">
        <f t="shared" si="39"/>
        <v>24000</v>
      </c>
      <c r="N1250" s="25">
        <f>'Working Sheet'!$J1250*'Working Sheet'!$K1250</f>
        <v>30000</v>
      </c>
      <c r="O1250" s="26">
        <f>'Working Sheet'!$M1250*'Working Sheet'!$K1250</f>
        <v>24000</v>
      </c>
      <c r="P1250" s="25">
        <f>'Working Sheet'!$N1250-'Working Sheet'!$O1250</f>
        <v>6000</v>
      </c>
    </row>
    <row r="1251" spans="1:16" ht="14.25" customHeight="1" x14ac:dyDescent="0.25">
      <c r="A1251" s="18" t="str">
        <f t="shared" ca="1" si="38"/>
        <v>ID_85</v>
      </c>
      <c r="B1251" s="17">
        <v>45706</v>
      </c>
      <c r="C1251" s="18" t="str">
        <f>TEXT('Working Sheet'!$B1251,"mmm")</f>
        <v>Feb</v>
      </c>
      <c r="D1251" s="18" t="s">
        <v>18</v>
      </c>
      <c r="E1251" s="18" t="s">
        <v>19</v>
      </c>
      <c r="F1251" s="18" t="s">
        <v>13</v>
      </c>
      <c r="G1251" s="18" t="s">
        <v>14</v>
      </c>
      <c r="H1251" s="18" t="s">
        <v>21</v>
      </c>
      <c r="I1251" s="18" t="s">
        <v>22</v>
      </c>
      <c r="J1251" s="19">
        <v>30000</v>
      </c>
      <c r="K1251" s="18">
        <v>8</v>
      </c>
      <c r="L1251" s="18" t="s">
        <v>35</v>
      </c>
      <c r="M1251" s="20">
        <f t="shared" si="39"/>
        <v>24000</v>
      </c>
      <c r="N1251" s="20">
        <f>'Working Sheet'!$J1251*'Working Sheet'!$K1251</f>
        <v>240000</v>
      </c>
      <c r="O1251" s="21">
        <f>'Working Sheet'!$M1251*'Working Sheet'!$K1251</f>
        <v>192000</v>
      </c>
      <c r="P1251" s="20">
        <f>'Working Sheet'!$N1251-'Working Sheet'!$O1251</f>
        <v>48000</v>
      </c>
    </row>
    <row r="1252" spans="1:16" ht="14.25" customHeight="1" x14ac:dyDescent="0.25">
      <c r="A1252" s="23" t="str">
        <f t="shared" ca="1" si="38"/>
        <v>ID_1851</v>
      </c>
      <c r="B1252" s="22">
        <v>45703</v>
      </c>
      <c r="C1252" s="23" t="str">
        <f>TEXT('Working Sheet'!$B1252,"mmm")</f>
        <v>Feb</v>
      </c>
      <c r="D1252" s="23" t="s">
        <v>25</v>
      </c>
      <c r="E1252" s="23" t="s">
        <v>12</v>
      </c>
      <c r="F1252" s="23" t="s">
        <v>13</v>
      </c>
      <c r="G1252" s="23" t="s">
        <v>14</v>
      </c>
      <c r="H1252" s="23" t="s">
        <v>33</v>
      </c>
      <c r="I1252" s="23" t="s">
        <v>22</v>
      </c>
      <c r="J1252" s="24">
        <v>180000</v>
      </c>
      <c r="K1252" s="23">
        <v>3</v>
      </c>
      <c r="L1252" s="23" t="s">
        <v>39</v>
      </c>
      <c r="M1252" s="25">
        <f t="shared" si="39"/>
        <v>144000</v>
      </c>
      <c r="N1252" s="25">
        <f>'Working Sheet'!$J1252*'Working Sheet'!$K1252</f>
        <v>540000</v>
      </c>
      <c r="O1252" s="26">
        <f>'Working Sheet'!$M1252*'Working Sheet'!$K1252</f>
        <v>432000</v>
      </c>
      <c r="P1252" s="25">
        <f>'Working Sheet'!$N1252-'Working Sheet'!$O1252</f>
        <v>108000</v>
      </c>
    </row>
    <row r="1253" spans="1:16" ht="14.25" customHeight="1" x14ac:dyDescent="0.25">
      <c r="A1253" s="18" t="str">
        <f t="shared" ca="1" si="38"/>
        <v>ID_690</v>
      </c>
      <c r="B1253" s="17">
        <v>45713</v>
      </c>
      <c r="C1253" s="18" t="str">
        <f>TEXT('Working Sheet'!$B1253,"mmm")</f>
        <v>Feb</v>
      </c>
      <c r="D1253" s="18" t="s">
        <v>25</v>
      </c>
      <c r="E1253" s="18" t="s">
        <v>19</v>
      </c>
      <c r="F1253" s="18" t="s">
        <v>13</v>
      </c>
      <c r="G1253" s="18" t="s">
        <v>20</v>
      </c>
      <c r="H1253" s="18" t="s">
        <v>15</v>
      </c>
      <c r="I1253" s="18" t="s">
        <v>16</v>
      </c>
      <c r="J1253" s="19">
        <v>85000</v>
      </c>
      <c r="K1253" s="18">
        <v>7</v>
      </c>
      <c r="L1253" s="18" t="s">
        <v>24</v>
      </c>
      <c r="M1253" s="20">
        <f t="shared" si="39"/>
        <v>68000</v>
      </c>
      <c r="N1253" s="20">
        <f>'Working Sheet'!$J1253*'Working Sheet'!$K1253</f>
        <v>595000</v>
      </c>
      <c r="O1253" s="21">
        <f>'Working Sheet'!$M1253*'Working Sheet'!$K1253</f>
        <v>476000</v>
      </c>
      <c r="P1253" s="20">
        <f>'Working Sheet'!$N1253-'Working Sheet'!$O1253</f>
        <v>119000</v>
      </c>
    </row>
    <row r="1254" spans="1:16" ht="14.25" customHeight="1" x14ac:dyDescent="0.25">
      <c r="A1254" s="23" t="str">
        <f t="shared" ca="1" si="38"/>
        <v>ID_1946</v>
      </c>
      <c r="B1254" s="22">
        <v>45745</v>
      </c>
      <c r="C1254" s="23" t="str">
        <f>TEXT('Working Sheet'!$B1254,"mmm")</f>
        <v>Mar</v>
      </c>
      <c r="D1254" s="23" t="s">
        <v>11</v>
      </c>
      <c r="E1254" s="23" t="s">
        <v>19</v>
      </c>
      <c r="F1254" s="23" t="s">
        <v>13</v>
      </c>
      <c r="G1254" s="23" t="s">
        <v>20</v>
      </c>
      <c r="H1254" s="23" t="s">
        <v>21</v>
      </c>
      <c r="I1254" s="23" t="s">
        <v>22</v>
      </c>
      <c r="J1254" s="24">
        <v>30000</v>
      </c>
      <c r="K1254" s="23">
        <v>7</v>
      </c>
      <c r="L1254" s="23" t="s">
        <v>28</v>
      </c>
      <c r="M1254" s="25">
        <f t="shared" si="39"/>
        <v>24000</v>
      </c>
      <c r="N1254" s="25">
        <f>'Working Sheet'!$J1254*'Working Sheet'!$K1254</f>
        <v>210000</v>
      </c>
      <c r="O1254" s="26">
        <f>'Working Sheet'!$M1254*'Working Sheet'!$K1254</f>
        <v>168000</v>
      </c>
      <c r="P1254" s="25">
        <f>'Working Sheet'!$N1254-'Working Sheet'!$O1254</f>
        <v>42000</v>
      </c>
    </row>
    <row r="1255" spans="1:16" ht="14.25" customHeight="1" x14ac:dyDescent="0.25">
      <c r="A1255" s="18" t="str">
        <f t="shared" ca="1" si="38"/>
        <v>ID_1933</v>
      </c>
      <c r="B1255" s="17">
        <v>45726</v>
      </c>
      <c r="C1255" s="18" t="str">
        <f>TEXT('Working Sheet'!$B1255,"mmm")</f>
        <v>Mar</v>
      </c>
      <c r="D1255" s="18" t="s">
        <v>29</v>
      </c>
      <c r="E1255" s="18" t="s">
        <v>32</v>
      </c>
      <c r="F1255" s="18" t="s">
        <v>13</v>
      </c>
      <c r="G1255" s="18" t="s">
        <v>20</v>
      </c>
      <c r="H1255" s="18" t="s">
        <v>27</v>
      </c>
      <c r="I1255" s="18" t="s">
        <v>22</v>
      </c>
      <c r="J1255" s="19">
        <v>60000</v>
      </c>
      <c r="K1255" s="18">
        <v>3</v>
      </c>
      <c r="L1255" s="18" t="s">
        <v>28</v>
      </c>
      <c r="M1255" s="20">
        <f t="shared" si="39"/>
        <v>48000</v>
      </c>
      <c r="N1255" s="20">
        <f>'Working Sheet'!$J1255*'Working Sheet'!$K1255</f>
        <v>180000</v>
      </c>
      <c r="O1255" s="21">
        <f>'Working Sheet'!$M1255*'Working Sheet'!$K1255</f>
        <v>144000</v>
      </c>
      <c r="P1255" s="20">
        <f>'Working Sheet'!$N1255-'Working Sheet'!$O1255</f>
        <v>36000</v>
      </c>
    </row>
    <row r="1256" spans="1:16" ht="14.25" customHeight="1" x14ac:dyDescent="0.25">
      <c r="A1256" s="23" t="str">
        <f t="shared" ca="1" si="38"/>
        <v>ID_1471</v>
      </c>
      <c r="B1256" s="22">
        <v>45689</v>
      </c>
      <c r="C1256" s="23" t="str">
        <f>TEXT('Working Sheet'!$B1256,"mmm")</f>
        <v>Feb</v>
      </c>
      <c r="D1256" s="23" t="s">
        <v>29</v>
      </c>
      <c r="E1256" s="23" t="s">
        <v>32</v>
      </c>
      <c r="F1256" s="23" t="s">
        <v>13</v>
      </c>
      <c r="G1256" s="23" t="s">
        <v>20</v>
      </c>
      <c r="H1256" s="23" t="s">
        <v>15</v>
      </c>
      <c r="I1256" s="23" t="s">
        <v>16</v>
      </c>
      <c r="J1256" s="24">
        <v>85000</v>
      </c>
      <c r="K1256" s="23">
        <v>5</v>
      </c>
      <c r="L1256" s="23" t="s">
        <v>17</v>
      </c>
      <c r="M1256" s="25">
        <f t="shared" si="39"/>
        <v>68000</v>
      </c>
      <c r="N1256" s="25">
        <f>'Working Sheet'!$J1256*'Working Sheet'!$K1256</f>
        <v>425000</v>
      </c>
      <c r="O1256" s="26">
        <f>'Working Sheet'!$M1256*'Working Sheet'!$K1256</f>
        <v>340000</v>
      </c>
      <c r="P1256" s="25">
        <f>'Working Sheet'!$N1256-'Working Sheet'!$O1256</f>
        <v>85000</v>
      </c>
    </row>
    <row r="1257" spans="1:16" ht="14.25" customHeight="1" x14ac:dyDescent="0.25">
      <c r="A1257" s="18" t="str">
        <f t="shared" ca="1" si="38"/>
        <v>ID_436</v>
      </c>
      <c r="B1257" s="17">
        <v>45703</v>
      </c>
      <c r="C1257" s="18" t="str">
        <f>TEXT('Working Sheet'!$B1257,"mmm")</f>
        <v>Feb</v>
      </c>
      <c r="D1257" s="18" t="s">
        <v>18</v>
      </c>
      <c r="E1257" s="18" t="s">
        <v>32</v>
      </c>
      <c r="F1257" s="18" t="s">
        <v>23</v>
      </c>
      <c r="G1257" s="18" t="s">
        <v>14</v>
      </c>
      <c r="H1257" s="18" t="s">
        <v>38</v>
      </c>
      <c r="I1257" s="18" t="s">
        <v>31</v>
      </c>
      <c r="J1257" s="19">
        <v>420000</v>
      </c>
      <c r="K1257" s="18">
        <v>1</v>
      </c>
      <c r="L1257" s="18" t="s">
        <v>17</v>
      </c>
      <c r="M1257" s="20">
        <f t="shared" si="39"/>
        <v>336000</v>
      </c>
      <c r="N1257" s="20">
        <f>'Working Sheet'!$J1257*'Working Sheet'!$K1257</f>
        <v>420000</v>
      </c>
      <c r="O1257" s="21">
        <f>'Working Sheet'!$M1257*'Working Sheet'!$K1257</f>
        <v>336000</v>
      </c>
      <c r="P1257" s="20">
        <f>'Working Sheet'!$N1257-'Working Sheet'!$O1257</f>
        <v>84000</v>
      </c>
    </row>
    <row r="1258" spans="1:16" ht="14.25" customHeight="1" x14ac:dyDescent="0.25">
      <c r="A1258" s="23" t="str">
        <f t="shared" ca="1" si="38"/>
        <v>ID_1870</v>
      </c>
      <c r="B1258" s="22">
        <v>45754</v>
      </c>
      <c r="C1258" s="23" t="str">
        <f>TEXT('Working Sheet'!$B1258,"mmm")</f>
        <v>Apr</v>
      </c>
      <c r="D1258" s="23" t="s">
        <v>25</v>
      </c>
      <c r="E1258" s="23" t="s">
        <v>26</v>
      </c>
      <c r="F1258" s="23" t="s">
        <v>23</v>
      </c>
      <c r="G1258" s="23" t="s">
        <v>20</v>
      </c>
      <c r="H1258" s="23" t="s">
        <v>21</v>
      </c>
      <c r="I1258" s="23" t="s">
        <v>22</v>
      </c>
      <c r="J1258" s="24">
        <v>30000</v>
      </c>
      <c r="K1258" s="23">
        <v>5</v>
      </c>
      <c r="L1258" s="23" t="s">
        <v>17</v>
      </c>
      <c r="M1258" s="25">
        <f t="shared" si="39"/>
        <v>24000</v>
      </c>
      <c r="N1258" s="25">
        <f>'Working Sheet'!$J1258*'Working Sheet'!$K1258</f>
        <v>150000</v>
      </c>
      <c r="O1258" s="26">
        <f>'Working Sheet'!$M1258*'Working Sheet'!$K1258</f>
        <v>120000</v>
      </c>
      <c r="P1258" s="25">
        <f>'Working Sheet'!$N1258-'Working Sheet'!$O1258</f>
        <v>30000</v>
      </c>
    </row>
    <row r="1259" spans="1:16" ht="14.25" customHeight="1" x14ac:dyDescent="0.25">
      <c r="A1259" s="18" t="str">
        <f t="shared" ca="1" si="38"/>
        <v>ID_42</v>
      </c>
      <c r="B1259" s="17">
        <v>45749</v>
      </c>
      <c r="C1259" s="18" t="str">
        <f>TEXT('Working Sheet'!$B1259,"mmm")</f>
        <v>Apr</v>
      </c>
      <c r="D1259" s="18" t="s">
        <v>11</v>
      </c>
      <c r="E1259" s="18" t="s">
        <v>26</v>
      </c>
      <c r="F1259" s="18" t="s">
        <v>13</v>
      </c>
      <c r="G1259" s="18" t="s">
        <v>14</v>
      </c>
      <c r="H1259" s="18" t="s">
        <v>40</v>
      </c>
      <c r="I1259" s="18" t="s">
        <v>31</v>
      </c>
      <c r="J1259" s="19">
        <v>250000</v>
      </c>
      <c r="K1259" s="18">
        <v>9</v>
      </c>
      <c r="L1259" s="18" t="s">
        <v>35</v>
      </c>
      <c r="M1259" s="20">
        <f t="shared" si="39"/>
        <v>200000</v>
      </c>
      <c r="N1259" s="20">
        <f>'Working Sheet'!$J1259*'Working Sheet'!$K1259</f>
        <v>2250000</v>
      </c>
      <c r="O1259" s="21">
        <f>'Working Sheet'!$M1259*'Working Sheet'!$K1259</f>
        <v>1800000</v>
      </c>
      <c r="P1259" s="20">
        <f>'Working Sheet'!$N1259-'Working Sheet'!$O1259</f>
        <v>450000</v>
      </c>
    </row>
    <row r="1260" spans="1:16" ht="14.25" customHeight="1" x14ac:dyDescent="0.25">
      <c r="A1260" s="23" t="str">
        <f t="shared" ca="1" si="38"/>
        <v>ID_1062</v>
      </c>
      <c r="B1260" s="22">
        <v>45677</v>
      </c>
      <c r="C1260" s="23" t="str">
        <f>TEXT('Working Sheet'!$B1260,"mmm")</f>
        <v>Jan</v>
      </c>
      <c r="D1260" s="23" t="s">
        <v>29</v>
      </c>
      <c r="E1260" s="23" t="s">
        <v>19</v>
      </c>
      <c r="F1260" s="23" t="s">
        <v>23</v>
      </c>
      <c r="G1260" s="23" t="s">
        <v>14</v>
      </c>
      <c r="H1260" s="23" t="s">
        <v>36</v>
      </c>
      <c r="I1260" s="23" t="s">
        <v>31</v>
      </c>
      <c r="J1260" s="24">
        <v>150000</v>
      </c>
      <c r="K1260" s="23">
        <v>3</v>
      </c>
      <c r="L1260" s="23" t="s">
        <v>39</v>
      </c>
      <c r="M1260" s="25">
        <f t="shared" si="39"/>
        <v>120000</v>
      </c>
      <c r="N1260" s="25">
        <f>'Working Sheet'!$J1260*'Working Sheet'!$K1260</f>
        <v>450000</v>
      </c>
      <c r="O1260" s="26">
        <f>'Working Sheet'!$M1260*'Working Sheet'!$K1260</f>
        <v>360000</v>
      </c>
      <c r="P1260" s="25">
        <f>'Working Sheet'!$N1260-'Working Sheet'!$O1260</f>
        <v>90000</v>
      </c>
    </row>
    <row r="1261" spans="1:16" ht="14.25" customHeight="1" x14ac:dyDescent="0.25">
      <c r="A1261" s="18" t="str">
        <f t="shared" ca="1" si="38"/>
        <v>ID_830</v>
      </c>
      <c r="B1261" s="17">
        <v>45676</v>
      </c>
      <c r="C1261" s="18" t="str">
        <f>TEXT('Working Sheet'!$B1261,"mmm")</f>
        <v>Jan</v>
      </c>
      <c r="D1261" s="18" t="s">
        <v>18</v>
      </c>
      <c r="E1261" s="18" t="s">
        <v>19</v>
      </c>
      <c r="F1261" s="18" t="s">
        <v>23</v>
      </c>
      <c r="G1261" s="18" t="s">
        <v>14</v>
      </c>
      <c r="H1261" s="18" t="s">
        <v>30</v>
      </c>
      <c r="I1261" s="18" t="s">
        <v>31</v>
      </c>
      <c r="J1261" s="19">
        <v>300000</v>
      </c>
      <c r="K1261" s="18">
        <v>5</v>
      </c>
      <c r="L1261" s="18" t="s">
        <v>39</v>
      </c>
      <c r="M1261" s="20">
        <f t="shared" si="39"/>
        <v>240000</v>
      </c>
      <c r="N1261" s="20">
        <f>'Working Sheet'!$J1261*'Working Sheet'!$K1261</f>
        <v>1500000</v>
      </c>
      <c r="O1261" s="21">
        <f>'Working Sheet'!$M1261*'Working Sheet'!$K1261</f>
        <v>1200000</v>
      </c>
      <c r="P1261" s="20">
        <f>'Working Sheet'!$N1261-'Working Sheet'!$O1261</f>
        <v>300000</v>
      </c>
    </row>
    <row r="1262" spans="1:16" ht="14.25" customHeight="1" x14ac:dyDescent="0.25">
      <c r="A1262" s="23" t="str">
        <f t="shared" ca="1" si="38"/>
        <v>ID_1158</v>
      </c>
      <c r="B1262" s="22">
        <v>45667</v>
      </c>
      <c r="C1262" s="23" t="str">
        <f>TEXT('Working Sheet'!$B1262,"mmm")</f>
        <v>Jan</v>
      </c>
      <c r="D1262" s="23" t="s">
        <v>11</v>
      </c>
      <c r="E1262" s="23" t="s">
        <v>12</v>
      </c>
      <c r="F1262" s="23" t="s">
        <v>13</v>
      </c>
      <c r="G1262" s="23" t="s">
        <v>20</v>
      </c>
      <c r="H1262" s="23" t="s">
        <v>34</v>
      </c>
      <c r="I1262" s="23" t="s">
        <v>16</v>
      </c>
      <c r="J1262" s="24">
        <v>320000</v>
      </c>
      <c r="K1262" s="23">
        <v>5</v>
      </c>
      <c r="L1262" s="23" t="s">
        <v>17</v>
      </c>
      <c r="M1262" s="25">
        <f t="shared" si="39"/>
        <v>256000</v>
      </c>
      <c r="N1262" s="25">
        <f>'Working Sheet'!$J1262*'Working Sheet'!$K1262</f>
        <v>1600000</v>
      </c>
      <c r="O1262" s="26">
        <f>'Working Sheet'!$M1262*'Working Sheet'!$K1262</f>
        <v>1280000</v>
      </c>
      <c r="P1262" s="25">
        <f>'Working Sheet'!$N1262-'Working Sheet'!$O1262</f>
        <v>320000</v>
      </c>
    </row>
    <row r="1263" spans="1:16" ht="14.25" customHeight="1" x14ac:dyDescent="0.25">
      <c r="A1263" s="18" t="str">
        <f t="shared" ca="1" si="38"/>
        <v>ID_738</v>
      </c>
      <c r="B1263" s="17">
        <v>45659</v>
      </c>
      <c r="C1263" s="18" t="str">
        <f>TEXT('Working Sheet'!$B1263,"mmm")</f>
        <v>Jan</v>
      </c>
      <c r="D1263" s="18" t="s">
        <v>11</v>
      </c>
      <c r="E1263" s="18" t="s">
        <v>32</v>
      </c>
      <c r="F1263" s="18" t="s">
        <v>23</v>
      </c>
      <c r="G1263" s="18" t="s">
        <v>20</v>
      </c>
      <c r="H1263" s="18" t="s">
        <v>15</v>
      </c>
      <c r="I1263" s="18" t="s">
        <v>16</v>
      </c>
      <c r="J1263" s="19">
        <v>85000</v>
      </c>
      <c r="K1263" s="18">
        <v>10</v>
      </c>
      <c r="L1263" s="18" t="s">
        <v>37</v>
      </c>
      <c r="M1263" s="20">
        <f t="shared" si="39"/>
        <v>68000</v>
      </c>
      <c r="N1263" s="20">
        <f>'Working Sheet'!$J1263*'Working Sheet'!$K1263</f>
        <v>850000</v>
      </c>
      <c r="O1263" s="21">
        <f>'Working Sheet'!$M1263*'Working Sheet'!$K1263</f>
        <v>680000</v>
      </c>
      <c r="P1263" s="20">
        <f>'Working Sheet'!$N1263-'Working Sheet'!$O1263</f>
        <v>170000</v>
      </c>
    </row>
    <row r="1264" spans="1:16" ht="14.25" customHeight="1" x14ac:dyDescent="0.25">
      <c r="A1264" s="23" t="str">
        <f t="shared" ca="1" si="38"/>
        <v>ID_432</v>
      </c>
      <c r="B1264" s="22">
        <v>45681</v>
      </c>
      <c r="C1264" s="23" t="str">
        <f>TEXT('Working Sheet'!$B1264,"mmm")</f>
        <v>Jan</v>
      </c>
      <c r="D1264" s="23" t="s">
        <v>11</v>
      </c>
      <c r="E1264" s="23" t="s">
        <v>19</v>
      </c>
      <c r="F1264" s="23" t="s">
        <v>13</v>
      </c>
      <c r="G1264" s="23" t="s">
        <v>20</v>
      </c>
      <c r="H1264" s="23" t="s">
        <v>33</v>
      </c>
      <c r="I1264" s="23" t="s">
        <v>22</v>
      </c>
      <c r="J1264" s="24">
        <v>180000</v>
      </c>
      <c r="K1264" s="23">
        <v>3</v>
      </c>
      <c r="L1264" s="23" t="s">
        <v>37</v>
      </c>
      <c r="M1264" s="25">
        <f t="shared" si="39"/>
        <v>144000</v>
      </c>
      <c r="N1264" s="25">
        <f>'Working Sheet'!$J1264*'Working Sheet'!$K1264</f>
        <v>540000</v>
      </c>
      <c r="O1264" s="26">
        <f>'Working Sheet'!$M1264*'Working Sheet'!$K1264</f>
        <v>432000</v>
      </c>
      <c r="P1264" s="25">
        <f>'Working Sheet'!$N1264-'Working Sheet'!$O1264</f>
        <v>108000</v>
      </c>
    </row>
    <row r="1265" spans="1:16" ht="14.25" customHeight="1" x14ac:dyDescent="0.25">
      <c r="A1265" s="18" t="str">
        <f t="shared" ca="1" si="38"/>
        <v>ID_1561</v>
      </c>
      <c r="B1265" s="17">
        <v>45718</v>
      </c>
      <c r="C1265" s="18" t="str">
        <f>TEXT('Working Sheet'!$B1265,"mmm")</f>
        <v>Mar</v>
      </c>
      <c r="D1265" s="18" t="s">
        <v>18</v>
      </c>
      <c r="E1265" s="18" t="s">
        <v>32</v>
      </c>
      <c r="F1265" s="18" t="s">
        <v>23</v>
      </c>
      <c r="G1265" s="18" t="s">
        <v>20</v>
      </c>
      <c r="H1265" s="18" t="s">
        <v>21</v>
      </c>
      <c r="I1265" s="18" t="s">
        <v>22</v>
      </c>
      <c r="J1265" s="19">
        <v>30000</v>
      </c>
      <c r="K1265" s="18">
        <v>3</v>
      </c>
      <c r="L1265" s="18" t="s">
        <v>39</v>
      </c>
      <c r="M1265" s="20">
        <f t="shared" si="39"/>
        <v>24000</v>
      </c>
      <c r="N1265" s="20">
        <f>'Working Sheet'!$J1265*'Working Sheet'!$K1265</f>
        <v>90000</v>
      </c>
      <c r="O1265" s="21">
        <f>'Working Sheet'!$M1265*'Working Sheet'!$K1265</f>
        <v>72000</v>
      </c>
      <c r="P1265" s="20">
        <f>'Working Sheet'!$N1265-'Working Sheet'!$O1265</f>
        <v>18000</v>
      </c>
    </row>
    <row r="1266" spans="1:16" ht="14.25" customHeight="1" x14ac:dyDescent="0.25">
      <c r="A1266" s="23" t="str">
        <f t="shared" ca="1" si="38"/>
        <v>ID_1641</v>
      </c>
      <c r="B1266" s="22">
        <v>45660</v>
      </c>
      <c r="C1266" s="23" t="str">
        <f>TEXT('Working Sheet'!$B1266,"mmm")</f>
        <v>Jan</v>
      </c>
      <c r="D1266" s="23" t="s">
        <v>29</v>
      </c>
      <c r="E1266" s="23" t="s">
        <v>19</v>
      </c>
      <c r="F1266" s="23" t="s">
        <v>13</v>
      </c>
      <c r="G1266" s="23" t="s">
        <v>20</v>
      </c>
      <c r="H1266" s="23" t="s">
        <v>36</v>
      </c>
      <c r="I1266" s="23" t="s">
        <v>31</v>
      </c>
      <c r="J1266" s="24">
        <v>150000</v>
      </c>
      <c r="K1266" s="23">
        <v>5</v>
      </c>
      <c r="L1266" s="23" t="s">
        <v>37</v>
      </c>
      <c r="M1266" s="25">
        <f t="shared" si="39"/>
        <v>120000</v>
      </c>
      <c r="N1266" s="25">
        <f>'Working Sheet'!$J1266*'Working Sheet'!$K1266</f>
        <v>750000</v>
      </c>
      <c r="O1266" s="26">
        <f>'Working Sheet'!$M1266*'Working Sheet'!$K1266</f>
        <v>600000</v>
      </c>
      <c r="P1266" s="25">
        <f>'Working Sheet'!$N1266-'Working Sheet'!$O1266</f>
        <v>150000</v>
      </c>
    </row>
    <row r="1267" spans="1:16" ht="14.25" customHeight="1" x14ac:dyDescent="0.25">
      <c r="A1267" s="18" t="str">
        <f t="shared" ca="1" si="38"/>
        <v>ID_675</v>
      </c>
      <c r="B1267" s="17">
        <v>45716</v>
      </c>
      <c r="C1267" s="18" t="str">
        <f>TEXT('Working Sheet'!$B1267,"mmm")</f>
        <v>Feb</v>
      </c>
      <c r="D1267" s="18" t="s">
        <v>29</v>
      </c>
      <c r="E1267" s="18" t="s">
        <v>26</v>
      </c>
      <c r="F1267" s="18" t="s">
        <v>13</v>
      </c>
      <c r="G1267" s="18" t="s">
        <v>14</v>
      </c>
      <c r="H1267" s="18" t="s">
        <v>30</v>
      </c>
      <c r="I1267" s="18" t="s">
        <v>31</v>
      </c>
      <c r="J1267" s="19">
        <v>300000</v>
      </c>
      <c r="K1267" s="18">
        <v>4</v>
      </c>
      <c r="L1267" s="18" t="s">
        <v>35</v>
      </c>
      <c r="M1267" s="20">
        <f t="shared" si="39"/>
        <v>240000</v>
      </c>
      <c r="N1267" s="20">
        <f>'Working Sheet'!$J1267*'Working Sheet'!$K1267</f>
        <v>1200000</v>
      </c>
      <c r="O1267" s="21">
        <f>'Working Sheet'!$M1267*'Working Sheet'!$K1267</f>
        <v>960000</v>
      </c>
      <c r="P1267" s="20">
        <f>'Working Sheet'!$N1267-'Working Sheet'!$O1267</f>
        <v>240000</v>
      </c>
    </row>
    <row r="1268" spans="1:16" ht="14.25" customHeight="1" x14ac:dyDescent="0.25">
      <c r="A1268" s="23" t="str">
        <f t="shared" ca="1" si="38"/>
        <v>ID_804</v>
      </c>
      <c r="B1268" s="22">
        <v>45686</v>
      </c>
      <c r="C1268" s="23" t="str">
        <f>TEXT('Working Sheet'!$B1268,"mmm")</f>
        <v>Jan</v>
      </c>
      <c r="D1268" s="23" t="s">
        <v>18</v>
      </c>
      <c r="E1268" s="23" t="s">
        <v>26</v>
      </c>
      <c r="F1268" s="23" t="s">
        <v>23</v>
      </c>
      <c r="G1268" s="23" t="s">
        <v>20</v>
      </c>
      <c r="H1268" s="23" t="s">
        <v>21</v>
      </c>
      <c r="I1268" s="23" t="s">
        <v>22</v>
      </c>
      <c r="J1268" s="24">
        <v>30000</v>
      </c>
      <c r="K1268" s="23">
        <v>8</v>
      </c>
      <c r="L1268" s="23" t="s">
        <v>37</v>
      </c>
      <c r="M1268" s="25">
        <f t="shared" si="39"/>
        <v>24000</v>
      </c>
      <c r="N1268" s="25">
        <f>'Working Sheet'!$J1268*'Working Sheet'!$K1268</f>
        <v>240000</v>
      </c>
      <c r="O1268" s="26">
        <f>'Working Sheet'!$M1268*'Working Sheet'!$K1268</f>
        <v>192000</v>
      </c>
      <c r="P1268" s="25">
        <f>'Working Sheet'!$N1268-'Working Sheet'!$O1268</f>
        <v>48000</v>
      </c>
    </row>
    <row r="1269" spans="1:16" ht="14.25" customHeight="1" x14ac:dyDescent="0.25">
      <c r="A1269" s="18" t="str">
        <f t="shared" ca="1" si="38"/>
        <v>ID_1242</v>
      </c>
      <c r="B1269" s="17">
        <v>45714</v>
      </c>
      <c r="C1269" s="18" t="str">
        <f>TEXT('Working Sheet'!$B1269,"mmm")</f>
        <v>Feb</v>
      </c>
      <c r="D1269" s="18" t="s">
        <v>11</v>
      </c>
      <c r="E1269" s="18" t="s">
        <v>12</v>
      </c>
      <c r="F1269" s="18" t="s">
        <v>13</v>
      </c>
      <c r="G1269" s="18" t="s">
        <v>20</v>
      </c>
      <c r="H1269" s="18" t="s">
        <v>41</v>
      </c>
      <c r="I1269" s="18" t="s">
        <v>22</v>
      </c>
      <c r="J1269" s="19">
        <v>220000</v>
      </c>
      <c r="K1269" s="18">
        <v>10</v>
      </c>
      <c r="L1269" s="18" t="s">
        <v>24</v>
      </c>
      <c r="M1269" s="20">
        <f t="shared" si="39"/>
        <v>176000</v>
      </c>
      <c r="N1269" s="20">
        <f>'Working Sheet'!$J1269*'Working Sheet'!$K1269</f>
        <v>2200000</v>
      </c>
      <c r="O1269" s="21">
        <f>'Working Sheet'!$M1269*'Working Sheet'!$K1269</f>
        <v>1760000</v>
      </c>
      <c r="P1269" s="20">
        <f>'Working Sheet'!$N1269-'Working Sheet'!$O1269</f>
        <v>440000</v>
      </c>
    </row>
    <row r="1270" spans="1:16" ht="14.25" customHeight="1" x14ac:dyDescent="0.25">
      <c r="A1270" s="23" t="str">
        <f t="shared" ca="1" si="38"/>
        <v>ID_1046</v>
      </c>
      <c r="B1270" s="22">
        <v>45725</v>
      </c>
      <c r="C1270" s="23" t="str">
        <f>TEXT('Working Sheet'!$B1270,"mmm")</f>
        <v>Mar</v>
      </c>
      <c r="D1270" s="23" t="s">
        <v>25</v>
      </c>
      <c r="E1270" s="23" t="s">
        <v>26</v>
      </c>
      <c r="F1270" s="23" t="s">
        <v>13</v>
      </c>
      <c r="G1270" s="23" t="s">
        <v>14</v>
      </c>
      <c r="H1270" s="23" t="s">
        <v>21</v>
      </c>
      <c r="I1270" s="23" t="s">
        <v>22</v>
      </c>
      <c r="J1270" s="24">
        <v>30000</v>
      </c>
      <c r="K1270" s="23">
        <v>10</v>
      </c>
      <c r="L1270" s="23" t="s">
        <v>28</v>
      </c>
      <c r="M1270" s="25">
        <f t="shared" si="39"/>
        <v>24000</v>
      </c>
      <c r="N1270" s="25">
        <f>'Working Sheet'!$J1270*'Working Sheet'!$K1270</f>
        <v>300000</v>
      </c>
      <c r="O1270" s="26">
        <f>'Working Sheet'!$M1270*'Working Sheet'!$K1270</f>
        <v>240000</v>
      </c>
      <c r="P1270" s="25">
        <f>'Working Sheet'!$N1270-'Working Sheet'!$O1270</f>
        <v>60000</v>
      </c>
    </row>
    <row r="1271" spans="1:16" ht="14.25" customHeight="1" x14ac:dyDescent="0.25">
      <c r="A1271" s="18" t="str">
        <f t="shared" ca="1" si="38"/>
        <v>ID_488</v>
      </c>
      <c r="B1271" s="17">
        <v>45772</v>
      </c>
      <c r="C1271" s="18" t="str">
        <f>TEXT('Working Sheet'!$B1271,"mmm")</f>
        <v>Apr</v>
      </c>
      <c r="D1271" s="18" t="s">
        <v>18</v>
      </c>
      <c r="E1271" s="18" t="s">
        <v>19</v>
      </c>
      <c r="F1271" s="18" t="s">
        <v>23</v>
      </c>
      <c r="G1271" s="18" t="s">
        <v>20</v>
      </c>
      <c r="H1271" s="18" t="s">
        <v>40</v>
      </c>
      <c r="I1271" s="18" t="s">
        <v>31</v>
      </c>
      <c r="J1271" s="19">
        <v>250000</v>
      </c>
      <c r="K1271" s="18">
        <v>5</v>
      </c>
      <c r="L1271" s="18" t="s">
        <v>17</v>
      </c>
      <c r="M1271" s="20">
        <f t="shared" si="39"/>
        <v>200000</v>
      </c>
      <c r="N1271" s="20">
        <f>'Working Sheet'!$J1271*'Working Sheet'!$K1271</f>
        <v>1250000</v>
      </c>
      <c r="O1271" s="21">
        <f>'Working Sheet'!$M1271*'Working Sheet'!$K1271</f>
        <v>1000000</v>
      </c>
      <c r="P1271" s="20">
        <f>'Working Sheet'!$N1271-'Working Sheet'!$O1271</f>
        <v>250000</v>
      </c>
    </row>
    <row r="1272" spans="1:16" ht="14.25" customHeight="1" x14ac:dyDescent="0.25">
      <c r="A1272" s="23" t="str">
        <f t="shared" ca="1" si="38"/>
        <v>ID_427</v>
      </c>
      <c r="B1272" s="22">
        <v>45696</v>
      </c>
      <c r="C1272" s="23" t="str">
        <f>TEXT('Working Sheet'!$B1272,"mmm")</f>
        <v>Feb</v>
      </c>
      <c r="D1272" s="23" t="s">
        <v>25</v>
      </c>
      <c r="E1272" s="23" t="s">
        <v>19</v>
      </c>
      <c r="F1272" s="23" t="s">
        <v>23</v>
      </c>
      <c r="G1272" s="23" t="s">
        <v>20</v>
      </c>
      <c r="H1272" s="23" t="s">
        <v>36</v>
      </c>
      <c r="I1272" s="23" t="s">
        <v>31</v>
      </c>
      <c r="J1272" s="24">
        <v>150000</v>
      </c>
      <c r="K1272" s="23">
        <v>8</v>
      </c>
      <c r="L1272" s="23" t="s">
        <v>17</v>
      </c>
      <c r="M1272" s="25">
        <f t="shared" si="39"/>
        <v>120000</v>
      </c>
      <c r="N1272" s="25">
        <f>'Working Sheet'!$J1272*'Working Sheet'!$K1272</f>
        <v>1200000</v>
      </c>
      <c r="O1272" s="26">
        <f>'Working Sheet'!$M1272*'Working Sheet'!$K1272</f>
        <v>960000</v>
      </c>
      <c r="P1272" s="25">
        <f>'Working Sheet'!$N1272-'Working Sheet'!$O1272</f>
        <v>240000</v>
      </c>
    </row>
    <row r="1273" spans="1:16" ht="14.25" customHeight="1" x14ac:dyDescent="0.25">
      <c r="A1273" s="18" t="str">
        <f t="shared" ca="1" si="38"/>
        <v>ID_1543</v>
      </c>
      <c r="B1273" s="17">
        <v>45775</v>
      </c>
      <c r="C1273" s="18" t="str">
        <f>TEXT('Working Sheet'!$B1273,"mmm")</f>
        <v>Apr</v>
      </c>
      <c r="D1273" s="18" t="s">
        <v>25</v>
      </c>
      <c r="E1273" s="18" t="s">
        <v>12</v>
      </c>
      <c r="F1273" s="18" t="s">
        <v>13</v>
      </c>
      <c r="G1273" s="18" t="s">
        <v>20</v>
      </c>
      <c r="H1273" s="18" t="s">
        <v>15</v>
      </c>
      <c r="I1273" s="18" t="s">
        <v>16</v>
      </c>
      <c r="J1273" s="19">
        <v>85000</v>
      </c>
      <c r="K1273" s="18">
        <v>1</v>
      </c>
      <c r="L1273" s="18" t="s">
        <v>17</v>
      </c>
      <c r="M1273" s="20">
        <f t="shared" si="39"/>
        <v>68000</v>
      </c>
      <c r="N1273" s="20">
        <f>'Working Sheet'!$J1273*'Working Sheet'!$K1273</f>
        <v>85000</v>
      </c>
      <c r="O1273" s="21">
        <f>'Working Sheet'!$M1273*'Working Sheet'!$K1273</f>
        <v>68000</v>
      </c>
      <c r="P1273" s="20">
        <f>'Working Sheet'!$N1273-'Working Sheet'!$O1273</f>
        <v>17000</v>
      </c>
    </row>
    <row r="1274" spans="1:16" ht="14.25" customHeight="1" x14ac:dyDescent="0.25">
      <c r="A1274" s="23" t="str">
        <f t="shared" ca="1" si="38"/>
        <v>ID_496</v>
      </c>
      <c r="B1274" s="22">
        <v>45778</v>
      </c>
      <c r="C1274" s="23" t="str">
        <f>TEXT('Working Sheet'!$B1274,"mmm")</f>
        <v>May</v>
      </c>
      <c r="D1274" s="23" t="s">
        <v>18</v>
      </c>
      <c r="E1274" s="23" t="s">
        <v>26</v>
      </c>
      <c r="F1274" s="23" t="s">
        <v>13</v>
      </c>
      <c r="G1274" s="23" t="s">
        <v>14</v>
      </c>
      <c r="H1274" s="23" t="s">
        <v>41</v>
      </c>
      <c r="I1274" s="23" t="s">
        <v>22</v>
      </c>
      <c r="J1274" s="24">
        <v>220000</v>
      </c>
      <c r="K1274" s="23">
        <v>2</v>
      </c>
      <c r="L1274" s="23" t="s">
        <v>37</v>
      </c>
      <c r="M1274" s="25">
        <f t="shared" si="39"/>
        <v>176000</v>
      </c>
      <c r="N1274" s="25">
        <f>'Working Sheet'!$J1274*'Working Sheet'!$K1274</f>
        <v>440000</v>
      </c>
      <c r="O1274" s="26">
        <f>'Working Sheet'!$M1274*'Working Sheet'!$K1274</f>
        <v>352000</v>
      </c>
      <c r="P1274" s="25">
        <f>'Working Sheet'!$N1274-'Working Sheet'!$O1274</f>
        <v>88000</v>
      </c>
    </row>
    <row r="1275" spans="1:16" ht="14.25" customHeight="1" x14ac:dyDescent="0.25">
      <c r="A1275" s="18" t="str">
        <f t="shared" ca="1" si="38"/>
        <v>ID_890</v>
      </c>
      <c r="B1275" s="17">
        <v>45685</v>
      </c>
      <c r="C1275" s="18" t="str">
        <f>TEXT('Working Sheet'!$B1275,"mmm")</f>
        <v>Jan</v>
      </c>
      <c r="D1275" s="18" t="s">
        <v>25</v>
      </c>
      <c r="E1275" s="18" t="s">
        <v>19</v>
      </c>
      <c r="F1275" s="18" t="s">
        <v>23</v>
      </c>
      <c r="G1275" s="18" t="s">
        <v>14</v>
      </c>
      <c r="H1275" s="18" t="s">
        <v>27</v>
      </c>
      <c r="I1275" s="18" t="s">
        <v>22</v>
      </c>
      <c r="J1275" s="19">
        <v>60000</v>
      </c>
      <c r="K1275" s="18">
        <v>9</v>
      </c>
      <c r="L1275" s="18" t="s">
        <v>28</v>
      </c>
      <c r="M1275" s="20">
        <f t="shared" si="39"/>
        <v>48000</v>
      </c>
      <c r="N1275" s="20">
        <f>'Working Sheet'!$J1275*'Working Sheet'!$K1275</f>
        <v>540000</v>
      </c>
      <c r="O1275" s="21">
        <f>'Working Sheet'!$M1275*'Working Sheet'!$K1275</f>
        <v>432000</v>
      </c>
      <c r="P1275" s="20">
        <f>'Working Sheet'!$N1275-'Working Sheet'!$O1275</f>
        <v>108000</v>
      </c>
    </row>
    <row r="1276" spans="1:16" ht="14.25" customHeight="1" x14ac:dyDescent="0.25">
      <c r="A1276" s="23" t="str">
        <f t="shared" ca="1" si="38"/>
        <v>ID_792</v>
      </c>
      <c r="B1276" s="22">
        <v>45705</v>
      </c>
      <c r="C1276" s="23" t="str">
        <f>TEXT('Working Sheet'!$B1276,"mmm")</f>
        <v>Feb</v>
      </c>
      <c r="D1276" s="23" t="s">
        <v>29</v>
      </c>
      <c r="E1276" s="23" t="s">
        <v>26</v>
      </c>
      <c r="F1276" s="23" t="s">
        <v>13</v>
      </c>
      <c r="G1276" s="23" t="s">
        <v>14</v>
      </c>
      <c r="H1276" s="23" t="s">
        <v>40</v>
      </c>
      <c r="I1276" s="23" t="s">
        <v>31</v>
      </c>
      <c r="J1276" s="24">
        <v>250000</v>
      </c>
      <c r="K1276" s="23">
        <v>9</v>
      </c>
      <c r="L1276" s="23" t="s">
        <v>35</v>
      </c>
      <c r="M1276" s="25">
        <f t="shared" si="39"/>
        <v>200000</v>
      </c>
      <c r="N1276" s="25">
        <f>'Working Sheet'!$J1276*'Working Sheet'!$K1276</f>
        <v>2250000</v>
      </c>
      <c r="O1276" s="26">
        <f>'Working Sheet'!$M1276*'Working Sheet'!$K1276</f>
        <v>1800000</v>
      </c>
      <c r="P1276" s="25">
        <f>'Working Sheet'!$N1276-'Working Sheet'!$O1276</f>
        <v>450000</v>
      </c>
    </row>
    <row r="1277" spans="1:16" ht="14.25" customHeight="1" x14ac:dyDescent="0.25">
      <c r="A1277" s="18" t="str">
        <f t="shared" ca="1" si="38"/>
        <v>ID_1168</v>
      </c>
      <c r="B1277" s="17">
        <v>45741</v>
      </c>
      <c r="C1277" s="18" t="str">
        <f>TEXT('Working Sheet'!$B1277,"mmm")</f>
        <v>Mar</v>
      </c>
      <c r="D1277" s="18" t="s">
        <v>18</v>
      </c>
      <c r="E1277" s="18" t="s">
        <v>12</v>
      </c>
      <c r="F1277" s="18" t="s">
        <v>13</v>
      </c>
      <c r="G1277" s="18" t="s">
        <v>20</v>
      </c>
      <c r="H1277" s="18" t="s">
        <v>15</v>
      </c>
      <c r="I1277" s="18" t="s">
        <v>16</v>
      </c>
      <c r="J1277" s="19">
        <v>85000</v>
      </c>
      <c r="K1277" s="18">
        <v>7</v>
      </c>
      <c r="L1277" s="18" t="s">
        <v>37</v>
      </c>
      <c r="M1277" s="20">
        <f t="shared" si="39"/>
        <v>68000</v>
      </c>
      <c r="N1277" s="20">
        <f>'Working Sheet'!$J1277*'Working Sheet'!$K1277</f>
        <v>595000</v>
      </c>
      <c r="O1277" s="21">
        <f>'Working Sheet'!$M1277*'Working Sheet'!$K1277</f>
        <v>476000</v>
      </c>
      <c r="P1277" s="20">
        <f>'Working Sheet'!$N1277-'Working Sheet'!$O1277</f>
        <v>119000</v>
      </c>
    </row>
    <row r="1278" spans="1:16" ht="14.25" customHeight="1" x14ac:dyDescent="0.25">
      <c r="A1278" s="23" t="str">
        <f t="shared" ca="1" si="38"/>
        <v>ID_1980</v>
      </c>
      <c r="B1278" s="22">
        <v>45773</v>
      </c>
      <c r="C1278" s="23" t="str">
        <f>TEXT('Working Sheet'!$B1278,"mmm")</f>
        <v>Apr</v>
      </c>
      <c r="D1278" s="23" t="s">
        <v>25</v>
      </c>
      <c r="E1278" s="23" t="s">
        <v>26</v>
      </c>
      <c r="F1278" s="23" t="s">
        <v>13</v>
      </c>
      <c r="G1278" s="23" t="s">
        <v>20</v>
      </c>
      <c r="H1278" s="23" t="s">
        <v>36</v>
      </c>
      <c r="I1278" s="23" t="s">
        <v>31</v>
      </c>
      <c r="J1278" s="24">
        <v>150000</v>
      </c>
      <c r="K1278" s="23">
        <v>7</v>
      </c>
      <c r="L1278" s="23" t="s">
        <v>35</v>
      </c>
      <c r="M1278" s="25">
        <f t="shared" si="39"/>
        <v>120000</v>
      </c>
      <c r="N1278" s="25">
        <f>'Working Sheet'!$J1278*'Working Sheet'!$K1278</f>
        <v>1050000</v>
      </c>
      <c r="O1278" s="26">
        <f>'Working Sheet'!$M1278*'Working Sheet'!$K1278</f>
        <v>840000</v>
      </c>
      <c r="P1278" s="25">
        <f>'Working Sheet'!$N1278-'Working Sheet'!$O1278</f>
        <v>210000</v>
      </c>
    </row>
    <row r="1279" spans="1:16" ht="14.25" customHeight="1" x14ac:dyDescent="0.25">
      <c r="A1279" s="18" t="str">
        <f t="shared" ca="1" si="38"/>
        <v>ID_1297</v>
      </c>
      <c r="B1279" s="17">
        <v>45714</v>
      </c>
      <c r="C1279" s="18" t="str">
        <f>TEXT('Working Sheet'!$B1279,"mmm")</f>
        <v>Feb</v>
      </c>
      <c r="D1279" s="18" t="s">
        <v>18</v>
      </c>
      <c r="E1279" s="18" t="s">
        <v>26</v>
      </c>
      <c r="F1279" s="18" t="s">
        <v>23</v>
      </c>
      <c r="G1279" s="18" t="s">
        <v>14</v>
      </c>
      <c r="H1279" s="18" t="s">
        <v>21</v>
      </c>
      <c r="I1279" s="18" t="s">
        <v>22</v>
      </c>
      <c r="J1279" s="19">
        <v>30000</v>
      </c>
      <c r="K1279" s="18">
        <v>3</v>
      </c>
      <c r="L1279" s="18" t="s">
        <v>24</v>
      </c>
      <c r="M1279" s="20">
        <f t="shared" si="39"/>
        <v>24000</v>
      </c>
      <c r="N1279" s="20">
        <f>'Working Sheet'!$J1279*'Working Sheet'!$K1279</f>
        <v>90000</v>
      </c>
      <c r="O1279" s="21">
        <f>'Working Sheet'!$M1279*'Working Sheet'!$K1279</f>
        <v>72000</v>
      </c>
      <c r="P1279" s="20">
        <f>'Working Sheet'!$N1279-'Working Sheet'!$O1279</f>
        <v>18000</v>
      </c>
    </row>
    <row r="1280" spans="1:16" ht="14.25" customHeight="1" x14ac:dyDescent="0.25">
      <c r="A1280" s="23" t="str">
        <f t="shared" ca="1" si="38"/>
        <v>ID_1256</v>
      </c>
      <c r="B1280" s="22">
        <v>45770</v>
      </c>
      <c r="C1280" s="23" t="str">
        <f>TEXT('Working Sheet'!$B1280,"mmm")</f>
        <v>Apr</v>
      </c>
      <c r="D1280" s="23" t="s">
        <v>18</v>
      </c>
      <c r="E1280" s="23" t="s">
        <v>26</v>
      </c>
      <c r="F1280" s="23" t="s">
        <v>23</v>
      </c>
      <c r="G1280" s="23" t="s">
        <v>20</v>
      </c>
      <c r="H1280" s="23" t="s">
        <v>21</v>
      </c>
      <c r="I1280" s="23" t="s">
        <v>22</v>
      </c>
      <c r="J1280" s="24">
        <v>30000</v>
      </c>
      <c r="K1280" s="23">
        <v>3</v>
      </c>
      <c r="L1280" s="23" t="s">
        <v>39</v>
      </c>
      <c r="M1280" s="25">
        <f t="shared" si="39"/>
        <v>24000</v>
      </c>
      <c r="N1280" s="25">
        <f>'Working Sheet'!$J1280*'Working Sheet'!$K1280</f>
        <v>90000</v>
      </c>
      <c r="O1280" s="26">
        <f>'Working Sheet'!$M1280*'Working Sheet'!$K1280</f>
        <v>72000</v>
      </c>
      <c r="P1280" s="25">
        <f>'Working Sheet'!$N1280-'Working Sheet'!$O1280</f>
        <v>18000</v>
      </c>
    </row>
    <row r="1281" spans="1:16" ht="14.25" customHeight="1" x14ac:dyDescent="0.25">
      <c r="A1281" s="18" t="str">
        <f t="shared" ca="1" si="38"/>
        <v>ID_668</v>
      </c>
      <c r="B1281" s="17">
        <v>45711</v>
      </c>
      <c r="C1281" s="18" t="str">
        <f>TEXT('Working Sheet'!$B1281,"mmm")</f>
        <v>Feb</v>
      </c>
      <c r="D1281" s="18" t="s">
        <v>29</v>
      </c>
      <c r="E1281" s="18" t="s">
        <v>32</v>
      </c>
      <c r="F1281" s="18" t="s">
        <v>13</v>
      </c>
      <c r="G1281" s="18" t="s">
        <v>14</v>
      </c>
      <c r="H1281" s="18" t="s">
        <v>21</v>
      </c>
      <c r="I1281" s="18" t="s">
        <v>22</v>
      </c>
      <c r="J1281" s="19">
        <v>30000</v>
      </c>
      <c r="K1281" s="18">
        <v>4</v>
      </c>
      <c r="L1281" s="18" t="s">
        <v>37</v>
      </c>
      <c r="M1281" s="20">
        <f t="shared" si="39"/>
        <v>24000</v>
      </c>
      <c r="N1281" s="20">
        <f>'Working Sheet'!$J1281*'Working Sheet'!$K1281</f>
        <v>120000</v>
      </c>
      <c r="O1281" s="21">
        <f>'Working Sheet'!$M1281*'Working Sheet'!$K1281</f>
        <v>96000</v>
      </c>
      <c r="P1281" s="20">
        <f>'Working Sheet'!$N1281-'Working Sheet'!$O1281</f>
        <v>24000</v>
      </c>
    </row>
    <row r="1282" spans="1:16" ht="14.25" customHeight="1" x14ac:dyDescent="0.25">
      <c r="A1282" s="23" t="str">
        <f t="shared" ref="A1282:A1345" ca="1" si="40">"ID_"&amp; RANDBETWEEN(1,2098)</f>
        <v>ID_375</v>
      </c>
      <c r="B1282" s="22">
        <v>45769</v>
      </c>
      <c r="C1282" s="23" t="str">
        <f>TEXT('Working Sheet'!$B1282,"mmm")</f>
        <v>Apr</v>
      </c>
      <c r="D1282" s="23" t="s">
        <v>25</v>
      </c>
      <c r="E1282" s="23" t="s">
        <v>19</v>
      </c>
      <c r="F1282" s="23" t="s">
        <v>13</v>
      </c>
      <c r="G1282" s="23" t="s">
        <v>20</v>
      </c>
      <c r="H1282" s="23" t="s">
        <v>27</v>
      </c>
      <c r="I1282" s="23" t="s">
        <v>22</v>
      </c>
      <c r="J1282" s="24">
        <v>60000</v>
      </c>
      <c r="K1282" s="23">
        <v>9</v>
      </c>
      <c r="L1282" s="23" t="s">
        <v>24</v>
      </c>
      <c r="M1282" s="25">
        <f t="shared" ref="M1282:M1345" si="41">J1282-J1282*0.2</f>
        <v>48000</v>
      </c>
      <c r="N1282" s="25">
        <f>'Working Sheet'!$J1282*'Working Sheet'!$K1282</f>
        <v>540000</v>
      </c>
      <c r="O1282" s="26">
        <f>'Working Sheet'!$M1282*'Working Sheet'!$K1282</f>
        <v>432000</v>
      </c>
      <c r="P1282" s="25">
        <f>'Working Sheet'!$N1282-'Working Sheet'!$O1282</f>
        <v>108000</v>
      </c>
    </row>
    <row r="1283" spans="1:16" ht="14.25" customHeight="1" x14ac:dyDescent="0.25">
      <c r="A1283" s="18" t="str">
        <f t="shared" ca="1" si="40"/>
        <v>ID_1530</v>
      </c>
      <c r="B1283" s="17">
        <v>45684</v>
      </c>
      <c r="C1283" s="18" t="str">
        <f>TEXT('Working Sheet'!$B1283,"mmm")</f>
        <v>Jan</v>
      </c>
      <c r="D1283" s="18" t="s">
        <v>25</v>
      </c>
      <c r="E1283" s="18" t="s">
        <v>32</v>
      </c>
      <c r="F1283" s="18" t="s">
        <v>23</v>
      </c>
      <c r="G1283" s="18" t="s">
        <v>14</v>
      </c>
      <c r="H1283" s="18" t="s">
        <v>27</v>
      </c>
      <c r="I1283" s="18" t="s">
        <v>22</v>
      </c>
      <c r="J1283" s="19">
        <v>60000</v>
      </c>
      <c r="K1283" s="18">
        <v>9</v>
      </c>
      <c r="L1283" s="18" t="s">
        <v>35</v>
      </c>
      <c r="M1283" s="20">
        <f t="shared" si="41"/>
        <v>48000</v>
      </c>
      <c r="N1283" s="20">
        <f>'Working Sheet'!$J1283*'Working Sheet'!$K1283</f>
        <v>540000</v>
      </c>
      <c r="O1283" s="21">
        <f>'Working Sheet'!$M1283*'Working Sheet'!$K1283</f>
        <v>432000</v>
      </c>
      <c r="P1283" s="20">
        <f>'Working Sheet'!$N1283-'Working Sheet'!$O1283</f>
        <v>108000</v>
      </c>
    </row>
    <row r="1284" spans="1:16" ht="14.25" customHeight="1" x14ac:dyDescent="0.25">
      <c r="A1284" s="23" t="str">
        <f t="shared" ca="1" si="40"/>
        <v>ID_672</v>
      </c>
      <c r="B1284" s="22">
        <v>45747</v>
      </c>
      <c r="C1284" s="23" t="str">
        <f>TEXT('Working Sheet'!$B1284,"mmm")</f>
        <v>Mar</v>
      </c>
      <c r="D1284" s="23" t="s">
        <v>25</v>
      </c>
      <c r="E1284" s="23" t="s">
        <v>12</v>
      </c>
      <c r="F1284" s="23" t="s">
        <v>23</v>
      </c>
      <c r="G1284" s="23" t="s">
        <v>14</v>
      </c>
      <c r="H1284" s="23" t="s">
        <v>38</v>
      </c>
      <c r="I1284" s="23" t="s">
        <v>31</v>
      </c>
      <c r="J1284" s="24">
        <v>420000</v>
      </c>
      <c r="K1284" s="23">
        <v>2</v>
      </c>
      <c r="L1284" s="23" t="s">
        <v>28</v>
      </c>
      <c r="M1284" s="25">
        <f t="shared" si="41"/>
        <v>336000</v>
      </c>
      <c r="N1284" s="25">
        <f>'Working Sheet'!$J1284*'Working Sheet'!$K1284</f>
        <v>840000</v>
      </c>
      <c r="O1284" s="26">
        <f>'Working Sheet'!$M1284*'Working Sheet'!$K1284</f>
        <v>672000</v>
      </c>
      <c r="P1284" s="25">
        <f>'Working Sheet'!$N1284-'Working Sheet'!$O1284</f>
        <v>168000</v>
      </c>
    </row>
    <row r="1285" spans="1:16" ht="14.25" customHeight="1" x14ac:dyDescent="0.25">
      <c r="A1285" s="18" t="str">
        <f t="shared" ca="1" si="40"/>
        <v>ID_658</v>
      </c>
      <c r="B1285" s="17">
        <v>45727</v>
      </c>
      <c r="C1285" s="18" t="str">
        <f>TEXT('Working Sheet'!$B1285,"mmm")</f>
        <v>Mar</v>
      </c>
      <c r="D1285" s="18" t="s">
        <v>29</v>
      </c>
      <c r="E1285" s="18" t="s">
        <v>26</v>
      </c>
      <c r="F1285" s="18" t="s">
        <v>13</v>
      </c>
      <c r="G1285" s="18" t="s">
        <v>20</v>
      </c>
      <c r="H1285" s="18" t="s">
        <v>34</v>
      </c>
      <c r="I1285" s="18" t="s">
        <v>16</v>
      </c>
      <c r="J1285" s="19">
        <v>320000</v>
      </c>
      <c r="K1285" s="18">
        <v>1</v>
      </c>
      <c r="L1285" s="18" t="s">
        <v>39</v>
      </c>
      <c r="M1285" s="20">
        <f t="shared" si="41"/>
        <v>256000</v>
      </c>
      <c r="N1285" s="20">
        <f>'Working Sheet'!$J1285*'Working Sheet'!$K1285</f>
        <v>320000</v>
      </c>
      <c r="O1285" s="21">
        <f>'Working Sheet'!$M1285*'Working Sheet'!$K1285</f>
        <v>256000</v>
      </c>
      <c r="P1285" s="20">
        <f>'Working Sheet'!$N1285-'Working Sheet'!$O1285</f>
        <v>64000</v>
      </c>
    </row>
    <row r="1286" spans="1:16" ht="14.25" customHeight="1" x14ac:dyDescent="0.25">
      <c r="A1286" s="23" t="str">
        <f t="shared" ca="1" si="40"/>
        <v>ID_1001</v>
      </c>
      <c r="B1286" s="22">
        <v>45659</v>
      </c>
      <c r="C1286" s="23" t="str">
        <f>TEXT('Working Sheet'!$B1286,"mmm")</f>
        <v>Jan</v>
      </c>
      <c r="D1286" s="23" t="s">
        <v>11</v>
      </c>
      <c r="E1286" s="23" t="s">
        <v>12</v>
      </c>
      <c r="F1286" s="23" t="s">
        <v>13</v>
      </c>
      <c r="G1286" s="23" t="s">
        <v>20</v>
      </c>
      <c r="H1286" s="23" t="s">
        <v>21</v>
      </c>
      <c r="I1286" s="23" t="s">
        <v>22</v>
      </c>
      <c r="J1286" s="24">
        <v>30000</v>
      </c>
      <c r="K1286" s="23">
        <v>5</v>
      </c>
      <c r="L1286" s="23" t="s">
        <v>24</v>
      </c>
      <c r="M1286" s="25">
        <f t="shared" si="41"/>
        <v>24000</v>
      </c>
      <c r="N1286" s="25">
        <f>'Working Sheet'!$J1286*'Working Sheet'!$K1286</f>
        <v>150000</v>
      </c>
      <c r="O1286" s="26">
        <f>'Working Sheet'!$M1286*'Working Sheet'!$K1286</f>
        <v>120000</v>
      </c>
      <c r="P1286" s="25">
        <f>'Working Sheet'!$N1286-'Working Sheet'!$O1286</f>
        <v>30000</v>
      </c>
    </row>
    <row r="1287" spans="1:16" ht="14.25" customHeight="1" x14ac:dyDescent="0.25">
      <c r="A1287" s="18" t="str">
        <f t="shared" ca="1" si="40"/>
        <v>ID_1041</v>
      </c>
      <c r="B1287" s="17">
        <v>45718</v>
      </c>
      <c r="C1287" s="18" t="str">
        <f>TEXT('Working Sheet'!$B1287,"mmm")</f>
        <v>Mar</v>
      </c>
      <c r="D1287" s="18" t="s">
        <v>11</v>
      </c>
      <c r="E1287" s="18" t="s">
        <v>26</v>
      </c>
      <c r="F1287" s="18" t="s">
        <v>23</v>
      </c>
      <c r="G1287" s="18" t="s">
        <v>20</v>
      </c>
      <c r="H1287" s="18" t="s">
        <v>15</v>
      </c>
      <c r="I1287" s="18" t="s">
        <v>16</v>
      </c>
      <c r="J1287" s="19">
        <v>85000</v>
      </c>
      <c r="K1287" s="18">
        <v>5</v>
      </c>
      <c r="L1287" s="18" t="s">
        <v>39</v>
      </c>
      <c r="M1287" s="20">
        <f t="shared" si="41"/>
        <v>68000</v>
      </c>
      <c r="N1287" s="20">
        <f>'Working Sheet'!$J1287*'Working Sheet'!$K1287</f>
        <v>425000</v>
      </c>
      <c r="O1287" s="21">
        <f>'Working Sheet'!$M1287*'Working Sheet'!$K1287</f>
        <v>340000</v>
      </c>
      <c r="P1287" s="20">
        <f>'Working Sheet'!$N1287-'Working Sheet'!$O1287</f>
        <v>85000</v>
      </c>
    </row>
    <row r="1288" spans="1:16" ht="14.25" customHeight="1" x14ac:dyDescent="0.25">
      <c r="A1288" s="23" t="str">
        <f t="shared" ca="1" si="40"/>
        <v>ID_661</v>
      </c>
      <c r="B1288" s="22">
        <v>45673</v>
      </c>
      <c r="C1288" s="23" t="str">
        <f>TEXT('Working Sheet'!$B1288,"mmm")</f>
        <v>Jan</v>
      </c>
      <c r="D1288" s="23" t="s">
        <v>11</v>
      </c>
      <c r="E1288" s="23" t="s">
        <v>26</v>
      </c>
      <c r="F1288" s="23" t="s">
        <v>23</v>
      </c>
      <c r="G1288" s="23" t="s">
        <v>14</v>
      </c>
      <c r="H1288" s="23" t="s">
        <v>38</v>
      </c>
      <c r="I1288" s="23" t="s">
        <v>31</v>
      </c>
      <c r="J1288" s="24">
        <v>420000</v>
      </c>
      <c r="K1288" s="23">
        <v>10</v>
      </c>
      <c r="L1288" s="23" t="s">
        <v>35</v>
      </c>
      <c r="M1288" s="25">
        <f t="shared" si="41"/>
        <v>336000</v>
      </c>
      <c r="N1288" s="25">
        <f>'Working Sheet'!$J1288*'Working Sheet'!$K1288</f>
        <v>4200000</v>
      </c>
      <c r="O1288" s="26">
        <f>'Working Sheet'!$M1288*'Working Sheet'!$K1288</f>
        <v>3360000</v>
      </c>
      <c r="P1288" s="25">
        <f>'Working Sheet'!$N1288-'Working Sheet'!$O1288</f>
        <v>840000</v>
      </c>
    </row>
    <row r="1289" spans="1:16" ht="14.25" customHeight="1" x14ac:dyDescent="0.25">
      <c r="A1289" s="18" t="str">
        <f t="shared" ca="1" si="40"/>
        <v>ID_516</v>
      </c>
      <c r="B1289" s="17">
        <v>45730</v>
      </c>
      <c r="C1289" s="18" t="str">
        <f>TEXT('Working Sheet'!$B1289,"mmm")</f>
        <v>Mar</v>
      </c>
      <c r="D1289" s="18" t="s">
        <v>18</v>
      </c>
      <c r="E1289" s="18" t="s">
        <v>12</v>
      </c>
      <c r="F1289" s="18" t="s">
        <v>23</v>
      </c>
      <c r="G1289" s="18" t="s">
        <v>14</v>
      </c>
      <c r="H1289" s="18" t="s">
        <v>40</v>
      </c>
      <c r="I1289" s="18" t="s">
        <v>31</v>
      </c>
      <c r="J1289" s="19">
        <v>250000</v>
      </c>
      <c r="K1289" s="18">
        <v>8</v>
      </c>
      <c r="L1289" s="18" t="s">
        <v>37</v>
      </c>
      <c r="M1289" s="20">
        <f t="shared" si="41"/>
        <v>200000</v>
      </c>
      <c r="N1289" s="20">
        <f>'Working Sheet'!$J1289*'Working Sheet'!$K1289</f>
        <v>2000000</v>
      </c>
      <c r="O1289" s="21">
        <f>'Working Sheet'!$M1289*'Working Sheet'!$K1289</f>
        <v>1600000</v>
      </c>
      <c r="P1289" s="20">
        <f>'Working Sheet'!$N1289-'Working Sheet'!$O1289</f>
        <v>400000</v>
      </c>
    </row>
    <row r="1290" spans="1:16" ht="14.25" customHeight="1" x14ac:dyDescent="0.25">
      <c r="A1290" s="23" t="str">
        <f t="shared" ca="1" si="40"/>
        <v>ID_1383</v>
      </c>
      <c r="B1290" s="22">
        <v>45741</v>
      </c>
      <c r="C1290" s="23" t="str">
        <f>TEXT('Working Sheet'!$B1290,"mmm")</f>
        <v>Mar</v>
      </c>
      <c r="D1290" s="23" t="s">
        <v>11</v>
      </c>
      <c r="E1290" s="23" t="s">
        <v>19</v>
      </c>
      <c r="F1290" s="23" t="s">
        <v>23</v>
      </c>
      <c r="G1290" s="23" t="s">
        <v>20</v>
      </c>
      <c r="H1290" s="23" t="s">
        <v>40</v>
      </c>
      <c r="I1290" s="23" t="s">
        <v>31</v>
      </c>
      <c r="J1290" s="24">
        <v>250000</v>
      </c>
      <c r="K1290" s="23">
        <v>10</v>
      </c>
      <c r="L1290" s="23" t="s">
        <v>35</v>
      </c>
      <c r="M1290" s="25">
        <f t="shared" si="41"/>
        <v>200000</v>
      </c>
      <c r="N1290" s="25">
        <f>'Working Sheet'!$J1290*'Working Sheet'!$K1290</f>
        <v>2500000</v>
      </c>
      <c r="O1290" s="26">
        <f>'Working Sheet'!$M1290*'Working Sheet'!$K1290</f>
        <v>2000000</v>
      </c>
      <c r="P1290" s="25">
        <f>'Working Sheet'!$N1290-'Working Sheet'!$O1290</f>
        <v>500000</v>
      </c>
    </row>
    <row r="1291" spans="1:16" ht="14.25" customHeight="1" x14ac:dyDescent="0.25">
      <c r="A1291" s="18" t="str">
        <f t="shared" ca="1" si="40"/>
        <v>ID_1548</v>
      </c>
      <c r="B1291" s="17">
        <v>45699</v>
      </c>
      <c r="C1291" s="18" t="str">
        <f>TEXT('Working Sheet'!$B1291,"mmm")</f>
        <v>Feb</v>
      </c>
      <c r="D1291" s="18" t="s">
        <v>18</v>
      </c>
      <c r="E1291" s="18" t="s">
        <v>19</v>
      </c>
      <c r="F1291" s="18" t="s">
        <v>23</v>
      </c>
      <c r="G1291" s="18" t="s">
        <v>20</v>
      </c>
      <c r="H1291" s="18" t="s">
        <v>36</v>
      </c>
      <c r="I1291" s="18" t="s">
        <v>31</v>
      </c>
      <c r="J1291" s="19">
        <v>150000</v>
      </c>
      <c r="K1291" s="18">
        <v>4</v>
      </c>
      <c r="L1291" s="18" t="s">
        <v>28</v>
      </c>
      <c r="M1291" s="20">
        <f t="shared" si="41"/>
        <v>120000</v>
      </c>
      <c r="N1291" s="20">
        <f>'Working Sheet'!$J1291*'Working Sheet'!$K1291</f>
        <v>600000</v>
      </c>
      <c r="O1291" s="21">
        <f>'Working Sheet'!$M1291*'Working Sheet'!$K1291</f>
        <v>480000</v>
      </c>
      <c r="P1291" s="20">
        <f>'Working Sheet'!$N1291-'Working Sheet'!$O1291</f>
        <v>120000</v>
      </c>
    </row>
    <row r="1292" spans="1:16" ht="14.25" customHeight="1" x14ac:dyDescent="0.25">
      <c r="A1292" s="23" t="str">
        <f t="shared" ca="1" si="40"/>
        <v>ID_573</v>
      </c>
      <c r="B1292" s="22">
        <v>45689</v>
      </c>
      <c r="C1292" s="23" t="str">
        <f>TEXT('Working Sheet'!$B1292,"mmm")</f>
        <v>Feb</v>
      </c>
      <c r="D1292" s="23" t="s">
        <v>18</v>
      </c>
      <c r="E1292" s="23" t="s">
        <v>19</v>
      </c>
      <c r="F1292" s="23" t="s">
        <v>23</v>
      </c>
      <c r="G1292" s="23" t="s">
        <v>14</v>
      </c>
      <c r="H1292" s="23" t="s">
        <v>33</v>
      </c>
      <c r="I1292" s="23" t="s">
        <v>22</v>
      </c>
      <c r="J1292" s="24">
        <v>180000</v>
      </c>
      <c r="K1292" s="23">
        <v>6</v>
      </c>
      <c r="L1292" s="23" t="s">
        <v>28</v>
      </c>
      <c r="M1292" s="25">
        <f t="shared" si="41"/>
        <v>144000</v>
      </c>
      <c r="N1292" s="25">
        <f>'Working Sheet'!$J1292*'Working Sheet'!$K1292</f>
        <v>1080000</v>
      </c>
      <c r="O1292" s="26">
        <f>'Working Sheet'!$M1292*'Working Sheet'!$K1292</f>
        <v>864000</v>
      </c>
      <c r="P1292" s="25">
        <f>'Working Sheet'!$N1292-'Working Sheet'!$O1292</f>
        <v>216000</v>
      </c>
    </row>
    <row r="1293" spans="1:16" ht="14.25" customHeight="1" x14ac:dyDescent="0.25">
      <c r="A1293" s="18" t="str">
        <f t="shared" ca="1" si="40"/>
        <v>ID_1024</v>
      </c>
      <c r="B1293" s="17">
        <v>45777</v>
      </c>
      <c r="C1293" s="18" t="str">
        <f>TEXT('Working Sheet'!$B1293,"mmm")</f>
        <v>Apr</v>
      </c>
      <c r="D1293" s="18" t="s">
        <v>18</v>
      </c>
      <c r="E1293" s="18" t="s">
        <v>26</v>
      </c>
      <c r="F1293" s="18" t="s">
        <v>23</v>
      </c>
      <c r="G1293" s="18" t="s">
        <v>20</v>
      </c>
      <c r="H1293" s="18" t="s">
        <v>21</v>
      </c>
      <c r="I1293" s="18" t="s">
        <v>22</v>
      </c>
      <c r="J1293" s="19">
        <v>30000</v>
      </c>
      <c r="K1293" s="18">
        <v>6</v>
      </c>
      <c r="L1293" s="18" t="s">
        <v>28</v>
      </c>
      <c r="M1293" s="20">
        <f t="shared" si="41"/>
        <v>24000</v>
      </c>
      <c r="N1293" s="20">
        <f>'Working Sheet'!$J1293*'Working Sheet'!$K1293</f>
        <v>180000</v>
      </c>
      <c r="O1293" s="21">
        <f>'Working Sheet'!$M1293*'Working Sheet'!$K1293</f>
        <v>144000</v>
      </c>
      <c r="P1293" s="20">
        <f>'Working Sheet'!$N1293-'Working Sheet'!$O1293</f>
        <v>36000</v>
      </c>
    </row>
    <row r="1294" spans="1:16" ht="14.25" customHeight="1" x14ac:dyDescent="0.25">
      <c r="A1294" s="23" t="str">
        <f t="shared" ca="1" si="40"/>
        <v>ID_730</v>
      </c>
      <c r="B1294" s="22">
        <v>45696</v>
      </c>
      <c r="C1294" s="23" t="str">
        <f>TEXT('Working Sheet'!$B1294,"mmm")</f>
        <v>Feb</v>
      </c>
      <c r="D1294" s="23" t="s">
        <v>11</v>
      </c>
      <c r="E1294" s="23" t="s">
        <v>19</v>
      </c>
      <c r="F1294" s="23" t="s">
        <v>23</v>
      </c>
      <c r="G1294" s="23" t="s">
        <v>14</v>
      </c>
      <c r="H1294" s="23" t="s">
        <v>40</v>
      </c>
      <c r="I1294" s="23" t="s">
        <v>31</v>
      </c>
      <c r="J1294" s="24">
        <v>250000</v>
      </c>
      <c r="K1294" s="23">
        <v>5</v>
      </c>
      <c r="L1294" s="23" t="s">
        <v>35</v>
      </c>
      <c r="M1294" s="25">
        <f t="shared" si="41"/>
        <v>200000</v>
      </c>
      <c r="N1294" s="25">
        <f>'Working Sheet'!$J1294*'Working Sheet'!$K1294</f>
        <v>1250000</v>
      </c>
      <c r="O1294" s="26">
        <f>'Working Sheet'!$M1294*'Working Sheet'!$K1294</f>
        <v>1000000</v>
      </c>
      <c r="P1294" s="25">
        <f>'Working Sheet'!$N1294-'Working Sheet'!$O1294</f>
        <v>250000</v>
      </c>
    </row>
    <row r="1295" spans="1:16" ht="14.25" customHeight="1" x14ac:dyDescent="0.25">
      <c r="A1295" s="18" t="str">
        <f t="shared" ca="1" si="40"/>
        <v>ID_2082</v>
      </c>
      <c r="B1295" s="17">
        <v>45690</v>
      </c>
      <c r="C1295" s="18" t="str">
        <f>TEXT('Working Sheet'!$B1295,"mmm")</f>
        <v>Feb</v>
      </c>
      <c r="D1295" s="18" t="s">
        <v>25</v>
      </c>
      <c r="E1295" s="18" t="s">
        <v>19</v>
      </c>
      <c r="F1295" s="18" t="s">
        <v>23</v>
      </c>
      <c r="G1295" s="18" t="s">
        <v>14</v>
      </c>
      <c r="H1295" s="18" t="s">
        <v>34</v>
      </c>
      <c r="I1295" s="18" t="s">
        <v>16</v>
      </c>
      <c r="J1295" s="19">
        <v>320000</v>
      </c>
      <c r="K1295" s="18">
        <v>2</v>
      </c>
      <c r="L1295" s="18" t="s">
        <v>39</v>
      </c>
      <c r="M1295" s="20">
        <f t="shared" si="41"/>
        <v>256000</v>
      </c>
      <c r="N1295" s="20">
        <f>'Working Sheet'!$J1295*'Working Sheet'!$K1295</f>
        <v>640000</v>
      </c>
      <c r="O1295" s="21">
        <f>'Working Sheet'!$M1295*'Working Sheet'!$K1295</f>
        <v>512000</v>
      </c>
      <c r="P1295" s="20">
        <f>'Working Sheet'!$N1295-'Working Sheet'!$O1295</f>
        <v>128000</v>
      </c>
    </row>
    <row r="1296" spans="1:16" ht="14.25" customHeight="1" x14ac:dyDescent="0.25">
      <c r="A1296" s="23" t="str">
        <f t="shared" ca="1" si="40"/>
        <v>ID_632</v>
      </c>
      <c r="B1296" s="22">
        <v>45698</v>
      </c>
      <c r="C1296" s="23" t="str">
        <f>TEXT('Working Sheet'!$B1296,"mmm")</f>
        <v>Feb</v>
      </c>
      <c r="D1296" s="23" t="s">
        <v>18</v>
      </c>
      <c r="E1296" s="23" t="s">
        <v>19</v>
      </c>
      <c r="F1296" s="23" t="s">
        <v>23</v>
      </c>
      <c r="G1296" s="23" t="s">
        <v>20</v>
      </c>
      <c r="H1296" s="23" t="s">
        <v>30</v>
      </c>
      <c r="I1296" s="23" t="s">
        <v>31</v>
      </c>
      <c r="J1296" s="24">
        <v>300000</v>
      </c>
      <c r="K1296" s="23">
        <v>10</v>
      </c>
      <c r="L1296" s="23" t="s">
        <v>35</v>
      </c>
      <c r="M1296" s="25">
        <f t="shared" si="41"/>
        <v>240000</v>
      </c>
      <c r="N1296" s="25">
        <f>'Working Sheet'!$J1296*'Working Sheet'!$K1296</f>
        <v>3000000</v>
      </c>
      <c r="O1296" s="26">
        <f>'Working Sheet'!$M1296*'Working Sheet'!$K1296</f>
        <v>2400000</v>
      </c>
      <c r="P1296" s="25">
        <f>'Working Sheet'!$N1296-'Working Sheet'!$O1296</f>
        <v>600000</v>
      </c>
    </row>
    <row r="1297" spans="1:16" ht="14.25" customHeight="1" x14ac:dyDescent="0.25">
      <c r="A1297" s="18" t="str">
        <f t="shared" ca="1" si="40"/>
        <v>ID_1430</v>
      </c>
      <c r="B1297" s="17">
        <v>45681</v>
      </c>
      <c r="C1297" s="18" t="str">
        <f>TEXT('Working Sheet'!$B1297,"mmm")</f>
        <v>Jan</v>
      </c>
      <c r="D1297" s="18" t="s">
        <v>11</v>
      </c>
      <c r="E1297" s="18" t="s">
        <v>19</v>
      </c>
      <c r="F1297" s="18" t="s">
        <v>23</v>
      </c>
      <c r="G1297" s="18" t="s">
        <v>20</v>
      </c>
      <c r="H1297" s="18" t="s">
        <v>30</v>
      </c>
      <c r="I1297" s="18" t="s">
        <v>31</v>
      </c>
      <c r="J1297" s="19">
        <v>300000</v>
      </c>
      <c r="K1297" s="18">
        <v>7</v>
      </c>
      <c r="L1297" s="18" t="s">
        <v>37</v>
      </c>
      <c r="M1297" s="20">
        <f t="shared" si="41"/>
        <v>240000</v>
      </c>
      <c r="N1297" s="20">
        <f>'Working Sheet'!$J1297*'Working Sheet'!$K1297</f>
        <v>2100000</v>
      </c>
      <c r="O1297" s="21">
        <f>'Working Sheet'!$M1297*'Working Sheet'!$K1297</f>
        <v>1680000</v>
      </c>
      <c r="P1297" s="20">
        <f>'Working Sheet'!$N1297-'Working Sheet'!$O1297</f>
        <v>420000</v>
      </c>
    </row>
    <row r="1298" spans="1:16" ht="14.25" customHeight="1" x14ac:dyDescent="0.25">
      <c r="A1298" s="23" t="str">
        <f t="shared" ca="1" si="40"/>
        <v>ID_1074</v>
      </c>
      <c r="B1298" s="22">
        <v>45669</v>
      </c>
      <c r="C1298" s="23" t="str">
        <f>TEXT('Working Sheet'!$B1298,"mmm")</f>
        <v>Jan</v>
      </c>
      <c r="D1298" s="23" t="s">
        <v>29</v>
      </c>
      <c r="E1298" s="23" t="s">
        <v>12</v>
      </c>
      <c r="F1298" s="23" t="s">
        <v>23</v>
      </c>
      <c r="G1298" s="23" t="s">
        <v>14</v>
      </c>
      <c r="H1298" s="23" t="s">
        <v>33</v>
      </c>
      <c r="I1298" s="23" t="s">
        <v>22</v>
      </c>
      <c r="J1298" s="24">
        <v>180000</v>
      </c>
      <c r="K1298" s="23">
        <v>1</v>
      </c>
      <c r="L1298" s="23" t="s">
        <v>39</v>
      </c>
      <c r="M1298" s="25">
        <f t="shared" si="41"/>
        <v>144000</v>
      </c>
      <c r="N1298" s="25">
        <f>'Working Sheet'!$J1298*'Working Sheet'!$K1298</f>
        <v>180000</v>
      </c>
      <c r="O1298" s="26">
        <f>'Working Sheet'!$M1298*'Working Sheet'!$K1298</f>
        <v>144000</v>
      </c>
      <c r="P1298" s="25">
        <f>'Working Sheet'!$N1298-'Working Sheet'!$O1298</f>
        <v>36000</v>
      </c>
    </row>
    <row r="1299" spans="1:16" ht="14.25" customHeight="1" x14ac:dyDescent="0.25">
      <c r="A1299" s="18" t="str">
        <f t="shared" ca="1" si="40"/>
        <v>ID_933</v>
      </c>
      <c r="B1299" s="17">
        <v>45713</v>
      </c>
      <c r="C1299" s="18" t="str">
        <f>TEXT('Working Sheet'!$B1299,"mmm")</f>
        <v>Feb</v>
      </c>
      <c r="D1299" s="18" t="s">
        <v>18</v>
      </c>
      <c r="E1299" s="18" t="s">
        <v>26</v>
      </c>
      <c r="F1299" s="18" t="s">
        <v>23</v>
      </c>
      <c r="G1299" s="18" t="s">
        <v>20</v>
      </c>
      <c r="H1299" s="18" t="s">
        <v>30</v>
      </c>
      <c r="I1299" s="18" t="s">
        <v>31</v>
      </c>
      <c r="J1299" s="19">
        <v>300000</v>
      </c>
      <c r="K1299" s="18">
        <v>10</v>
      </c>
      <c r="L1299" s="18" t="s">
        <v>17</v>
      </c>
      <c r="M1299" s="20">
        <f t="shared" si="41"/>
        <v>240000</v>
      </c>
      <c r="N1299" s="20">
        <f>'Working Sheet'!$J1299*'Working Sheet'!$K1299</f>
        <v>3000000</v>
      </c>
      <c r="O1299" s="21">
        <f>'Working Sheet'!$M1299*'Working Sheet'!$K1299</f>
        <v>2400000</v>
      </c>
      <c r="P1299" s="20">
        <f>'Working Sheet'!$N1299-'Working Sheet'!$O1299</f>
        <v>600000</v>
      </c>
    </row>
    <row r="1300" spans="1:16" ht="14.25" customHeight="1" x14ac:dyDescent="0.25">
      <c r="A1300" s="23" t="str">
        <f t="shared" ca="1" si="40"/>
        <v>ID_1042</v>
      </c>
      <c r="B1300" s="22">
        <v>45767</v>
      </c>
      <c r="C1300" s="23" t="str">
        <f>TEXT('Working Sheet'!$B1300,"mmm")</f>
        <v>Apr</v>
      </c>
      <c r="D1300" s="23" t="s">
        <v>11</v>
      </c>
      <c r="E1300" s="23" t="s">
        <v>32</v>
      </c>
      <c r="F1300" s="23" t="s">
        <v>23</v>
      </c>
      <c r="G1300" s="23" t="s">
        <v>14</v>
      </c>
      <c r="H1300" s="23" t="s">
        <v>33</v>
      </c>
      <c r="I1300" s="23" t="s">
        <v>22</v>
      </c>
      <c r="J1300" s="24">
        <v>180000</v>
      </c>
      <c r="K1300" s="23">
        <v>7</v>
      </c>
      <c r="L1300" s="23" t="s">
        <v>37</v>
      </c>
      <c r="M1300" s="25">
        <f t="shared" si="41"/>
        <v>144000</v>
      </c>
      <c r="N1300" s="25">
        <f>'Working Sheet'!$J1300*'Working Sheet'!$K1300</f>
        <v>1260000</v>
      </c>
      <c r="O1300" s="26">
        <f>'Working Sheet'!$M1300*'Working Sheet'!$K1300</f>
        <v>1008000</v>
      </c>
      <c r="P1300" s="25">
        <f>'Working Sheet'!$N1300-'Working Sheet'!$O1300</f>
        <v>252000</v>
      </c>
    </row>
    <row r="1301" spans="1:16" ht="14.25" customHeight="1" x14ac:dyDescent="0.25">
      <c r="A1301" s="18" t="str">
        <f t="shared" ca="1" si="40"/>
        <v>ID_342</v>
      </c>
      <c r="B1301" s="17">
        <v>45684</v>
      </c>
      <c r="C1301" s="18" t="str">
        <f>TEXT('Working Sheet'!$B1301,"mmm")</f>
        <v>Jan</v>
      </c>
      <c r="D1301" s="18" t="s">
        <v>11</v>
      </c>
      <c r="E1301" s="18" t="s">
        <v>19</v>
      </c>
      <c r="F1301" s="18" t="s">
        <v>23</v>
      </c>
      <c r="G1301" s="18" t="s">
        <v>14</v>
      </c>
      <c r="H1301" s="18" t="s">
        <v>21</v>
      </c>
      <c r="I1301" s="18" t="s">
        <v>22</v>
      </c>
      <c r="J1301" s="19">
        <v>30000</v>
      </c>
      <c r="K1301" s="18">
        <v>7</v>
      </c>
      <c r="L1301" s="18" t="s">
        <v>28</v>
      </c>
      <c r="M1301" s="20">
        <f t="shared" si="41"/>
        <v>24000</v>
      </c>
      <c r="N1301" s="20">
        <f>'Working Sheet'!$J1301*'Working Sheet'!$K1301</f>
        <v>210000</v>
      </c>
      <c r="O1301" s="21">
        <f>'Working Sheet'!$M1301*'Working Sheet'!$K1301</f>
        <v>168000</v>
      </c>
      <c r="P1301" s="20">
        <f>'Working Sheet'!$N1301-'Working Sheet'!$O1301</f>
        <v>42000</v>
      </c>
    </row>
    <row r="1302" spans="1:16" ht="14.25" customHeight="1" x14ac:dyDescent="0.25">
      <c r="A1302" s="23" t="str">
        <f t="shared" ca="1" si="40"/>
        <v>ID_117</v>
      </c>
      <c r="B1302" s="22">
        <v>45685</v>
      </c>
      <c r="C1302" s="23" t="str">
        <f>TEXT('Working Sheet'!$B1302,"mmm")</f>
        <v>Jan</v>
      </c>
      <c r="D1302" s="23" t="s">
        <v>18</v>
      </c>
      <c r="E1302" s="23" t="s">
        <v>12</v>
      </c>
      <c r="F1302" s="23" t="s">
        <v>23</v>
      </c>
      <c r="G1302" s="23" t="s">
        <v>14</v>
      </c>
      <c r="H1302" s="23" t="s">
        <v>21</v>
      </c>
      <c r="I1302" s="23" t="s">
        <v>22</v>
      </c>
      <c r="J1302" s="24">
        <v>30000</v>
      </c>
      <c r="K1302" s="23">
        <v>6</v>
      </c>
      <c r="L1302" s="23" t="s">
        <v>24</v>
      </c>
      <c r="M1302" s="25">
        <f t="shared" si="41"/>
        <v>24000</v>
      </c>
      <c r="N1302" s="25">
        <f>'Working Sheet'!$J1302*'Working Sheet'!$K1302</f>
        <v>180000</v>
      </c>
      <c r="O1302" s="26">
        <f>'Working Sheet'!$M1302*'Working Sheet'!$K1302</f>
        <v>144000</v>
      </c>
      <c r="P1302" s="25">
        <f>'Working Sheet'!$N1302-'Working Sheet'!$O1302</f>
        <v>36000</v>
      </c>
    </row>
    <row r="1303" spans="1:16" ht="14.25" customHeight="1" x14ac:dyDescent="0.25">
      <c r="A1303" s="18" t="str">
        <f t="shared" ca="1" si="40"/>
        <v>ID_147</v>
      </c>
      <c r="B1303" s="17">
        <v>45711</v>
      </c>
      <c r="C1303" s="18" t="str">
        <f>TEXT('Working Sheet'!$B1303,"mmm")</f>
        <v>Feb</v>
      </c>
      <c r="D1303" s="18" t="s">
        <v>18</v>
      </c>
      <c r="E1303" s="18" t="s">
        <v>19</v>
      </c>
      <c r="F1303" s="18" t="s">
        <v>23</v>
      </c>
      <c r="G1303" s="18" t="s">
        <v>14</v>
      </c>
      <c r="H1303" s="18" t="s">
        <v>15</v>
      </c>
      <c r="I1303" s="18" t="s">
        <v>16</v>
      </c>
      <c r="J1303" s="19">
        <v>85000</v>
      </c>
      <c r="K1303" s="18">
        <v>7</v>
      </c>
      <c r="L1303" s="18" t="s">
        <v>35</v>
      </c>
      <c r="M1303" s="20">
        <f t="shared" si="41"/>
        <v>68000</v>
      </c>
      <c r="N1303" s="20">
        <f>'Working Sheet'!$J1303*'Working Sheet'!$K1303</f>
        <v>595000</v>
      </c>
      <c r="O1303" s="21">
        <f>'Working Sheet'!$M1303*'Working Sheet'!$K1303</f>
        <v>476000</v>
      </c>
      <c r="P1303" s="20">
        <f>'Working Sheet'!$N1303-'Working Sheet'!$O1303</f>
        <v>119000</v>
      </c>
    </row>
    <row r="1304" spans="1:16" ht="14.25" customHeight="1" x14ac:dyDescent="0.25">
      <c r="A1304" s="23" t="str">
        <f t="shared" ca="1" si="40"/>
        <v>ID_1033</v>
      </c>
      <c r="B1304" s="22">
        <v>45762</v>
      </c>
      <c r="C1304" s="23" t="str">
        <f>TEXT('Working Sheet'!$B1304,"mmm")</f>
        <v>Apr</v>
      </c>
      <c r="D1304" s="23" t="s">
        <v>18</v>
      </c>
      <c r="E1304" s="23" t="s">
        <v>12</v>
      </c>
      <c r="F1304" s="23" t="s">
        <v>23</v>
      </c>
      <c r="G1304" s="23" t="s">
        <v>20</v>
      </c>
      <c r="H1304" s="23" t="s">
        <v>40</v>
      </c>
      <c r="I1304" s="23" t="s">
        <v>31</v>
      </c>
      <c r="J1304" s="24">
        <v>250000</v>
      </c>
      <c r="K1304" s="23">
        <v>3</v>
      </c>
      <c r="L1304" s="23" t="s">
        <v>35</v>
      </c>
      <c r="M1304" s="25">
        <f t="shared" si="41"/>
        <v>200000</v>
      </c>
      <c r="N1304" s="25">
        <f>'Working Sheet'!$J1304*'Working Sheet'!$K1304</f>
        <v>750000</v>
      </c>
      <c r="O1304" s="26">
        <f>'Working Sheet'!$M1304*'Working Sheet'!$K1304</f>
        <v>600000</v>
      </c>
      <c r="P1304" s="25">
        <f>'Working Sheet'!$N1304-'Working Sheet'!$O1304</f>
        <v>150000</v>
      </c>
    </row>
    <row r="1305" spans="1:16" ht="14.25" customHeight="1" x14ac:dyDescent="0.25">
      <c r="A1305" s="18" t="str">
        <f t="shared" ca="1" si="40"/>
        <v>ID_838</v>
      </c>
      <c r="B1305" s="17">
        <v>45708</v>
      </c>
      <c r="C1305" s="18" t="str">
        <f>TEXT('Working Sheet'!$B1305,"mmm")</f>
        <v>Feb</v>
      </c>
      <c r="D1305" s="18" t="s">
        <v>11</v>
      </c>
      <c r="E1305" s="18" t="s">
        <v>19</v>
      </c>
      <c r="F1305" s="18" t="s">
        <v>23</v>
      </c>
      <c r="G1305" s="18" t="s">
        <v>14</v>
      </c>
      <c r="H1305" s="18" t="s">
        <v>34</v>
      </c>
      <c r="I1305" s="18" t="s">
        <v>16</v>
      </c>
      <c r="J1305" s="19">
        <v>320000</v>
      </c>
      <c r="K1305" s="18">
        <v>7</v>
      </c>
      <c r="L1305" s="18" t="s">
        <v>28</v>
      </c>
      <c r="M1305" s="20">
        <f t="shared" si="41"/>
        <v>256000</v>
      </c>
      <c r="N1305" s="20">
        <f>'Working Sheet'!$J1305*'Working Sheet'!$K1305</f>
        <v>2240000</v>
      </c>
      <c r="O1305" s="21">
        <f>'Working Sheet'!$M1305*'Working Sheet'!$K1305</f>
        <v>1792000</v>
      </c>
      <c r="P1305" s="20">
        <f>'Working Sheet'!$N1305-'Working Sheet'!$O1305</f>
        <v>448000</v>
      </c>
    </row>
    <row r="1306" spans="1:16" ht="14.25" customHeight="1" x14ac:dyDescent="0.25">
      <c r="A1306" s="23" t="str">
        <f t="shared" ca="1" si="40"/>
        <v>ID_1195</v>
      </c>
      <c r="B1306" s="22">
        <v>45668</v>
      </c>
      <c r="C1306" s="23" t="str">
        <f>TEXT('Working Sheet'!$B1306,"mmm")</f>
        <v>Jan</v>
      </c>
      <c r="D1306" s="23" t="s">
        <v>25</v>
      </c>
      <c r="E1306" s="23" t="s">
        <v>26</v>
      </c>
      <c r="F1306" s="23" t="s">
        <v>23</v>
      </c>
      <c r="G1306" s="23" t="s">
        <v>20</v>
      </c>
      <c r="H1306" s="23" t="s">
        <v>21</v>
      </c>
      <c r="I1306" s="23" t="s">
        <v>22</v>
      </c>
      <c r="J1306" s="24">
        <v>30000</v>
      </c>
      <c r="K1306" s="23">
        <v>7</v>
      </c>
      <c r="L1306" s="23" t="s">
        <v>35</v>
      </c>
      <c r="M1306" s="25">
        <f t="shared" si="41"/>
        <v>24000</v>
      </c>
      <c r="N1306" s="25">
        <f>'Working Sheet'!$J1306*'Working Sheet'!$K1306</f>
        <v>210000</v>
      </c>
      <c r="O1306" s="26">
        <f>'Working Sheet'!$M1306*'Working Sheet'!$K1306</f>
        <v>168000</v>
      </c>
      <c r="P1306" s="25">
        <f>'Working Sheet'!$N1306-'Working Sheet'!$O1306</f>
        <v>42000</v>
      </c>
    </row>
    <row r="1307" spans="1:16" ht="14.25" customHeight="1" x14ac:dyDescent="0.25">
      <c r="A1307" s="18" t="str">
        <f t="shared" ca="1" si="40"/>
        <v>ID_1735</v>
      </c>
      <c r="B1307" s="17">
        <v>45730</v>
      </c>
      <c r="C1307" s="18" t="str">
        <f>TEXT('Working Sheet'!$B1307,"mmm")</f>
        <v>Mar</v>
      </c>
      <c r="D1307" s="18" t="s">
        <v>11</v>
      </c>
      <c r="E1307" s="18" t="s">
        <v>26</v>
      </c>
      <c r="F1307" s="18" t="s">
        <v>23</v>
      </c>
      <c r="G1307" s="18" t="s">
        <v>14</v>
      </c>
      <c r="H1307" s="18" t="s">
        <v>34</v>
      </c>
      <c r="I1307" s="18" t="s">
        <v>16</v>
      </c>
      <c r="J1307" s="19">
        <v>320000</v>
      </c>
      <c r="K1307" s="18">
        <v>8</v>
      </c>
      <c r="L1307" s="18" t="s">
        <v>17</v>
      </c>
      <c r="M1307" s="20">
        <f t="shared" si="41"/>
        <v>256000</v>
      </c>
      <c r="N1307" s="20">
        <f>'Working Sheet'!$J1307*'Working Sheet'!$K1307</f>
        <v>2560000</v>
      </c>
      <c r="O1307" s="21">
        <f>'Working Sheet'!$M1307*'Working Sheet'!$K1307</f>
        <v>2048000</v>
      </c>
      <c r="P1307" s="20">
        <f>'Working Sheet'!$N1307-'Working Sheet'!$O1307</f>
        <v>512000</v>
      </c>
    </row>
    <row r="1308" spans="1:16" ht="14.25" customHeight="1" x14ac:dyDescent="0.25">
      <c r="A1308" s="23" t="str">
        <f t="shared" ca="1" si="40"/>
        <v>ID_1153</v>
      </c>
      <c r="B1308" s="22">
        <v>45772</v>
      </c>
      <c r="C1308" s="23" t="str">
        <f>TEXT('Working Sheet'!$B1308,"mmm")</f>
        <v>Apr</v>
      </c>
      <c r="D1308" s="23" t="s">
        <v>29</v>
      </c>
      <c r="E1308" s="23" t="s">
        <v>32</v>
      </c>
      <c r="F1308" s="23" t="s">
        <v>23</v>
      </c>
      <c r="G1308" s="23" t="s">
        <v>14</v>
      </c>
      <c r="H1308" s="23" t="s">
        <v>34</v>
      </c>
      <c r="I1308" s="23" t="s">
        <v>16</v>
      </c>
      <c r="J1308" s="24">
        <v>320000</v>
      </c>
      <c r="K1308" s="23">
        <v>7</v>
      </c>
      <c r="L1308" s="23" t="s">
        <v>37</v>
      </c>
      <c r="M1308" s="25">
        <f t="shared" si="41"/>
        <v>256000</v>
      </c>
      <c r="N1308" s="25">
        <f>'Working Sheet'!$J1308*'Working Sheet'!$K1308</f>
        <v>2240000</v>
      </c>
      <c r="O1308" s="26">
        <f>'Working Sheet'!$M1308*'Working Sheet'!$K1308</f>
        <v>1792000</v>
      </c>
      <c r="P1308" s="25">
        <f>'Working Sheet'!$N1308-'Working Sheet'!$O1308</f>
        <v>448000</v>
      </c>
    </row>
    <row r="1309" spans="1:16" ht="14.25" customHeight="1" x14ac:dyDescent="0.25">
      <c r="A1309" s="18" t="str">
        <f t="shared" ca="1" si="40"/>
        <v>ID_1185</v>
      </c>
      <c r="B1309" s="17">
        <v>45770</v>
      </c>
      <c r="C1309" s="18" t="str">
        <f>TEXT('Working Sheet'!$B1309,"mmm")</f>
        <v>Apr</v>
      </c>
      <c r="D1309" s="18" t="s">
        <v>18</v>
      </c>
      <c r="E1309" s="18" t="s">
        <v>19</v>
      </c>
      <c r="F1309" s="18" t="s">
        <v>23</v>
      </c>
      <c r="G1309" s="18" t="s">
        <v>20</v>
      </c>
      <c r="H1309" s="18" t="s">
        <v>27</v>
      </c>
      <c r="I1309" s="18" t="s">
        <v>22</v>
      </c>
      <c r="J1309" s="19">
        <v>60000</v>
      </c>
      <c r="K1309" s="18">
        <v>2</v>
      </c>
      <c r="L1309" s="18" t="s">
        <v>28</v>
      </c>
      <c r="M1309" s="20">
        <f t="shared" si="41"/>
        <v>48000</v>
      </c>
      <c r="N1309" s="20">
        <f>'Working Sheet'!$J1309*'Working Sheet'!$K1309</f>
        <v>120000</v>
      </c>
      <c r="O1309" s="21">
        <f>'Working Sheet'!$M1309*'Working Sheet'!$K1309</f>
        <v>96000</v>
      </c>
      <c r="P1309" s="20">
        <f>'Working Sheet'!$N1309-'Working Sheet'!$O1309</f>
        <v>24000</v>
      </c>
    </row>
    <row r="1310" spans="1:16" ht="14.25" customHeight="1" x14ac:dyDescent="0.25">
      <c r="A1310" s="23" t="str">
        <f t="shared" ca="1" si="40"/>
        <v>ID_801</v>
      </c>
      <c r="B1310" s="22">
        <v>45721</v>
      </c>
      <c r="C1310" s="23" t="str">
        <f>TEXT('Working Sheet'!$B1310,"mmm")</f>
        <v>Mar</v>
      </c>
      <c r="D1310" s="23" t="s">
        <v>11</v>
      </c>
      <c r="E1310" s="23" t="s">
        <v>12</v>
      </c>
      <c r="F1310" s="23" t="s">
        <v>23</v>
      </c>
      <c r="G1310" s="23" t="s">
        <v>20</v>
      </c>
      <c r="H1310" s="23" t="s">
        <v>41</v>
      </c>
      <c r="I1310" s="23" t="s">
        <v>22</v>
      </c>
      <c r="J1310" s="24">
        <v>220000</v>
      </c>
      <c r="K1310" s="23">
        <v>8</v>
      </c>
      <c r="L1310" s="23" t="s">
        <v>37</v>
      </c>
      <c r="M1310" s="25">
        <f t="shared" si="41"/>
        <v>176000</v>
      </c>
      <c r="N1310" s="25">
        <f>'Working Sheet'!$J1310*'Working Sheet'!$K1310</f>
        <v>1760000</v>
      </c>
      <c r="O1310" s="26">
        <f>'Working Sheet'!$M1310*'Working Sheet'!$K1310</f>
        <v>1408000</v>
      </c>
      <c r="P1310" s="25">
        <f>'Working Sheet'!$N1310-'Working Sheet'!$O1310</f>
        <v>352000</v>
      </c>
    </row>
    <row r="1311" spans="1:16" ht="14.25" customHeight="1" x14ac:dyDescent="0.25">
      <c r="A1311" s="18" t="str">
        <f t="shared" ca="1" si="40"/>
        <v>ID_920</v>
      </c>
      <c r="B1311" s="17">
        <v>45684</v>
      </c>
      <c r="C1311" s="18" t="str">
        <f>TEXT('Working Sheet'!$B1311,"mmm")</f>
        <v>Jan</v>
      </c>
      <c r="D1311" s="18" t="s">
        <v>25</v>
      </c>
      <c r="E1311" s="18" t="s">
        <v>26</v>
      </c>
      <c r="F1311" s="18" t="s">
        <v>23</v>
      </c>
      <c r="G1311" s="18" t="s">
        <v>14</v>
      </c>
      <c r="H1311" s="18" t="s">
        <v>27</v>
      </c>
      <c r="I1311" s="18" t="s">
        <v>22</v>
      </c>
      <c r="J1311" s="19">
        <v>60000</v>
      </c>
      <c r="K1311" s="18">
        <v>2</v>
      </c>
      <c r="L1311" s="18" t="s">
        <v>28</v>
      </c>
      <c r="M1311" s="20">
        <f t="shared" si="41"/>
        <v>48000</v>
      </c>
      <c r="N1311" s="20">
        <f>'Working Sheet'!$J1311*'Working Sheet'!$K1311</f>
        <v>120000</v>
      </c>
      <c r="O1311" s="21">
        <f>'Working Sheet'!$M1311*'Working Sheet'!$K1311</f>
        <v>96000</v>
      </c>
      <c r="P1311" s="20">
        <f>'Working Sheet'!$N1311-'Working Sheet'!$O1311</f>
        <v>24000</v>
      </c>
    </row>
    <row r="1312" spans="1:16" ht="14.25" customHeight="1" x14ac:dyDescent="0.25">
      <c r="A1312" s="23" t="str">
        <f t="shared" ca="1" si="40"/>
        <v>ID_49</v>
      </c>
      <c r="B1312" s="22">
        <v>45753</v>
      </c>
      <c r="C1312" s="23" t="str">
        <f>TEXT('Working Sheet'!$B1312,"mmm")</f>
        <v>Apr</v>
      </c>
      <c r="D1312" s="23" t="s">
        <v>11</v>
      </c>
      <c r="E1312" s="23" t="s">
        <v>26</v>
      </c>
      <c r="F1312" s="23" t="s">
        <v>23</v>
      </c>
      <c r="G1312" s="23" t="s">
        <v>14</v>
      </c>
      <c r="H1312" s="23" t="s">
        <v>34</v>
      </c>
      <c r="I1312" s="23" t="s">
        <v>16</v>
      </c>
      <c r="J1312" s="24">
        <v>320000</v>
      </c>
      <c r="K1312" s="23">
        <v>2</v>
      </c>
      <c r="L1312" s="23" t="s">
        <v>39</v>
      </c>
      <c r="M1312" s="25">
        <f t="shared" si="41"/>
        <v>256000</v>
      </c>
      <c r="N1312" s="25">
        <f>'Working Sheet'!$J1312*'Working Sheet'!$K1312</f>
        <v>640000</v>
      </c>
      <c r="O1312" s="26">
        <f>'Working Sheet'!$M1312*'Working Sheet'!$K1312</f>
        <v>512000</v>
      </c>
      <c r="P1312" s="25">
        <f>'Working Sheet'!$N1312-'Working Sheet'!$O1312</f>
        <v>128000</v>
      </c>
    </row>
    <row r="1313" spans="1:16" ht="14.25" customHeight="1" x14ac:dyDescent="0.25">
      <c r="A1313" s="18" t="str">
        <f t="shared" ca="1" si="40"/>
        <v>ID_1146</v>
      </c>
      <c r="B1313" s="17">
        <v>45762</v>
      </c>
      <c r="C1313" s="18" t="str">
        <f>TEXT('Working Sheet'!$B1313,"mmm")</f>
        <v>Apr</v>
      </c>
      <c r="D1313" s="18" t="s">
        <v>18</v>
      </c>
      <c r="E1313" s="18" t="s">
        <v>12</v>
      </c>
      <c r="F1313" s="18" t="s">
        <v>23</v>
      </c>
      <c r="G1313" s="18" t="s">
        <v>20</v>
      </c>
      <c r="H1313" s="18" t="s">
        <v>21</v>
      </c>
      <c r="I1313" s="18" t="s">
        <v>22</v>
      </c>
      <c r="J1313" s="19">
        <v>30000</v>
      </c>
      <c r="K1313" s="18">
        <v>2</v>
      </c>
      <c r="L1313" s="18" t="s">
        <v>35</v>
      </c>
      <c r="M1313" s="20">
        <f t="shared" si="41"/>
        <v>24000</v>
      </c>
      <c r="N1313" s="20">
        <f>'Working Sheet'!$J1313*'Working Sheet'!$K1313</f>
        <v>60000</v>
      </c>
      <c r="O1313" s="21">
        <f>'Working Sheet'!$M1313*'Working Sheet'!$K1313</f>
        <v>48000</v>
      </c>
      <c r="P1313" s="20">
        <f>'Working Sheet'!$N1313-'Working Sheet'!$O1313</f>
        <v>12000</v>
      </c>
    </row>
    <row r="1314" spans="1:16" ht="14.25" customHeight="1" x14ac:dyDescent="0.25">
      <c r="A1314" s="23" t="str">
        <f t="shared" ca="1" si="40"/>
        <v>ID_1244</v>
      </c>
      <c r="B1314" s="22">
        <v>45752</v>
      </c>
      <c r="C1314" s="23" t="str">
        <f>TEXT('Working Sheet'!$B1314,"mmm")</f>
        <v>Apr</v>
      </c>
      <c r="D1314" s="23" t="s">
        <v>29</v>
      </c>
      <c r="E1314" s="23" t="s">
        <v>19</v>
      </c>
      <c r="F1314" s="23" t="s">
        <v>23</v>
      </c>
      <c r="G1314" s="23" t="s">
        <v>20</v>
      </c>
      <c r="H1314" s="23" t="s">
        <v>21</v>
      </c>
      <c r="I1314" s="23" t="s">
        <v>22</v>
      </c>
      <c r="J1314" s="24">
        <v>30000</v>
      </c>
      <c r="K1314" s="23">
        <v>7</v>
      </c>
      <c r="L1314" s="23" t="s">
        <v>35</v>
      </c>
      <c r="M1314" s="25">
        <f t="shared" si="41"/>
        <v>24000</v>
      </c>
      <c r="N1314" s="25">
        <f>'Working Sheet'!$J1314*'Working Sheet'!$K1314</f>
        <v>210000</v>
      </c>
      <c r="O1314" s="26">
        <f>'Working Sheet'!$M1314*'Working Sheet'!$K1314</f>
        <v>168000</v>
      </c>
      <c r="P1314" s="25">
        <f>'Working Sheet'!$N1314-'Working Sheet'!$O1314</f>
        <v>42000</v>
      </c>
    </row>
    <row r="1315" spans="1:16" ht="14.25" customHeight="1" x14ac:dyDescent="0.25">
      <c r="A1315" s="18" t="str">
        <f t="shared" ca="1" si="40"/>
        <v>ID_893</v>
      </c>
      <c r="B1315" s="17">
        <v>45728</v>
      </c>
      <c r="C1315" s="18" t="str">
        <f>TEXT('Working Sheet'!$B1315,"mmm")</f>
        <v>Mar</v>
      </c>
      <c r="D1315" s="18" t="s">
        <v>29</v>
      </c>
      <c r="E1315" s="18" t="s">
        <v>12</v>
      </c>
      <c r="F1315" s="18" t="s">
        <v>23</v>
      </c>
      <c r="G1315" s="18" t="s">
        <v>20</v>
      </c>
      <c r="H1315" s="18" t="s">
        <v>40</v>
      </c>
      <c r="I1315" s="18" t="s">
        <v>31</v>
      </c>
      <c r="J1315" s="19">
        <v>250000</v>
      </c>
      <c r="K1315" s="18">
        <v>10</v>
      </c>
      <c r="L1315" s="18" t="s">
        <v>35</v>
      </c>
      <c r="M1315" s="20">
        <f t="shared" si="41"/>
        <v>200000</v>
      </c>
      <c r="N1315" s="20">
        <f>'Working Sheet'!$J1315*'Working Sheet'!$K1315</f>
        <v>2500000</v>
      </c>
      <c r="O1315" s="21">
        <f>'Working Sheet'!$M1315*'Working Sheet'!$K1315</f>
        <v>2000000</v>
      </c>
      <c r="P1315" s="20">
        <f>'Working Sheet'!$N1315-'Working Sheet'!$O1315</f>
        <v>500000</v>
      </c>
    </row>
    <row r="1316" spans="1:16" ht="14.25" customHeight="1" x14ac:dyDescent="0.25">
      <c r="A1316" s="23" t="str">
        <f t="shared" ca="1" si="40"/>
        <v>ID_1939</v>
      </c>
      <c r="B1316" s="22">
        <v>45768</v>
      </c>
      <c r="C1316" s="23" t="str">
        <f>TEXT('Working Sheet'!$B1316,"mmm")</f>
        <v>Apr</v>
      </c>
      <c r="D1316" s="23" t="s">
        <v>18</v>
      </c>
      <c r="E1316" s="23" t="s">
        <v>32</v>
      </c>
      <c r="F1316" s="23" t="s">
        <v>23</v>
      </c>
      <c r="G1316" s="23" t="s">
        <v>20</v>
      </c>
      <c r="H1316" s="23" t="s">
        <v>30</v>
      </c>
      <c r="I1316" s="23" t="s">
        <v>31</v>
      </c>
      <c r="J1316" s="24">
        <v>300000</v>
      </c>
      <c r="K1316" s="23">
        <v>9</v>
      </c>
      <c r="L1316" s="23" t="s">
        <v>28</v>
      </c>
      <c r="M1316" s="25">
        <f t="shared" si="41"/>
        <v>240000</v>
      </c>
      <c r="N1316" s="25">
        <f>'Working Sheet'!$J1316*'Working Sheet'!$K1316</f>
        <v>2700000</v>
      </c>
      <c r="O1316" s="26">
        <f>'Working Sheet'!$M1316*'Working Sheet'!$K1316</f>
        <v>2160000</v>
      </c>
      <c r="P1316" s="25">
        <f>'Working Sheet'!$N1316-'Working Sheet'!$O1316</f>
        <v>540000</v>
      </c>
    </row>
    <row r="1317" spans="1:16" ht="14.25" customHeight="1" x14ac:dyDescent="0.25">
      <c r="A1317" s="18" t="str">
        <f t="shared" ca="1" si="40"/>
        <v>ID_1505</v>
      </c>
      <c r="B1317" s="17">
        <v>45720</v>
      </c>
      <c r="C1317" s="18" t="str">
        <f>TEXT('Working Sheet'!$B1317,"mmm")</f>
        <v>Mar</v>
      </c>
      <c r="D1317" s="18" t="s">
        <v>25</v>
      </c>
      <c r="E1317" s="18" t="s">
        <v>26</v>
      </c>
      <c r="F1317" s="18" t="s">
        <v>23</v>
      </c>
      <c r="G1317" s="18" t="s">
        <v>20</v>
      </c>
      <c r="H1317" s="18" t="s">
        <v>15</v>
      </c>
      <c r="I1317" s="18" t="s">
        <v>16</v>
      </c>
      <c r="J1317" s="19">
        <v>85000</v>
      </c>
      <c r="K1317" s="18">
        <v>6</v>
      </c>
      <c r="L1317" s="18" t="s">
        <v>37</v>
      </c>
      <c r="M1317" s="20">
        <f t="shared" si="41"/>
        <v>68000</v>
      </c>
      <c r="N1317" s="20">
        <f>'Working Sheet'!$J1317*'Working Sheet'!$K1317</f>
        <v>510000</v>
      </c>
      <c r="O1317" s="21">
        <f>'Working Sheet'!$M1317*'Working Sheet'!$K1317</f>
        <v>408000</v>
      </c>
      <c r="P1317" s="20">
        <f>'Working Sheet'!$N1317-'Working Sheet'!$O1317</f>
        <v>102000</v>
      </c>
    </row>
    <row r="1318" spans="1:16" ht="14.25" customHeight="1" x14ac:dyDescent="0.25">
      <c r="A1318" s="23" t="str">
        <f t="shared" ca="1" si="40"/>
        <v>ID_1478</v>
      </c>
      <c r="B1318" s="22">
        <v>45687</v>
      </c>
      <c r="C1318" s="23" t="str">
        <f>TEXT('Working Sheet'!$B1318,"mmm")</f>
        <v>Jan</v>
      </c>
      <c r="D1318" s="23" t="s">
        <v>11</v>
      </c>
      <c r="E1318" s="23" t="s">
        <v>12</v>
      </c>
      <c r="F1318" s="23" t="s">
        <v>23</v>
      </c>
      <c r="G1318" s="23" t="s">
        <v>20</v>
      </c>
      <c r="H1318" s="23" t="s">
        <v>21</v>
      </c>
      <c r="I1318" s="23" t="s">
        <v>22</v>
      </c>
      <c r="J1318" s="24">
        <v>30000</v>
      </c>
      <c r="K1318" s="23">
        <v>4</v>
      </c>
      <c r="L1318" s="23" t="s">
        <v>17</v>
      </c>
      <c r="M1318" s="25">
        <f t="shared" si="41"/>
        <v>24000</v>
      </c>
      <c r="N1318" s="25">
        <f>'Working Sheet'!$J1318*'Working Sheet'!$K1318</f>
        <v>120000</v>
      </c>
      <c r="O1318" s="26">
        <f>'Working Sheet'!$M1318*'Working Sheet'!$K1318</f>
        <v>96000</v>
      </c>
      <c r="P1318" s="25">
        <f>'Working Sheet'!$N1318-'Working Sheet'!$O1318</f>
        <v>24000</v>
      </c>
    </row>
    <row r="1319" spans="1:16" ht="14.25" customHeight="1" x14ac:dyDescent="0.25">
      <c r="A1319" s="18" t="str">
        <f t="shared" ca="1" si="40"/>
        <v>ID_154</v>
      </c>
      <c r="B1319" s="17">
        <v>45745</v>
      </c>
      <c r="C1319" s="18" t="str">
        <f>TEXT('Working Sheet'!$B1319,"mmm")</f>
        <v>Mar</v>
      </c>
      <c r="D1319" s="18" t="s">
        <v>25</v>
      </c>
      <c r="E1319" s="18" t="s">
        <v>32</v>
      </c>
      <c r="F1319" s="18" t="s">
        <v>23</v>
      </c>
      <c r="G1319" s="18" t="s">
        <v>14</v>
      </c>
      <c r="H1319" s="18" t="s">
        <v>30</v>
      </c>
      <c r="I1319" s="18" t="s">
        <v>31</v>
      </c>
      <c r="J1319" s="19">
        <v>300000</v>
      </c>
      <c r="K1319" s="18">
        <v>4</v>
      </c>
      <c r="L1319" s="18" t="s">
        <v>17</v>
      </c>
      <c r="M1319" s="20">
        <f t="shared" si="41"/>
        <v>240000</v>
      </c>
      <c r="N1319" s="20">
        <f>'Working Sheet'!$J1319*'Working Sheet'!$K1319</f>
        <v>1200000</v>
      </c>
      <c r="O1319" s="21">
        <f>'Working Sheet'!$M1319*'Working Sheet'!$K1319</f>
        <v>960000</v>
      </c>
      <c r="P1319" s="20">
        <f>'Working Sheet'!$N1319-'Working Sheet'!$O1319</f>
        <v>240000</v>
      </c>
    </row>
    <row r="1320" spans="1:16" ht="14.25" customHeight="1" x14ac:dyDescent="0.25">
      <c r="A1320" s="23" t="str">
        <f t="shared" ca="1" si="40"/>
        <v>ID_642</v>
      </c>
      <c r="B1320" s="22">
        <v>45697</v>
      </c>
      <c r="C1320" s="23" t="str">
        <f>TEXT('Working Sheet'!$B1320,"mmm")</f>
        <v>Feb</v>
      </c>
      <c r="D1320" s="23" t="s">
        <v>25</v>
      </c>
      <c r="E1320" s="23" t="s">
        <v>32</v>
      </c>
      <c r="F1320" s="23" t="s">
        <v>23</v>
      </c>
      <c r="G1320" s="23" t="s">
        <v>20</v>
      </c>
      <c r="H1320" s="23" t="s">
        <v>41</v>
      </c>
      <c r="I1320" s="23" t="s">
        <v>22</v>
      </c>
      <c r="J1320" s="24">
        <v>220000</v>
      </c>
      <c r="K1320" s="23">
        <v>5</v>
      </c>
      <c r="L1320" s="23" t="s">
        <v>35</v>
      </c>
      <c r="M1320" s="25">
        <f t="shared" si="41"/>
        <v>176000</v>
      </c>
      <c r="N1320" s="25">
        <f>'Working Sheet'!$J1320*'Working Sheet'!$K1320</f>
        <v>1100000</v>
      </c>
      <c r="O1320" s="26">
        <f>'Working Sheet'!$M1320*'Working Sheet'!$K1320</f>
        <v>880000</v>
      </c>
      <c r="P1320" s="25">
        <f>'Working Sheet'!$N1320-'Working Sheet'!$O1320</f>
        <v>220000</v>
      </c>
    </row>
    <row r="1321" spans="1:16" ht="14.25" customHeight="1" x14ac:dyDescent="0.25">
      <c r="A1321" s="18" t="str">
        <f t="shared" ca="1" si="40"/>
        <v>ID_619</v>
      </c>
      <c r="B1321" s="17">
        <v>45679</v>
      </c>
      <c r="C1321" s="18" t="str">
        <f>TEXT('Working Sheet'!$B1321,"mmm")</f>
        <v>Jan</v>
      </c>
      <c r="D1321" s="18" t="s">
        <v>18</v>
      </c>
      <c r="E1321" s="18" t="s">
        <v>32</v>
      </c>
      <c r="F1321" s="18" t="s">
        <v>23</v>
      </c>
      <c r="G1321" s="18" t="s">
        <v>20</v>
      </c>
      <c r="H1321" s="18" t="s">
        <v>41</v>
      </c>
      <c r="I1321" s="18" t="s">
        <v>22</v>
      </c>
      <c r="J1321" s="19">
        <v>220000</v>
      </c>
      <c r="K1321" s="18">
        <v>4</v>
      </c>
      <c r="L1321" s="18" t="s">
        <v>35</v>
      </c>
      <c r="M1321" s="20">
        <f t="shared" si="41"/>
        <v>176000</v>
      </c>
      <c r="N1321" s="20">
        <f>'Working Sheet'!$J1321*'Working Sheet'!$K1321</f>
        <v>880000</v>
      </c>
      <c r="O1321" s="21">
        <f>'Working Sheet'!$M1321*'Working Sheet'!$K1321</f>
        <v>704000</v>
      </c>
      <c r="P1321" s="20">
        <f>'Working Sheet'!$N1321-'Working Sheet'!$O1321</f>
        <v>176000</v>
      </c>
    </row>
    <row r="1322" spans="1:16" ht="14.25" customHeight="1" x14ac:dyDescent="0.25">
      <c r="A1322" s="23" t="str">
        <f t="shared" ca="1" si="40"/>
        <v>ID_1913</v>
      </c>
      <c r="B1322" s="22">
        <v>45680</v>
      </c>
      <c r="C1322" s="23" t="str">
        <f>TEXT('Working Sheet'!$B1322,"mmm")</f>
        <v>Jan</v>
      </c>
      <c r="D1322" s="23" t="s">
        <v>18</v>
      </c>
      <c r="E1322" s="23" t="s">
        <v>32</v>
      </c>
      <c r="F1322" s="23" t="s">
        <v>23</v>
      </c>
      <c r="G1322" s="23" t="s">
        <v>14</v>
      </c>
      <c r="H1322" s="23" t="s">
        <v>21</v>
      </c>
      <c r="I1322" s="23" t="s">
        <v>22</v>
      </c>
      <c r="J1322" s="24">
        <v>30000</v>
      </c>
      <c r="K1322" s="23">
        <v>1</v>
      </c>
      <c r="L1322" s="23" t="s">
        <v>39</v>
      </c>
      <c r="M1322" s="25">
        <f t="shared" si="41"/>
        <v>24000</v>
      </c>
      <c r="N1322" s="25">
        <f>'Working Sheet'!$J1322*'Working Sheet'!$K1322</f>
        <v>30000</v>
      </c>
      <c r="O1322" s="26">
        <f>'Working Sheet'!$M1322*'Working Sheet'!$K1322</f>
        <v>24000</v>
      </c>
      <c r="P1322" s="25">
        <f>'Working Sheet'!$N1322-'Working Sheet'!$O1322</f>
        <v>6000</v>
      </c>
    </row>
    <row r="1323" spans="1:16" ht="14.25" customHeight="1" x14ac:dyDescent="0.25">
      <c r="A1323" s="18" t="str">
        <f t="shared" ca="1" si="40"/>
        <v>ID_1764</v>
      </c>
      <c r="B1323" s="17">
        <v>45700</v>
      </c>
      <c r="C1323" s="18" t="str">
        <f>TEXT('Working Sheet'!$B1323,"mmm")</f>
        <v>Feb</v>
      </c>
      <c r="D1323" s="18" t="s">
        <v>25</v>
      </c>
      <c r="E1323" s="18" t="s">
        <v>19</v>
      </c>
      <c r="F1323" s="18" t="s">
        <v>13</v>
      </c>
      <c r="G1323" s="18" t="s">
        <v>14</v>
      </c>
      <c r="H1323" s="18" t="s">
        <v>38</v>
      </c>
      <c r="I1323" s="18" t="s">
        <v>31</v>
      </c>
      <c r="J1323" s="19">
        <v>420000</v>
      </c>
      <c r="K1323" s="18">
        <v>9</v>
      </c>
      <c r="L1323" s="18" t="s">
        <v>24</v>
      </c>
      <c r="M1323" s="20">
        <f t="shared" si="41"/>
        <v>336000</v>
      </c>
      <c r="N1323" s="20">
        <f>'Working Sheet'!$J1323*'Working Sheet'!$K1323</f>
        <v>3780000</v>
      </c>
      <c r="O1323" s="21">
        <f>'Working Sheet'!$M1323*'Working Sheet'!$K1323</f>
        <v>3024000</v>
      </c>
      <c r="P1323" s="20">
        <f>'Working Sheet'!$N1323-'Working Sheet'!$O1323</f>
        <v>756000</v>
      </c>
    </row>
    <row r="1324" spans="1:16" ht="14.25" customHeight="1" x14ac:dyDescent="0.25">
      <c r="A1324" s="23" t="str">
        <f t="shared" ca="1" si="40"/>
        <v>ID_1889</v>
      </c>
      <c r="B1324" s="22">
        <v>45760</v>
      </c>
      <c r="C1324" s="23" t="str">
        <f>TEXT('Working Sheet'!$B1324,"mmm")</f>
        <v>Apr</v>
      </c>
      <c r="D1324" s="23" t="s">
        <v>11</v>
      </c>
      <c r="E1324" s="23" t="s">
        <v>19</v>
      </c>
      <c r="F1324" s="23" t="s">
        <v>23</v>
      </c>
      <c r="G1324" s="23" t="s">
        <v>14</v>
      </c>
      <c r="H1324" s="23" t="s">
        <v>27</v>
      </c>
      <c r="I1324" s="23" t="s">
        <v>22</v>
      </c>
      <c r="J1324" s="24">
        <v>60000</v>
      </c>
      <c r="K1324" s="23">
        <v>6</v>
      </c>
      <c r="L1324" s="23" t="s">
        <v>24</v>
      </c>
      <c r="M1324" s="25">
        <f t="shared" si="41"/>
        <v>48000</v>
      </c>
      <c r="N1324" s="25">
        <f>'Working Sheet'!$J1324*'Working Sheet'!$K1324</f>
        <v>360000</v>
      </c>
      <c r="O1324" s="26">
        <f>'Working Sheet'!$M1324*'Working Sheet'!$K1324</f>
        <v>288000</v>
      </c>
      <c r="P1324" s="25">
        <f>'Working Sheet'!$N1324-'Working Sheet'!$O1324</f>
        <v>72000</v>
      </c>
    </row>
    <row r="1325" spans="1:16" ht="14.25" customHeight="1" x14ac:dyDescent="0.25">
      <c r="A1325" s="18" t="str">
        <f t="shared" ca="1" si="40"/>
        <v>ID_125</v>
      </c>
      <c r="B1325" s="17">
        <v>45684</v>
      </c>
      <c r="C1325" s="18" t="str">
        <f>TEXT('Working Sheet'!$B1325,"mmm")</f>
        <v>Jan</v>
      </c>
      <c r="D1325" s="18" t="s">
        <v>11</v>
      </c>
      <c r="E1325" s="18" t="s">
        <v>32</v>
      </c>
      <c r="F1325" s="18" t="s">
        <v>13</v>
      </c>
      <c r="G1325" s="18" t="s">
        <v>14</v>
      </c>
      <c r="H1325" s="18" t="s">
        <v>33</v>
      </c>
      <c r="I1325" s="18" t="s">
        <v>22</v>
      </c>
      <c r="J1325" s="19">
        <v>180000</v>
      </c>
      <c r="K1325" s="18">
        <v>2</v>
      </c>
      <c r="L1325" s="18" t="s">
        <v>28</v>
      </c>
      <c r="M1325" s="20">
        <f t="shared" si="41"/>
        <v>144000</v>
      </c>
      <c r="N1325" s="20">
        <f>'Working Sheet'!$J1325*'Working Sheet'!$K1325</f>
        <v>360000</v>
      </c>
      <c r="O1325" s="21">
        <f>'Working Sheet'!$M1325*'Working Sheet'!$K1325</f>
        <v>288000</v>
      </c>
      <c r="P1325" s="20">
        <f>'Working Sheet'!$N1325-'Working Sheet'!$O1325</f>
        <v>72000</v>
      </c>
    </row>
    <row r="1326" spans="1:16" ht="14.25" customHeight="1" x14ac:dyDescent="0.25">
      <c r="A1326" s="23" t="str">
        <f t="shared" ca="1" si="40"/>
        <v>ID_2019</v>
      </c>
      <c r="B1326" s="22">
        <v>45763</v>
      </c>
      <c r="C1326" s="23" t="str">
        <f>TEXT('Working Sheet'!$B1326,"mmm")</f>
        <v>Apr</v>
      </c>
      <c r="D1326" s="23" t="s">
        <v>18</v>
      </c>
      <c r="E1326" s="23" t="s">
        <v>19</v>
      </c>
      <c r="F1326" s="23" t="s">
        <v>13</v>
      </c>
      <c r="G1326" s="23" t="s">
        <v>14</v>
      </c>
      <c r="H1326" s="23" t="s">
        <v>15</v>
      </c>
      <c r="I1326" s="23" t="s">
        <v>16</v>
      </c>
      <c r="J1326" s="24">
        <v>85000</v>
      </c>
      <c r="K1326" s="23">
        <v>1</v>
      </c>
      <c r="L1326" s="23" t="s">
        <v>24</v>
      </c>
      <c r="M1326" s="25">
        <f t="shared" si="41"/>
        <v>68000</v>
      </c>
      <c r="N1326" s="25">
        <f>'Working Sheet'!$J1326*'Working Sheet'!$K1326</f>
        <v>85000</v>
      </c>
      <c r="O1326" s="26">
        <f>'Working Sheet'!$M1326*'Working Sheet'!$K1326</f>
        <v>68000</v>
      </c>
      <c r="P1326" s="25">
        <f>'Working Sheet'!$N1326-'Working Sheet'!$O1326</f>
        <v>17000</v>
      </c>
    </row>
    <row r="1327" spans="1:16" ht="14.25" customHeight="1" x14ac:dyDescent="0.25">
      <c r="A1327" s="18" t="str">
        <f t="shared" ca="1" si="40"/>
        <v>ID_965</v>
      </c>
      <c r="B1327" s="17">
        <v>45701</v>
      </c>
      <c r="C1327" s="18" t="str">
        <f>TEXT('Working Sheet'!$B1327,"mmm")</f>
        <v>Feb</v>
      </c>
      <c r="D1327" s="18" t="s">
        <v>11</v>
      </c>
      <c r="E1327" s="18" t="s">
        <v>26</v>
      </c>
      <c r="F1327" s="18" t="s">
        <v>13</v>
      </c>
      <c r="G1327" s="18" t="s">
        <v>20</v>
      </c>
      <c r="H1327" s="18" t="s">
        <v>40</v>
      </c>
      <c r="I1327" s="18" t="s">
        <v>31</v>
      </c>
      <c r="J1327" s="19">
        <v>250000</v>
      </c>
      <c r="K1327" s="18">
        <v>2</v>
      </c>
      <c r="L1327" s="18" t="s">
        <v>17</v>
      </c>
      <c r="M1327" s="20">
        <f t="shared" si="41"/>
        <v>200000</v>
      </c>
      <c r="N1327" s="20">
        <f>'Working Sheet'!$J1327*'Working Sheet'!$K1327</f>
        <v>500000</v>
      </c>
      <c r="O1327" s="21">
        <f>'Working Sheet'!$M1327*'Working Sheet'!$K1327</f>
        <v>400000</v>
      </c>
      <c r="P1327" s="20">
        <f>'Working Sheet'!$N1327-'Working Sheet'!$O1327</f>
        <v>100000</v>
      </c>
    </row>
    <row r="1328" spans="1:16" ht="14.25" customHeight="1" x14ac:dyDescent="0.25">
      <c r="A1328" s="23" t="str">
        <f t="shared" ca="1" si="40"/>
        <v>ID_1882</v>
      </c>
      <c r="B1328" s="22">
        <v>45670</v>
      </c>
      <c r="C1328" s="23" t="str">
        <f>TEXT('Working Sheet'!$B1328,"mmm")</f>
        <v>Jan</v>
      </c>
      <c r="D1328" s="23" t="s">
        <v>29</v>
      </c>
      <c r="E1328" s="23" t="s">
        <v>32</v>
      </c>
      <c r="F1328" s="23" t="s">
        <v>13</v>
      </c>
      <c r="G1328" s="23" t="s">
        <v>20</v>
      </c>
      <c r="H1328" s="23" t="s">
        <v>21</v>
      </c>
      <c r="I1328" s="23" t="s">
        <v>22</v>
      </c>
      <c r="J1328" s="24">
        <v>30000</v>
      </c>
      <c r="K1328" s="23">
        <v>7</v>
      </c>
      <c r="L1328" s="23" t="s">
        <v>35</v>
      </c>
      <c r="M1328" s="25">
        <f t="shared" si="41"/>
        <v>24000</v>
      </c>
      <c r="N1328" s="25">
        <f>'Working Sheet'!$J1328*'Working Sheet'!$K1328</f>
        <v>210000</v>
      </c>
      <c r="O1328" s="26">
        <f>'Working Sheet'!$M1328*'Working Sheet'!$K1328</f>
        <v>168000</v>
      </c>
      <c r="P1328" s="25">
        <f>'Working Sheet'!$N1328-'Working Sheet'!$O1328</f>
        <v>42000</v>
      </c>
    </row>
    <row r="1329" spans="1:16" ht="14.25" customHeight="1" x14ac:dyDescent="0.25">
      <c r="A1329" s="18" t="str">
        <f t="shared" ca="1" si="40"/>
        <v>ID_1377</v>
      </c>
      <c r="B1329" s="17">
        <v>45771</v>
      </c>
      <c r="C1329" s="18" t="str">
        <f>TEXT('Working Sheet'!$B1329,"mmm")</f>
        <v>Apr</v>
      </c>
      <c r="D1329" s="18" t="s">
        <v>11</v>
      </c>
      <c r="E1329" s="18" t="s">
        <v>19</v>
      </c>
      <c r="F1329" s="18" t="s">
        <v>13</v>
      </c>
      <c r="G1329" s="18" t="s">
        <v>20</v>
      </c>
      <c r="H1329" s="18" t="s">
        <v>38</v>
      </c>
      <c r="I1329" s="18" t="s">
        <v>31</v>
      </c>
      <c r="J1329" s="19">
        <v>420000</v>
      </c>
      <c r="K1329" s="18">
        <v>9</v>
      </c>
      <c r="L1329" s="18" t="s">
        <v>35</v>
      </c>
      <c r="M1329" s="20">
        <f t="shared" si="41"/>
        <v>336000</v>
      </c>
      <c r="N1329" s="20">
        <f>'Working Sheet'!$J1329*'Working Sheet'!$K1329</f>
        <v>3780000</v>
      </c>
      <c r="O1329" s="21">
        <f>'Working Sheet'!$M1329*'Working Sheet'!$K1329</f>
        <v>3024000</v>
      </c>
      <c r="P1329" s="20">
        <f>'Working Sheet'!$N1329-'Working Sheet'!$O1329</f>
        <v>756000</v>
      </c>
    </row>
    <row r="1330" spans="1:16" ht="14.25" customHeight="1" x14ac:dyDescent="0.25">
      <c r="A1330" s="23" t="str">
        <f t="shared" ca="1" si="40"/>
        <v>ID_977</v>
      </c>
      <c r="B1330" s="22">
        <v>45676</v>
      </c>
      <c r="C1330" s="23" t="str">
        <f>TEXT('Working Sheet'!$B1330,"mmm")</f>
        <v>Jan</v>
      </c>
      <c r="D1330" s="23" t="s">
        <v>25</v>
      </c>
      <c r="E1330" s="23" t="s">
        <v>32</v>
      </c>
      <c r="F1330" s="23" t="s">
        <v>13</v>
      </c>
      <c r="G1330" s="23" t="s">
        <v>14</v>
      </c>
      <c r="H1330" s="23" t="s">
        <v>27</v>
      </c>
      <c r="I1330" s="23" t="s">
        <v>22</v>
      </c>
      <c r="J1330" s="24">
        <v>60000</v>
      </c>
      <c r="K1330" s="23">
        <v>7</v>
      </c>
      <c r="L1330" s="23" t="s">
        <v>24</v>
      </c>
      <c r="M1330" s="25">
        <f t="shared" si="41"/>
        <v>48000</v>
      </c>
      <c r="N1330" s="25">
        <f>'Working Sheet'!$J1330*'Working Sheet'!$K1330</f>
        <v>420000</v>
      </c>
      <c r="O1330" s="26">
        <f>'Working Sheet'!$M1330*'Working Sheet'!$K1330</f>
        <v>336000</v>
      </c>
      <c r="P1330" s="25">
        <f>'Working Sheet'!$N1330-'Working Sheet'!$O1330</f>
        <v>84000</v>
      </c>
    </row>
    <row r="1331" spans="1:16" ht="14.25" customHeight="1" x14ac:dyDescent="0.25">
      <c r="A1331" s="18" t="str">
        <f t="shared" ca="1" si="40"/>
        <v>ID_600</v>
      </c>
      <c r="B1331" s="17">
        <v>45748</v>
      </c>
      <c r="C1331" s="18" t="str">
        <f>TEXT('Working Sheet'!$B1331,"mmm")</f>
        <v>Apr</v>
      </c>
      <c r="D1331" s="18" t="s">
        <v>29</v>
      </c>
      <c r="E1331" s="18" t="s">
        <v>26</v>
      </c>
      <c r="F1331" s="18" t="s">
        <v>13</v>
      </c>
      <c r="G1331" s="18" t="s">
        <v>20</v>
      </c>
      <c r="H1331" s="18" t="s">
        <v>30</v>
      </c>
      <c r="I1331" s="18" t="s">
        <v>31</v>
      </c>
      <c r="J1331" s="19">
        <v>300000</v>
      </c>
      <c r="K1331" s="18">
        <v>7</v>
      </c>
      <c r="L1331" s="18" t="s">
        <v>35</v>
      </c>
      <c r="M1331" s="20">
        <f t="shared" si="41"/>
        <v>240000</v>
      </c>
      <c r="N1331" s="20">
        <f>'Working Sheet'!$J1331*'Working Sheet'!$K1331</f>
        <v>2100000</v>
      </c>
      <c r="O1331" s="21">
        <f>'Working Sheet'!$M1331*'Working Sheet'!$K1331</f>
        <v>1680000</v>
      </c>
      <c r="P1331" s="20">
        <f>'Working Sheet'!$N1331-'Working Sheet'!$O1331</f>
        <v>420000</v>
      </c>
    </row>
    <row r="1332" spans="1:16" ht="14.25" customHeight="1" x14ac:dyDescent="0.25">
      <c r="A1332" s="23" t="str">
        <f t="shared" ca="1" si="40"/>
        <v>ID_530</v>
      </c>
      <c r="B1332" s="22">
        <v>45719</v>
      </c>
      <c r="C1332" s="23" t="str">
        <f>TEXT('Working Sheet'!$B1332,"mmm")</f>
        <v>Mar</v>
      </c>
      <c r="D1332" s="23" t="s">
        <v>18</v>
      </c>
      <c r="E1332" s="23" t="s">
        <v>12</v>
      </c>
      <c r="F1332" s="23" t="s">
        <v>23</v>
      </c>
      <c r="G1332" s="23" t="s">
        <v>14</v>
      </c>
      <c r="H1332" s="23" t="s">
        <v>36</v>
      </c>
      <c r="I1332" s="23" t="s">
        <v>31</v>
      </c>
      <c r="J1332" s="24">
        <v>150000</v>
      </c>
      <c r="K1332" s="23">
        <v>9</v>
      </c>
      <c r="L1332" s="23" t="s">
        <v>39</v>
      </c>
      <c r="M1332" s="25">
        <f t="shared" si="41"/>
        <v>120000</v>
      </c>
      <c r="N1332" s="25">
        <f>'Working Sheet'!$J1332*'Working Sheet'!$K1332</f>
        <v>1350000</v>
      </c>
      <c r="O1332" s="26">
        <f>'Working Sheet'!$M1332*'Working Sheet'!$K1332</f>
        <v>1080000</v>
      </c>
      <c r="P1332" s="25">
        <f>'Working Sheet'!$N1332-'Working Sheet'!$O1332</f>
        <v>270000</v>
      </c>
    </row>
    <row r="1333" spans="1:16" ht="14.25" customHeight="1" x14ac:dyDescent="0.25">
      <c r="A1333" s="18" t="str">
        <f t="shared" ca="1" si="40"/>
        <v>ID_229</v>
      </c>
      <c r="B1333" s="17">
        <v>45693</v>
      </c>
      <c r="C1333" s="18" t="str">
        <f>TEXT('Working Sheet'!$B1333,"mmm")</f>
        <v>Feb</v>
      </c>
      <c r="D1333" s="18" t="s">
        <v>25</v>
      </c>
      <c r="E1333" s="18" t="s">
        <v>26</v>
      </c>
      <c r="F1333" s="18" t="s">
        <v>23</v>
      </c>
      <c r="G1333" s="18" t="s">
        <v>14</v>
      </c>
      <c r="H1333" s="18" t="s">
        <v>30</v>
      </c>
      <c r="I1333" s="18" t="s">
        <v>31</v>
      </c>
      <c r="J1333" s="19">
        <v>300000</v>
      </c>
      <c r="K1333" s="18">
        <v>7</v>
      </c>
      <c r="L1333" s="18" t="s">
        <v>28</v>
      </c>
      <c r="M1333" s="20">
        <f t="shared" si="41"/>
        <v>240000</v>
      </c>
      <c r="N1333" s="20">
        <f>'Working Sheet'!$J1333*'Working Sheet'!$K1333</f>
        <v>2100000</v>
      </c>
      <c r="O1333" s="21">
        <f>'Working Sheet'!$M1333*'Working Sheet'!$K1333</f>
        <v>1680000</v>
      </c>
      <c r="P1333" s="20">
        <f>'Working Sheet'!$N1333-'Working Sheet'!$O1333</f>
        <v>420000</v>
      </c>
    </row>
    <row r="1334" spans="1:16" ht="14.25" customHeight="1" x14ac:dyDescent="0.25">
      <c r="A1334" s="23" t="str">
        <f t="shared" ca="1" si="40"/>
        <v>ID_851</v>
      </c>
      <c r="B1334" s="22">
        <v>45681</v>
      </c>
      <c r="C1334" s="23" t="str">
        <f>TEXT('Working Sheet'!$B1334,"mmm")</f>
        <v>Jan</v>
      </c>
      <c r="D1334" s="23" t="s">
        <v>11</v>
      </c>
      <c r="E1334" s="23" t="s">
        <v>19</v>
      </c>
      <c r="F1334" s="23" t="s">
        <v>13</v>
      </c>
      <c r="G1334" s="23" t="s">
        <v>14</v>
      </c>
      <c r="H1334" s="23" t="s">
        <v>40</v>
      </c>
      <c r="I1334" s="23" t="s">
        <v>31</v>
      </c>
      <c r="J1334" s="24">
        <v>250000</v>
      </c>
      <c r="K1334" s="23">
        <v>1</v>
      </c>
      <c r="L1334" s="23" t="s">
        <v>37</v>
      </c>
      <c r="M1334" s="25">
        <f t="shared" si="41"/>
        <v>200000</v>
      </c>
      <c r="N1334" s="25">
        <f>'Working Sheet'!$J1334*'Working Sheet'!$K1334</f>
        <v>250000</v>
      </c>
      <c r="O1334" s="26">
        <f>'Working Sheet'!$M1334*'Working Sheet'!$K1334</f>
        <v>200000</v>
      </c>
      <c r="P1334" s="25">
        <f>'Working Sheet'!$N1334-'Working Sheet'!$O1334</f>
        <v>50000</v>
      </c>
    </row>
    <row r="1335" spans="1:16" ht="14.25" customHeight="1" x14ac:dyDescent="0.25">
      <c r="A1335" s="18" t="str">
        <f t="shared" ca="1" si="40"/>
        <v>ID_637</v>
      </c>
      <c r="B1335" s="17">
        <v>45668</v>
      </c>
      <c r="C1335" s="18" t="str">
        <f>TEXT('Working Sheet'!$B1335,"mmm")</f>
        <v>Jan</v>
      </c>
      <c r="D1335" s="18" t="s">
        <v>11</v>
      </c>
      <c r="E1335" s="18" t="s">
        <v>19</v>
      </c>
      <c r="F1335" s="18" t="s">
        <v>23</v>
      </c>
      <c r="G1335" s="18" t="s">
        <v>14</v>
      </c>
      <c r="H1335" s="18" t="s">
        <v>40</v>
      </c>
      <c r="I1335" s="18" t="s">
        <v>31</v>
      </c>
      <c r="J1335" s="19">
        <v>250000</v>
      </c>
      <c r="K1335" s="18">
        <v>6</v>
      </c>
      <c r="L1335" s="18" t="s">
        <v>28</v>
      </c>
      <c r="M1335" s="20">
        <f t="shared" si="41"/>
        <v>200000</v>
      </c>
      <c r="N1335" s="20">
        <f>'Working Sheet'!$J1335*'Working Sheet'!$K1335</f>
        <v>1500000</v>
      </c>
      <c r="O1335" s="21">
        <f>'Working Sheet'!$M1335*'Working Sheet'!$K1335</f>
        <v>1200000</v>
      </c>
      <c r="P1335" s="20">
        <f>'Working Sheet'!$N1335-'Working Sheet'!$O1335</f>
        <v>300000</v>
      </c>
    </row>
    <row r="1336" spans="1:16" ht="14.25" customHeight="1" x14ac:dyDescent="0.25">
      <c r="A1336" s="23" t="str">
        <f t="shared" ca="1" si="40"/>
        <v>ID_2085</v>
      </c>
      <c r="B1336" s="22">
        <v>45675</v>
      </c>
      <c r="C1336" s="23" t="str">
        <f>TEXT('Working Sheet'!$B1336,"mmm")</f>
        <v>Jan</v>
      </c>
      <c r="D1336" s="23" t="s">
        <v>18</v>
      </c>
      <c r="E1336" s="23" t="s">
        <v>26</v>
      </c>
      <c r="F1336" s="23" t="s">
        <v>23</v>
      </c>
      <c r="G1336" s="23" t="s">
        <v>20</v>
      </c>
      <c r="H1336" s="23" t="s">
        <v>38</v>
      </c>
      <c r="I1336" s="23" t="s">
        <v>31</v>
      </c>
      <c r="J1336" s="24">
        <v>420000</v>
      </c>
      <c r="K1336" s="23">
        <v>9</v>
      </c>
      <c r="L1336" s="23" t="s">
        <v>39</v>
      </c>
      <c r="M1336" s="25">
        <f t="shared" si="41"/>
        <v>336000</v>
      </c>
      <c r="N1336" s="25">
        <f>'Working Sheet'!$J1336*'Working Sheet'!$K1336</f>
        <v>3780000</v>
      </c>
      <c r="O1336" s="26">
        <f>'Working Sheet'!$M1336*'Working Sheet'!$K1336</f>
        <v>3024000</v>
      </c>
      <c r="P1336" s="25">
        <f>'Working Sheet'!$N1336-'Working Sheet'!$O1336</f>
        <v>756000</v>
      </c>
    </row>
    <row r="1337" spans="1:16" ht="14.25" customHeight="1" x14ac:dyDescent="0.25">
      <c r="A1337" s="18" t="str">
        <f t="shared" ca="1" si="40"/>
        <v>ID_1328</v>
      </c>
      <c r="B1337" s="17">
        <v>45730</v>
      </c>
      <c r="C1337" s="18" t="str">
        <f>TEXT('Working Sheet'!$B1337,"mmm")</f>
        <v>Mar</v>
      </c>
      <c r="D1337" s="18" t="s">
        <v>25</v>
      </c>
      <c r="E1337" s="18" t="s">
        <v>32</v>
      </c>
      <c r="F1337" s="18" t="s">
        <v>23</v>
      </c>
      <c r="G1337" s="18" t="s">
        <v>14</v>
      </c>
      <c r="H1337" s="18" t="s">
        <v>33</v>
      </c>
      <c r="I1337" s="18" t="s">
        <v>22</v>
      </c>
      <c r="J1337" s="19">
        <v>180000</v>
      </c>
      <c r="K1337" s="18">
        <v>6</v>
      </c>
      <c r="L1337" s="18" t="s">
        <v>24</v>
      </c>
      <c r="M1337" s="20">
        <f t="shared" si="41"/>
        <v>144000</v>
      </c>
      <c r="N1337" s="20">
        <f>'Working Sheet'!$J1337*'Working Sheet'!$K1337</f>
        <v>1080000</v>
      </c>
      <c r="O1337" s="21">
        <f>'Working Sheet'!$M1337*'Working Sheet'!$K1337</f>
        <v>864000</v>
      </c>
      <c r="P1337" s="20">
        <f>'Working Sheet'!$N1337-'Working Sheet'!$O1337</f>
        <v>216000</v>
      </c>
    </row>
    <row r="1338" spans="1:16" ht="14.25" customHeight="1" x14ac:dyDescent="0.25">
      <c r="A1338" s="23" t="str">
        <f t="shared" ca="1" si="40"/>
        <v>ID_269</v>
      </c>
      <c r="B1338" s="22">
        <v>45668</v>
      </c>
      <c r="C1338" s="23" t="str">
        <f>TEXT('Working Sheet'!$B1338,"mmm")</f>
        <v>Jan</v>
      </c>
      <c r="D1338" s="23" t="s">
        <v>25</v>
      </c>
      <c r="E1338" s="23" t="s">
        <v>26</v>
      </c>
      <c r="F1338" s="23" t="s">
        <v>23</v>
      </c>
      <c r="G1338" s="23" t="s">
        <v>14</v>
      </c>
      <c r="H1338" s="23" t="s">
        <v>15</v>
      </c>
      <c r="I1338" s="23" t="s">
        <v>16</v>
      </c>
      <c r="J1338" s="24">
        <v>85000</v>
      </c>
      <c r="K1338" s="23">
        <v>5</v>
      </c>
      <c r="L1338" s="23" t="s">
        <v>39</v>
      </c>
      <c r="M1338" s="25">
        <f t="shared" si="41"/>
        <v>68000</v>
      </c>
      <c r="N1338" s="25">
        <f>'Working Sheet'!$J1338*'Working Sheet'!$K1338</f>
        <v>425000</v>
      </c>
      <c r="O1338" s="26">
        <f>'Working Sheet'!$M1338*'Working Sheet'!$K1338</f>
        <v>340000</v>
      </c>
      <c r="P1338" s="25">
        <f>'Working Sheet'!$N1338-'Working Sheet'!$O1338</f>
        <v>85000</v>
      </c>
    </row>
    <row r="1339" spans="1:16" ht="14.25" customHeight="1" x14ac:dyDescent="0.25">
      <c r="A1339" s="18" t="str">
        <f t="shared" ca="1" si="40"/>
        <v>ID_951</v>
      </c>
      <c r="B1339" s="17">
        <v>45777</v>
      </c>
      <c r="C1339" s="18" t="str">
        <f>TEXT('Working Sheet'!$B1339,"mmm")</f>
        <v>Apr</v>
      </c>
      <c r="D1339" s="18" t="s">
        <v>11</v>
      </c>
      <c r="E1339" s="18" t="s">
        <v>26</v>
      </c>
      <c r="F1339" s="18" t="s">
        <v>23</v>
      </c>
      <c r="G1339" s="18" t="s">
        <v>14</v>
      </c>
      <c r="H1339" s="18" t="s">
        <v>41</v>
      </c>
      <c r="I1339" s="18" t="s">
        <v>22</v>
      </c>
      <c r="J1339" s="19">
        <v>220000</v>
      </c>
      <c r="K1339" s="18">
        <v>5</v>
      </c>
      <c r="L1339" s="18" t="s">
        <v>39</v>
      </c>
      <c r="M1339" s="20">
        <f t="shared" si="41"/>
        <v>176000</v>
      </c>
      <c r="N1339" s="20">
        <f>'Working Sheet'!$J1339*'Working Sheet'!$K1339</f>
        <v>1100000</v>
      </c>
      <c r="O1339" s="21">
        <f>'Working Sheet'!$M1339*'Working Sheet'!$K1339</f>
        <v>880000</v>
      </c>
      <c r="P1339" s="20">
        <f>'Working Sheet'!$N1339-'Working Sheet'!$O1339</f>
        <v>220000</v>
      </c>
    </row>
    <row r="1340" spans="1:16" ht="14.25" customHeight="1" x14ac:dyDescent="0.25">
      <c r="A1340" s="23" t="str">
        <f t="shared" ca="1" si="40"/>
        <v>ID_1433</v>
      </c>
      <c r="B1340" s="22">
        <v>45734</v>
      </c>
      <c r="C1340" s="23" t="str">
        <f>TEXT('Working Sheet'!$B1340,"mmm")</f>
        <v>Mar</v>
      </c>
      <c r="D1340" s="23" t="s">
        <v>18</v>
      </c>
      <c r="E1340" s="23" t="s">
        <v>32</v>
      </c>
      <c r="F1340" s="23" t="s">
        <v>13</v>
      </c>
      <c r="G1340" s="23" t="s">
        <v>14</v>
      </c>
      <c r="H1340" s="23" t="s">
        <v>27</v>
      </c>
      <c r="I1340" s="23" t="s">
        <v>22</v>
      </c>
      <c r="J1340" s="24">
        <v>60000</v>
      </c>
      <c r="K1340" s="23">
        <v>8</v>
      </c>
      <c r="L1340" s="23" t="s">
        <v>37</v>
      </c>
      <c r="M1340" s="25">
        <f t="shared" si="41"/>
        <v>48000</v>
      </c>
      <c r="N1340" s="25">
        <f>'Working Sheet'!$J1340*'Working Sheet'!$K1340</f>
        <v>480000</v>
      </c>
      <c r="O1340" s="26">
        <f>'Working Sheet'!$M1340*'Working Sheet'!$K1340</f>
        <v>384000</v>
      </c>
      <c r="P1340" s="25">
        <f>'Working Sheet'!$N1340-'Working Sheet'!$O1340</f>
        <v>96000</v>
      </c>
    </row>
    <row r="1341" spans="1:16" ht="14.25" customHeight="1" x14ac:dyDescent="0.25">
      <c r="A1341" s="18" t="str">
        <f t="shared" ca="1" si="40"/>
        <v>ID_47</v>
      </c>
      <c r="B1341" s="17">
        <v>45663</v>
      </c>
      <c r="C1341" s="18" t="str">
        <f>TEXT('Working Sheet'!$B1341,"mmm")</f>
        <v>Jan</v>
      </c>
      <c r="D1341" s="18" t="s">
        <v>18</v>
      </c>
      <c r="E1341" s="18" t="s">
        <v>32</v>
      </c>
      <c r="F1341" s="18" t="s">
        <v>23</v>
      </c>
      <c r="G1341" s="18" t="s">
        <v>20</v>
      </c>
      <c r="H1341" s="18" t="s">
        <v>15</v>
      </c>
      <c r="I1341" s="18" t="s">
        <v>16</v>
      </c>
      <c r="J1341" s="19">
        <v>85000</v>
      </c>
      <c r="K1341" s="18">
        <v>10</v>
      </c>
      <c r="L1341" s="18" t="s">
        <v>35</v>
      </c>
      <c r="M1341" s="20">
        <f t="shared" si="41"/>
        <v>68000</v>
      </c>
      <c r="N1341" s="20">
        <f>'Working Sheet'!$J1341*'Working Sheet'!$K1341</f>
        <v>850000</v>
      </c>
      <c r="O1341" s="21">
        <f>'Working Sheet'!$M1341*'Working Sheet'!$K1341</f>
        <v>680000</v>
      </c>
      <c r="P1341" s="20">
        <f>'Working Sheet'!$N1341-'Working Sheet'!$O1341</f>
        <v>170000</v>
      </c>
    </row>
    <row r="1342" spans="1:16" ht="14.25" customHeight="1" x14ac:dyDescent="0.25">
      <c r="A1342" s="23" t="str">
        <f t="shared" ca="1" si="40"/>
        <v>ID_1603</v>
      </c>
      <c r="B1342" s="22">
        <v>45705</v>
      </c>
      <c r="C1342" s="23" t="str">
        <f>TEXT('Working Sheet'!$B1342,"mmm")</f>
        <v>Feb</v>
      </c>
      <c r="D1342" s="23" t="s">
        <v>29</v>
      </c>
      <c r="E1342" s="23" t="s">
        <v>19</v>
      </c>
      <c r="F1342" s="23" t="s">
        <v>13</v>
      </c>
      <c r="G1342" s="23" t="s">
        <v>20</v>
      </c>
      <c r="H1342" s="23" t="s">
        <v>21</v>
      </c>
      <c r="I1342" s="23" t="s">
        <v>22</v>
      </c>
      <c r="J1342" s="24">
        <v>30000</v>
      </c>
      <c r="K1342" s="23">
        <v>6</v>
      </c>
      <c r="L1342" s="23" t="s">
        <v>39</v>
      </c>
      <c r="M1342" s="25">
        <f t="shared" si="41"/>
        <v>24000</v>
      </c>
      <c r="N1342" s="25">
        <f>'Working Sheet'!$J1342*'Working Sheet'!$K1342</f>
        <v>180000</v>
      </c>
      <c r="O1342" s="26">
        <f>'Working Sheet'!$M1342*'Working Sheet'!$K1342</f>
        <v>144000</v>
      </c>
      <c r="P1342" s="25">
        <f>'Working Sheet'!$N1342-'Working Sheet'!$O1342</f>
        <v>36000</v>
      </c>
    </row>
    <row r="1343" spans="1:16" ht="14.25" customHeight="1" x14ac:dyDescent="0.25">
      <c r="A1343" s="18" t="str">
        <f t="shared" ca="1" si="40"/>
        <v>ID_1714</v>
      </c>
      <c r="B1343" s="17">
        <v>45754</v>
      </c>
      <c r="C1343" s="18" t="str">
        <f>TEXT('Working Sheet'!$B1343,"mmm")</f>
        <v>Apr</v>
      </c>
      <c r="D1343" s="18" t="s">
        <v>11</v>
      </c>
      <c r="E1343" s="18" t="s">
        <v>19</v>
      </c>
      <c r="F1343" s="18" t="s">
        <v>23</v>
      </c>
      <c r="G1343" s="18" t="s">
        <v>20</v>
      </c>
      <c r="H1343" s="18" t="s">
        <v>34</v>
      </c>
      <c r="I1343" s="18" t="s">
        <v>16</v>
      </c>
      <c r="J1343" s="19">
        <v>320000</v>
      </c>
      <c r="K1343" s="18">
        <v>10</v>
      </c>
      <c r="L1343" s="18" t="s">
        <v>24</v>
      </c>
      <c r="M1343" s="20">
        <f t="shared" si="41"/>
        <v>256000</v>
      </c>
      <c r="N1343" s="20">
        <f>'Working Sheet'!$J1343*'Working Sheet'!$K1343</f>
        <v>3200000</v>
      </c>
      <c r="O1343" s="21">
        <f>'Working Sheet'!$M1343*'Working Sheet'!$K1343</f>
        <v>2560000</v>
      </c>
      <c r="P1343" s="20">
        <f>'Working Sheet'!$N1343-'Working Sheet'!$O1343</f>
        <v>640000</v>
      </c>
    </row>
    <row r="1344" spans="1:16" ht="14.25" customHeight="1" x14ac:dyDescent="0.25">
      <c r="A1344" s="23" t="str">
        <f t="shared" ca="1" si="40"/>
        <v>ID_744</v>
      </c>
      <c r="B1344" s="22">
        <v>45766</v>
      </c>
      <c r="C1344" s="23" t="str">
        <f>TEXT('Working Sheet'!$B1344,"mmm")</f>
        <v>Apr</v>
      </c>
      <c r="D1344" s="23" t="s">
        <v>25</v>
      </c>
      <c r="E1344" s="23" t="s">
        <v>32</v>
      </c>
      <c r="F1344" s="23" t="s">
        <v>23</v>
      </c>
      <c r="G1344" s="23" t="s">
        <v>20</v>
      </c>
      <c r="H1344" s="23" t="s">
        <v>27</v>
      </c>
      <c r="I1344" s="23" t="s">
        <v>22</v>
      </c>
      <c r="J1344" s="24">
        <v>60000</v>
      </c>
      <c r="K1344" s="23">
        <v>2</v>
      </c>
      <c r="L1344" s="23" t="s">
        <v>24</v>
      </c>
      <c r="M1344" s="25">
        <f t="shared" si="41"/>
        <v>48000</v>
      </c>
      <c r="N1344" s="25">
        <f>'Working Sheet'!$J1344*'Working Sheet'!$K1344</f>
        <v>120000</v>
      </c>
      <c r="O1344" s="26">
        <f>'Working Sheet'!$M1344*'Working Sheet'!$K1344</f>
        <v>96000</v>
      </c>
      <c r="P1344" s="25">
        <f>'Working Sheet'!$N1344-'Working Sheet'!$O1344</f>
        <v>24000</v>
      </c>
    </row>
    <row r="1345" spans="1:16" ht="14.25" customHeight="1" x14ac:dyDescent="0.25">
      <c r="A1345" s="18" t="str">
        <f t="shared" ca="1" si="40"/>
        <v>ID_1502</v>
      </c>
      <c r="B1345" s="17">
        <v>45758</v>
      </c>
      <c r="C1345" s="18" t="str">
        <f>TEXT('Working Sheet'!$B1345,"mmm")</f>
        <v>Apr</v>
      </c>
      <c r="D1345" s="18" t="s">
        <v>18</v>
      </c>
      <c r="E1345" s="18" t="s">
        <v>19</v>
      </c>
      <c r="F1345" s="18" t="s">
        <v>23</v>
      </c>
      <c r="G1345" s="18" t="s">
        <v>20</v>
      </c>
      <c r="H1345" s="18" t="s">
        <v>38</v>
      </c>
      <c r="I1345" s="18" t="s">
        <v>31</v>
      </c>
      <c r="J1345" s="19">
        <v>420000</v>
      </c>
      <c r="K1345" s="18">
        <v>3</v>
      </c>
      <c r="L1345" s="18" t="s">
        <v>17</v>
      </c>
      <c r="M1345" s="20">
        <f t="shared" si="41"/>
        <v>336000</v>
      </c>
      <c r="N1345" s="20">
        <f>'Working Sheet'!$J1345*'Working Sheet'!$K1345</f>
        <v>1260000</v>
      </c>
      <c r="O1345" s="21">
        <f>'Working Sheet'!$M1345*'Working Sheet'!$K1345</f>
        <v>1008000</v>
      </c>
      <c r="P1345" s="20">
        <f>'Working Sheet'!$N1345-'Working Sheet'!$O1345</f>
        <v>252000</v>
      </c>
    </row>
    <row r="1346" spans="1:16" ht="14.25" customHeight="1" x14ac:dyDescent="0.25">
      <c r="A1346" s="23" t="str">
        <f t="shared" ref="A1346:A1409" ca="1" si="42">"ID_"&amp; RANDBETWEEN(1,2098)</f>
        <v>ID_1198</v>
      </c>
      <c r="B1346" s="22">
        <v>45725</v>
      </c>
      <c r="C1346" s="23" t="str">
        <f>TEXT('Working Sheet'!$B1346,"mmm")</f>
        <v>Mar</v>
      </c>
      <c r="D1346" s="23" t="s">
        <v>18</v>
      </c>
      <c r="E1346" s="23" t="s">
        <v>19</v>
      </c>
      <c r="F1346" s="23" t="s">
        <v>13</v>
      </c>
      <c r="G1346" s="23" t="s">
        <v>14</v>
      </c>
      <c r="H1346" s="23" t="s">
        <v>36</v>
      </c>
      <c r="I1346" s="23" t="s">
        <v>31</v>
      </c>
      <c r="J1346" s="24">
        <v>150000</v>
      </c>
      <c r="K1346" s="23">
        <v>5</v>
      </c>
      <c r="L1346" s="23" t="s">
        <v>28</v>
      </c>
      <c r="M1346" s="25">
        <f t="shared" ref="M1346:M1409" si="43">J1346-J1346*0.2</f>
        <v>120000</v>
      </c>
      <c r="N1346" s="25">
        <f>'Working Sheet'!$J1346*'Working Sheet'!$K1346</f>
        <v>750000</v>
      </c>
      <c r="O1346" s="26">
        <f>'Working Sheet'!$M1346*'Working Sheet'!$K1346</f>
        <v>600000</v>
      </c>
      <c r="P1346" s="25">
        <f>'Working Sheet'!$N1346-'Working Sheet'!$O1346</f>
        <v>150000</v>
      </c>
    </row>
    <row r="1347" spans="1:16" ht="14.25" customHeight="1" x14ac:dyDescent="0.25">
      <c r="A1347" s="18" t="str">
        <f t="shared" ca="1" si="42"/>
        <v>ID_1165</v>
      </c>
      <c r="B1347" s="17">
        <v>45706</v>
      </c>
      <c r="C1347" s="18" t="str">
        <f>TEXT('Working Sheet'!$B1347,"mmm")</f>
        <v>Feb</v>
      </c>
      <c r="D1347" s="18" t="s">
        <v>25</v>
      </c>
      <c r="E1347" s="18" t="s">
        <v>19</v>
      </c>
      <c r="F1347" s="18" t="s">
        <v>13</v>
      </c>
      <c r="G1347" s="18" t="s">
        <v>20</v>
      </c>
      <c r="H1347" s="18" t="s">
        <v>36</v>
      </c>
      <c r="I1347" s="18" t="s">
        <v>31</v>
      </c>
      <c r="J1347" s="19">
        <v>150000</v>
      </c>
      <c r="K1347" s="18">
        <v>9</v>
      </c>
      <c r="L1347" s="18" t="s">
        <v>35</v>
      </c>
      <c r="M1347" s="20">
        <f t="shared" si="43"/>
        <v>120000</v>
      </c>
      <c r="N1347" s="20">
        <f>'Working Sheet'!$J1347*'Working Sheet'!$K1347</f>
        <v>1350000</v>
      </c>
      <c r="O1347" s="21">
        <f>'Working Sheet'!$M1347*'Working Sheet'!$K1347</f>
        <v>1080000</v>
      </c>
      <c r="P1347" s="20">
        <f>'Working Sheet'!$N1347-'Working Sheet'!$O1347</f>
        <v>270000</v>
      </c>
    </row>
    <row r="1348" spans="1:16" ht="14.25" customHeight="1" x14ac:dyDescent="0.25">
      <c r="A1348" s="23" t="str">
        <f t="shared" ca="1" si="42"/>
        <v>ID_868</v>
      </c>
      <c r="B1348" s="22">
        <v>45704</v>
      </c>
      <c r="C1348" s="23" t="str">
        <f>TEXT('Working Sheet'!$B1348,"mmm")</f>
        <v>Feb</v>
      </c>
      <c r="D1348" s="23" t="s">
        <v>25</v>
      </c>
      <c r="E1348" s="23" t="s">
        <v>12</v>
      </c>
      <c r="F1348" s="23" t="s">
        <v>23</v>
      </c>
      <c r="G1348" s="23" t="s">
        <v>20</v>
      </c>
      <c r="H1348" s="23" t="s">
        <v>15</v>
      </c>
      <c r="I1348" s="23" t="s">
        <v>16</v>
      </c>
      <c r="J1348" s="24">
        <v>85000</v>
      </c>
      <c r="K1348" s="23">
        <v>5</v>
      </c>
      <c r="L1348" s="23" t="s">
        <v>37</v>
      </c>
      <c r="M1348" s="25">
        <f t="shared" si="43"/>
        <v>68000</v>
      </c>
      <c r="N1348" s="25">
        <f>'Working Sheet'!$J1348*'Working Sheet'!$K1348</f>
        <v>425000</v>
      </c>
      <c r="O1348" s="26">
        <f>'Working Sheet'!$M1348*'Working Sheet'!$K1348</f>
        <v>340000</v>
      </c>
      <c r="P1348" s="25">
        <f>'Working Sheet'!$N1348-'Working Sheet'!$O1348</f>
        <v>85000</v>
      </c>
    </row>
    <row r="1349" spans="1:16" ht="14.25" customHeight="1" x14ac:dyDescent="0.25">
      <c r="A1349" s="18" t="str">
        <f t="shared" ca="1" si="42"/>
        <v>ID_290</v>
      </c>
      <c r="B1349" s="17">
        <v>45694</v>
      </c>
      <c r="C1349" s="18" t="str">
        <f>TEXT('Working Sheet'!$B1349,"mmm")</f>
        <v>Feb</v>
      </c>
      <c r="D1349" s="18" t="s">
        <v>29</v>
      </c>
      <c r="E1349" s="18" t="s">
        <v>19</v>
      </c>
      <c r="F1349" s="18" t="s">
        <v>23</v>
      </c>
      <c r="G1349" s="18" t="s">
        <v>14</v>
      </c>
      <c r="H1349" s="18" t="s">
        <v>34</v>
      </c>
      <c r="I1349" s="18" t="s">
        <v>16</v>
      </c>
      <c r="J1349" s="19">
        <v>320000</v>
      </c>
      <c r="K1349" s="18">
        <v>1</v>
      </c>
      <c r="L1349" s="18" t="s">
        <v>24</v>
      </c>
      <c r="M1349" s="20">
        <f t="shared" si="43"/>
        <v>256000</v>
      </c>
      <c r="N1349" s="20">
        <f>'Working Sheet'!$J1349*'Working Sheet'!$K1349</f>
        <v>320000</v>
      </c>
      <c r="O1349" s="21">
        <f>'Working Sheet'!$M1349*'Working Sheet'!$K1349</f>
        <v>256000</v>
      </c>
      <c r="P1349" s="20">
        <f>'Working Sheet'!$N1349-'Working Sheet'!$O1349</f>
        <v>64000</v>
      </c>
    </row>
    <row r="1350" spans="1:16" ht="14.25" customHeight="1" x14ac:dyDescent="0.25">
      <c r="A1350" s="23" t="str">
        <f t="shared" ca="1" si="42"/>
        <v>ID_392</v>
      </c>
      <c r="B1350" s="22">
        <v>45742</v>
      </c>
      <c r="C1350" s="23" t="str">
        <f>TEXT('Working Sheet'!$B1350,"mmm")</f>
        <v>Mar</v>
      </c>
      <c r="D1350" s="23" t="s">
        <v>18</v>
      </c>
      <c r="E1350" s="23" t="s">
        <v>12</v>
      </c>
      <c r="F1350" s="23" t="s">
        <v>13</v>
      </c>
      <c r="G1350" s="23" t="s">
        <v>20</v>
      </c>
      <c r="H1350" s="23" t="s">
        <v>21</v>
      </c>
      <c r="I1350" s="23" t="s">
        <v>22</v>
      </c>
      <c r="J1350" s="24">
        <v>30000</v>
      </c>
      <c r="K1350" s="23">
        <v>4</v>
      </c>
      <c r="L1350" s="23" t="s">
        <v>28</v>
      </c>
      <c r="M1350" s="25">
        <f t="shared" si="43"/>
        <v>24000</v>
      </c>
      <c r="N1350" s="25">
        <f>'Working Sheet'!$J1350*'Working Sheet'!$K1350</f>
        <v>120000</v>
      </c>
      <c r="O1350" s="26">
        <f>'Working Sheet'!$M1350*'Working Sheet'!$K1350</f>
        <v>96000</v>
      </c>
      <c r="P1350" s="25">
        <f>'Working Sheet'!$N1350-'Working Sheet'!$O1350</f>
        <v>24000</v>
      </c>
    </row>
    <row r="1351" spans="1:16" ht="14.25" customHeight="1" x14ac:dyDescent="0.25">
      <c r="A1351" s="18" t="str">
        <f t="shared" ca="1" si="42"/>
        <v>ID_265</v>
      </c>
      <c r="B1351" s="17">
        <v>45774</v>
      </c>
      <c r="C1351" s="18" t="str">
        <f>TEXT('Working Sheet'!$B1351,"mmm")</f>
        <v>Apr</v>
      </c>
      <c r="D1351" s="18" t="s">
        <v>25</v>
      </c>
      <c r="E1351" s="18" t="s">
        <v>26</v>
      </c>
      <c r="F1351" s="18" t="s">
        <v>23</v>
      </c>
      <c r="G1351" s="18" t="s">
        <v>20</v>
      </c>
      <c r="H1351" s="18" t="s">
        <v>41</v>
      </c>
      <c r="I1351" s="18" t="s">
        <v>22</v>
      </c>
      <c r="J1351" s="19">
        <v>220000</v>
      </c>
      <c r="K1351" s="18">
        <v>8</v>
      </c>
      <c r="L1351" s="18" t="s">
        <v>37</v>
      </c>
      <c r="M1351" s="20">
        <f t="shared" si="43"/>
        <v>176000</v>
      </c>
      <c r="N1351" s="20">
        <f>'Working Sheet'!$J1351*'Working Sheet'!$K1351</f>
        <v>1760000</v>
      </c>
      <c r="O1351" s="21">
        <f>'Working Sheet'!$M1351*'Working Sheet'!$K1351</f>
        <v>1408000</v>
      </c>
      <c r="P1351" s="20">
        <f>'Working Sheet'!$N1351-'Working Sheet'!$O1351</f>
        <v>352000</v>
      </c>
    </row>
    <row r="1352" spans="1:16" ht="14.25" customHeight="1" x14ac:dyDescent="0.25">
      <c r="A1352" s="23" t="str">
        <f t="shared" ca="1" si="42"/>
        <v>ID_1189</v>
      </c>
      <c r="B1352" s="22">
        <v>45741</v>
      </c>
      <c r="C1352" s="23" t="str">
        <f>TEXT('Working Sheet'!$B1352,"mmm")</f>
        <v>Mar</v>
      </c>
      <c r="D1352" s="23" t="s">
        <v>11</v>
      </c>
      <c r="E1352" s="23" t="s">
        <v>32</v>
      </c>
      <c r="F1352" s="23" t="s">
        <v>23</v>
      </c>
      <c r="G1352" s="23" t="s">
        <v>20</v>
      </c>
      <c r="H1352" s="23" t="s">
        <v>34</v>
      </c>
      <c r="I1352" s="23" t="s">
        <v>16</v>
      </c>
      <c r="J1352" s="24">
        <v>320000</v>
      </c>
      <c r="K1352" s="23">
        <v>5</v>
      </c>
      <c r="L1352" s="23" t="s">
        <v>39</v>
      </c>
      <c r="M1352" s="25">
        <f t="shared" si="43"/>
        <v>256000</v>
      </c>
      <c r="N1352" s="25">
        <f>'Working Sheet'!$J1352*'Working Sheet'!$K1352</f>
        <v>1600000</v>
      </c>
      <c r="O1352" s="26">
        <f>'Working Sheet'!$M1352*'Working Sheet'!$K1352</f>
        <v>1280000</v>
      </c>
      <c r="P1352" s="25">
        <f>'Working Sheet'!$N1352-'Working Sheet'!$O1352</f>
        <v>320000</v>
      </c>
    </row>
    <row r="1353" spans="1:16" ht="14.25" customHeight="1" x14ac:dyDescent="0.25">
      <c r="A1353" s="18" t="str">
        <f t="shared" ca="1" si="42"/>
        <v>ID_539</v>
      </c>
      <c r="B1353" s="17">
        <v>45703</v>
      </c>
      <c r="C1353" s="18" t="str">
        <f>TEXT('Working Sheet'!$B1353,"mmm")</f>
        <v>Feb</v>
      </c>
      <c r="D1353" s="18" t="s">
        <v>11</v>
      </c>
      <c r="E1353" s="18" t="s">
        <v>32</v>
      </c>
      <c r="F1353" s="18" t="s">
        <v>23</v>
      </c>
      <c r="G1353" s="18" t="s">
        <v>20</v>
      </c>
      <c r="H1353" s="18" t="s">
        <v>15</v>
      </c>
      <c r="I1353" s="18" t="s">
        <v>16</v>
      </c>
      <c r="J1353" s="19">
        <v>85000</v>
      </c>
      <c r="K1353" s="18">
        <v>3</v>
      </c>
      <c r="L1353" s="18" t="s">
        <v>37</v>
      </c>
      <c r="M1353" s="20">
        <f t="shared" si="43"/>
        <v>68000</v>
      </c>
      <c r="N1353" s="20">
        <f>'Working Sheet'!$J1353*'Working Sheet'!$K1353</f>
        <v>255000</v>
      </c>
      <c r="O1353" s="21">
        <f>'Working Sheet'!$M1353*'Working Sheet'!$K1353</f>
        <v>204000</v>
      </c>
      <c r="P1353" s="20">
        <f>'Working Sheet'!$N1353-'Working Sheet'!$O1353</f>
        <v>51000</v>
      </c>
    </row>
    <row r="1354" spans="1:16" ht="14.25" customHeight="1" x14ac:dyDescent="0.25">
      <c r="A1354" s="23" t="str">
        <f t="shared" ca="1" si="42"/>
        <v>ID_1415</v>
      </c>
      <c r="B1354" s="22">
        <v>45689</v>
      </c>
      <c r="C1354" s="23" t="str">
        <f>TEXT('Working Sheet'!$B1354,"mmm")</f>
        <v>Feb</v>
      </c>
      <c r="D1354" s="23" t="s">
        <v>18</v>
      </c>
      <c r="E1354" s="23" t="s">
        <v>26</v>
      </c>
      <c r="F1354" s="23" t="s">
        <v>13</v>
      </c>
      <c r="G1354" s="23" t="s">
        <v>20</v>
      </c>
      <c r="H1354" s="23" t="s">
        <v>34</v>
      </c>
      <c r="I1354" s="23" t="s">
        <v>16</v>
      </c>
      <c r="J1354" s="24">
        <v>320000</v>
      </c>
      <c r="K1354" s="23">
        <v>10</v>
      </c>
      <c r="L1354" s="23" t="s">
        <v>17</v>
      </c>
      <c r="M1354" s="25">
        <f t="shared" si="43"/>
        <v>256000</v>
      </c>
      <c r="N1354" s="25">
        <f>'Working Sheet'!$J1354*'Working Sheet'!$K1354</f>
        <v>3200000</v>
      </c>
      <c r="O1354" s="26">
        <f>'Working Sheet'!$M1354*'Working Sheet'!$K1354</f>
        <v>2560000</v>
      </c>
      <c r="P1354" s="25">
        <f>'Working Sheet'!$N1354-'Working Sheet'!$O1354</f>
        <v>640000</v>
      </c>
    </row>
    <row r="1355" spans="1:16" ht="14.25" customHeight="1" x14ac:dyDescent="0.25">
      <c r="A1355" s="18" t="str">
        <f t="shared" ca="1" si="42"/>
        <v>ID_1879</v>
      </c>
      <c r="B1355" s="17">
        <v>45716</v>
      </c>
      <c r="C1355" s="18" t="str">
        <f>TEXT('Working Sheet'!$B1355,"mmm")</f>
        <v>Feb</v>
      </c>
      <c r="D1355" s="18" t="s">
        <v>11</v>
      </c>
      <c r="E1355" s="18" t="s">
        <v>26</v>
      </c>
      <c r="F1355" s="18" t="s">
        <v>13</v>
      </c>
      <c r="G1355" s="18" t="s">
        <v>14</v>
      </c>
      <c r="H1355" s="18" t="s">
        <v>38</v>
      </c>
      <c r="I1355" s="18" t="s">
        <v>31</v>
      </c>
      <c r="J1355" s="19">
        <v>420000</v>
      </c>
      <c r="K1355" s="18">
        <v>2</v>
      </c>
      <c r="L1355" s="18" t="s">
        <v>39</v>
      </c>
      <c r="M1355" s="20">
        <f t="shared" si="43"/>
        <v>336000</v>
      </c>
      <c r="N1355" s="20">
        <f>'Working Sheet'!$J1355*'Working Sheet'!$K1355</f>
        <v>840000</v>
      </c>
      <c r="O1355" s="21">
        <f>'Working Sheet'!$M1355*'Working Sheet'!$K1355</f>
        <v>672000</v>
      </c>
      <c r="P1355" s="20">
        <f>'Working Sheet'!$N1355-'Working Sheet'!$O1355</f>
        <v>168000</v>
      </c>
    </row>
    <row r="1356" spans="1:16" ht="14.25" customHeight="1" x14ac:dyDescent="0.25">
      <c r="A1356" s="23" t="str">
        <f t="shared" ca="1" si="42"/>
        <v>ID_331</v>
      </c>
      <c r="B1356" s="22">
        <v>45738</v>
      </c>
      <c r="C1356" s="23" t="str">
        <f>TEXT('Working Sheet'!$B1356,"mmm")</f>
        <v>Mar</v>
      </c>
      <c r="D1356" s="23" t="s">
        <v>29</v>
      </c>
      <c r="E1356" s="23" t="s">
        <v>32</v>
      </c>
      <c r="F1356" s="23" t="s">
        <v>13</v>
      </c>
      <c r="G1356" s="23" t="s">
        <v>14</v>
      </c>
      <c r="H1356" s="23" t="s">
        <v>21</v>
      </c>
      <c r="I1356" s="23" t="s">
        <v>22</v>
      </c>
      <c r="J1356" s="24">
        <v>30000</v>
      </c>
      <c r="K1356" s="23">
        <v>3</v>
      </c>
      <c r="L1356" s="23" t="s">
        <v>17</v>
      </c>
      <c r="M1356" s="25">
        <f t="shared" si="43"/>
        <v>24000</v>
      </c>
      <c r="N1356" s="25">
        <f>'Working Sheet'!$J1356*'Working Sheet'!$K1356</f>
        <v>90000</v>
      </c>
      <c r="O1356" s="26">
        <f>'Working Sheet'!$M1356*'Working Sheet'!$K1356</f>
        <v>72000</v>
      </c>
      <c r="P1356" s="25">
        <f>'Working Sheet'!$N1356-'Working Sheet'!$O1356</f>
        <v>18000</v>
      </c>
    </row>
    <row r="1357" spans="1:16" ht="14.25" customHeight="1" x14ac:dyDescent="0.25">
      <c r="A1357" s="18" t="str">
        <f t="shared" ca="1" si="42"/>
        <v>ID_487</v>
      </c>
      <c r="B1357" s="17">
        <v>45757</v>
      </c>
      <c r="C1357" s="18" t="str">
        <f>TEXT('Working Sheet'!$B1357,"mmm")</f>
        <v>Apr</v>
      </c>
      <c r="D1357" s="18" t="s">
        <v>11</v>
      </c>
      <c r="E1357" s="18" t="s">
        <v>32</v>
      </c>
      <c r="F1357" s="18" t="s">
        <v>23</v>
      </c>
      <c r="G1357" s="18" t="s">
        <v>14</v>
      </c>
      <c r="H1357" s="18" t="s">
        <v>21</v>
      </c>
      <c r="I1357" s="18" t="s">
        <v>22</v>
      </c>
      <c r="J1357" s="19">
        <v>30000</v>
      </c>
      <c r="K1357" s="18">
        <v>1</v>
      </c>
      <c r="L1357" s="18" t="s">
        <v>39</v>
      </c>
      <c r="M1357" s="20">
        <f t="shared" si="43"/>
        <v>24000</v>
      </c>
      <c r="N1357" s="20">
        <f>'Working Sheet'!$J1357*'Working Sheet'!$K1357</f>
        <v>30000</v>
      </c>
      <c r="O1357" s="21">
        <f>'Working Sheet'!$M1357*'Working Sheet'!$K1357</f>
        <v>24000</v>
      </c>
      <c r="P1357" s="20">
        <f>'Working Sheet'!$N1357-'Working Sheet'!$O1357</f>
        <v>6000</v>
      </c>
    </row>
    <row r="1358" spans="1:16" ht="14.25" customHeight="1" x14ac:dyDescent="0.25">
      <c r="A1358" s="23" t="str">
        <f t="shared" ca="1" si="42"/>
        <v>ID_1591</v>
      </c>
      <c r="B1358" s="22">
        <v>45666</v>
      </c>
      <c r="C1358" s="23" t="str">
        <f>TEXT('Working Sheet'!$B1358,"mmm")</f>
        <v>Jan</v>
      </c>
      <c r="D1358" s="23" t="s">
        <v>18</v>
      </c>
      <c r="E1358" s="23" t="s">
        <v>26</v>
      </c>
      <c r="F1358" s="23" t="s">
        <v>13</v>
      </c>
      <c r="G1358" s="23" t="s">
        <v>20</v>
      </c>
      <c r="H1358" s="23" t="s">
        <v>38</v>
      </c>
      <c r="I1358" s="23" t="s">
        <v>31</v>
      </c>
      <c r="J1358" s="24">
        <v>420000</v>
      </c>
      <c r="K1358" s="23">
        <v>10</v>
      </c>
      <c r="L1358" s="23" t="s">
        <v>39</v>
      </c>
      <c r="M1358" s="25">
        <f t="shared" si="43"/>
        <v>336000</v>
      </c>
      <c r="N1358" s="25">
        <f>'Working Sheet'!$J1358*'Working Sheet'!$K1358</f>
        <v>4200000</v>
      </c>
      <c r="O1358" s="26">
        <f>'Working Sheet'!$M1358*'Working Sheet'!$K1358</f>
        <v>3360000</v>
      </c>
      <c r="P1358" s="25">
        <f>'Working Sheet'!$N1358-'Working Sheet'!$O1358</f>
        <v>840000</v>
      </c>
    </row>
    <row r="1359" spans="1:16" ht="14.25" customHeight="1" x14ac:dyDescent="0.25">
      <c r="A1359" s="18" t="str">
        <f t="shared" ca="1" si="42"/>
        <v>ID_182</v>
      </c>
      <c r="B1359" s="17">
        <v>45762</v>
      </c>
      <c r="C1359" s="18" t="str">
        <f>TEXT('Working Sheet'!$B1359,"mmm")</f>
        <v>Apr</v>
      </c>
      <c r="D1359" s="18" t="s">
        <v>25</v>
      </c>
      <c r="E1359" s="18" t="s">
        <v>26</v>
      </c>
      <c r="F1359" s="18" t="s">
        <v>13</v>
      </c>
      <c r="G1359" s="18" t="s">
        <v>20</v>
      </c>
      <c r="H1359" s="18" t="s">
        <v>36</v>
      </c>
      <c r="I1359" s="18" t="s">
        <v>31</v>
      </c>
      <c r="J1359" s="19">
        <v>150000</v>
      </c>
      <c r="K1359" s="18">
        <v>8</v>
      </c>
      <c r="L1359" s="18" t="s">
        <v>17</v>
      </c>
      <c r="M1359" s="20">
        <f t="shared" si="43"/>
        <v>120000</v>
      </c>
      <c r="N1359" s="20">
        <f>'Working Sheet'!$J1359*'Working Sheet'!$K1359</f>
        <v>1200000</v>
      </c>
      <c r="O1359" s="21">
        <f>'Working Sheet'!$M1359*'Working Sheet'!$K1359</f>
        <v>960000</v>
      </c>
      <c r="P1359" s="20">
        <f>'Working Sheet'!$N1359-'Working Sheet'!$O1359</f>
        <v>240000</v>
      </c>
    </row>
    <row r="1360" spans="1:16" ht="14.25" customHeight="1" x14ac:dyDescent="0.25">
      <c r="A1360" s="23" t="str">
        <f t="shared" ca="1" si="42"/>
        <v>ID_973</v>
      </c>
      <c r="B1360" s="22">
        <v>45717</v>
      </c>
      <c r="C1360" s="23" t="str">
        <f>TEXT('Working Sheet'!$B1360,"mmm")</f>
        <v>Mar</v>
      </c>
      <c r="D1360" s="23" t="s">
        <v>29</v>
      </c>
      <c r="E1360" s="23" t="s">
        <v>19</v>
      </c>
      <c r="F1360" s="23" t="s">
        <v>23</v>
      </c>
      <c r="G1360" s="23" t="s">
        <v>20</v>
      </c>
      <c r="H1360" s="23" t="s">
        <v>41</v>
      </c>
      <c r="I1360" s="23" t="s">
        <v>22</v>
      </c>
      <c r="J1360" s="24">
        <v>220000</v>
      </c>
      <c r="K1360" s="23">
        <v>8</v>
      </c>
      <c r="L1360" s="23" t="s">
        <v>17</v>
      </c>
      <c r="M1360" s="25">
        <f t="shared" si="43"/>
        <v>176000</v>
      </c>
      <c r="N1360" s="25">
        <f>'Working Sheet'!$J1360*'Working Sheet'!$K1360</f>
        <v>1760000</v>
      </c>
      <c r="O1360" s="26">
        <f>'Working Sheet'!$M1360*'Working Sheet'!$K1360</f>
        <v>1408000</v>
      </c>
      <c r="P1360" s="25">
        <f>'Working Sheet'!$N1360-'Working Sheet'!$O1360</f>
        <v>352000</v>
      </c>
    </row>
    <row r="1361" spans="1:16" ht="14.25" customHeight="1" x14ac:dyDescent="0.25">
      <c r="A1361" s="18" t="str">
        <f t="shared" ca="1" si="42"/>
        <v>ID_550</v>
      </c>
      <c r="B1361" s="17">
        <v>45685</v>
      </c>
      <c r="C1361" s="18" t="str">
        <f>TEXT('Working Sheet'!$B1361,"mmm")</f>
        <v>Jan</v>
      </c>
      <c r="D1361" s="18" t="s">
        <v>18</v>
      </c>
      <c r="E1361" s="18" t="s">
        <v>32</v>
      </c>
      <c r="F1361" s="18" t="s">
        <v>13</v>
      </c>
      <c r="G1361" s="18" t="s">
        <v>20</v>
      </c>
      <c r="H1361" s="18" t="s">
        <v>34</v>
      </c>
      <c r="I1361" s="18" t="s">
        <v>16</v>
      </c>
      <c r="J1361" s="19">
        <v>320000</v>
      </c>
      <c r="K1361" s="18">
        <v>9</v>
      </c>
      <c r="L1361" s="18" t="s">
        <v>35</v>
      </c>
      <c r="M1361" s="20">
        <f t="shared" si="43"/>
        <v>256000</v>
      </c>
      <c r="N1361" s="20">
        <f>'Working Sheet'!$J1361*'Working Sheet'!$K1361</f>
        <v>2880000</v>
      </c>
      <c r="O1361" s="21">
        <f>'Working Sheet'!$M1361*'Working Sheet'!$K1361</f>
        <v>2304000</v>
      </c>
      <c r="P1361" s="20">
        <f>'Working Sheet'!$N1361-'Working Sheet'!$O1361</f>
        <v>576000</v>
      </c>
    </row>
    <row r="1362" spans="1:16" ht="14.25" customHeight="1" x14ac:dyDescent="0.25">
      <c r="A1362" s="23" t="str">
        <f t="shared" ca="1" si="42"/>
        <v>ID_1631</v>
      </c>
      <c r="B1362" s="22">
        <v>45737</v>
      </c>
      <c r="C1362" s="23" t="str">
        <f>TEXT('Working Sheet'!$B1362,"mmm")</f>
        <v>Mar</v>
      </c>
      <c r="D1362" s="23" t="s">
        <v>29</v>
      </c>
      <c r="E1362" s="23" t="s">
        <v>12</v>
      </c>
      <c r="F1362" s="23" t="s">
        <v>13</v>
      </c>
      <c r="G1362" s="23" t="s">
        <v>20</v>
      </c>
      <c r="H1362" s="23" t="s">
        <v>41</v>
      </c>
      <c r="I1362" s="23" t="s">
        <v>22</v>
      </c>
      <c r="J1362" s="24">
        <v>220000</v>
      </c>
      <c r="K1362" s="23">
        <v>3</v>
      </c>
      <c r="L1362" s="23" t="s">
        <v>39</v>
      </c>
      <c r="M1362" s="25">
        <f t="shared" si="43"/>
        <v>176000</v>
      </c>
      <c r="N1362" s="25">
        <f>'Working Sheet'!$J1362*'Working Sheet'!$K1362</f>
        <v>660000</v>
      </c>
      <c r="O1362" s="26">
        <f>'Working Sheet'!$M1362*'Working Sheet'!$K1362</f>
        <v>528000</v>
      </c>
      <c r="P1362" s="25">
        <f>'Working Sheet'!$N1362-'Working Sheet'!$O1362</f>
        <v>132000</v>
      </c>
    </row>
    <row r="1363" spans="1:16" ht="14.25" customHeight="1" x14ac:dyDescent="0.25">
      <c r="A1363" s="18" t="str">
        <f t="shared" ca="1" si="42"/>
        <v>ID_980</v>
      </c>
      <c r="B1363" s="17">
        <v>45713</v>
      </c>
      <c r="C1363" s="18" t="str">
        <f>TEXT('Working Sheet'!$B1363,"mmm")</f>
        <v>Feb</v>
      </c>
      <c r="D1363" s="18" t="s">
        <v>11</v>
      </c>
      <c r="E1363" s="18" t="s">
        <v>26</v>
      </c>
      <c r="F1363" s="18" t="s">
        <v>23</v>
      </c>
      <c r="G1363" s="18" t="s">
        <v>14</v>
      </c>
      <c r="H1363" s="18" t="s">
        <v>33</v>
      </c>
      <c r="I1363" s="18" t="s">
        <v>22</v>
      </c>
      <c r="J1363" s="19">
        <v>180000</v>
      </c>
      <c r="K1363" s="18">
        <v>8</v>
      </c>
      <c r="L1363" s="18" t="s">
        <v>35</v>
      </c>
      <c r="M1363" s="20">
        <f t="shared" si="43"/>
        <v>144000</v>
      </c>
      <c r="N1363" s="20">
        <f>'Working Sheet'!$J1363*'Working Sheet'!$K1363</f>
        <v>1440000</v>
      </c>
      <c r="O1363" s="21">
        <f>'Working Sheet'!$M1363*'Working Sheet'!$K1363</f>
        <v>1152000</v>
      </c>
      <c r="P1363" s="20">
        <f>'Working Sheet'!$N1363-'Working Sheet'!$O1363</f>
        <v>288000</v>
      </c>
    </row>
    <row r="1364" spans="1:16" ht="14.25" customHeight="1" x14ac:dyDescent="0.25">
      <c r="A1364" s="23" t="str">
        <f t="shared" ca="1" si="42"/>
        <v>ID_890</v>
      </c>
      <c r="B1364" s="22">
        <v>45695</v>
      </c>
      <c r="C1364" s="23" t="str">
        <f>TEXT('Working Sheet'!$B1364,"mmm")</f>
        <v>Feb</v>
      </c>
      <c r="D1364" s="23" t="s">
        <v>29</v>
      </c>
      <c r="E1364" s="23" t="s">
        <v>26</v>
      </c>
      <c r="F1364" s="23" t="s">
        <v>13</v>
      </c>
      <c r="G1364" s="23" t="s">
        <v>20</v>
      </c>
      <c r="H1364" s="23" t="s">
        <v>40</v>
      </c>
      <c r="I1364" s="23" t="s">
        <v>31</v>
      </c>
      <c r="J1364" s="24">
        <v>250000</v>
      </c>
      <c r="K1364" s="23">
        <v>4</v>
      </c>
      <c r="L1364" s="23" t="s">
        <v>28</v>
      </c>
      <c r="M1364" s="25">
        <f t="shared" si="43"/>
        <v>200000</v>
      </c>
      <c r="N1364" s="25">
        <f>'Working Sheet'!$J1364*'Working Sheet'!$K1364</f>
        <v>1000000</v>
      </c>
      <c r="O1364" s="26">
        <f>'Working Sheet'!$M1364*'Working Sheet'!$K1364</f>
        <v>800000</v>
      </c>
      <c r="P1364" s="25">
        <f>'Working Sheet'!$N1364-'Working Sheet'!$O1364</f>
        <v>200000</v>
      </c>
    </row>
    <row r="1365" spans="1:16" ht="14.25" customHeight="1" x14ac:dyDescent="0.25">
      <c r="A1365" s="18" t="str">
        <f t="shared" ca="1" si="42"/>
        <v>ID_981</v>
      </c>
      <c r="B1365" s="17">
        <v>45711</v>
      </c>
      <c r="C1365" s="18" t="str">
        <f>TEXT('Working Sheet'!$B1365,"mmm")</f>
        <v>Feb</v>
      </c>
      <c r="D1365" s="18" t="s">
        <v>29</v>
      </c>
      <c r="E1365" s="18" t="s">
        <v>19</v>
      </c>
      <c r="F1365" s="18" t="s">
        <v>23</v>
      </c>
      <c r="G1365" s="18" t="s">
        <v>20</v>
      </c>
      <c r="H1365" s="18" t="s">
        <v>27</v>
      </c>
      <c r="I1365" s="18" t="s">
        <v>22</v>
      </c>
      <c r="J1365" s="19">
        <v>60000</v>
      </c>
      <c r="K1365" s="18">
        <v>7</v>
      </c>
      <c r="L1365" s="18" t="s">
        <v>35</v>
      </c>
      <c r="M1365" s="20">
        <f t="shared" si="43"/>
        <v>48000</v>
      </c>
      <c r="N1365" s="20">
        <f>'Working Sheet'!$J1365*'Working Sheet'!$K1365</f>
        <v>420000</v>
      </c>
      <c r="O1365" s="21">
        <f>'Working Sheet'!$M1365*'Working Sheet'!$K1365</f>
        <v>336000</v>
      </c>
      <c r="P1365" s="20">
        <f>'Working Sheet'!$N1365-'Working Sheet'!$O1365</f>
        <v>84000</v>
      </c>
    </row>
    <row r="1366" spans="1:16" ht="14.25" customHeight="1" x14ac:dyDescent="0.25">
      <c r="A1366" s="23" t="str">
        <f t="shared" ca="1" si="42"/>
        <v>ID_770</v>
      </c>
      <c r="B1366" s="22">
        <v>45675</v>
      </c>
      <c r="C1366" s="23" t="str">
        <f>TEXT('Working Sheet'!$B1366,"mmm")</f>
        <v>Jan</v>
      </c>
      <c r="D1366" s="23" t="s">
        <v>29</v>
      </c>
      <c r="E1366" s="23" t="s">
        <v>12</v>
      </c>
      <c r="F1366" s="23" t="s">
        <v>23</v>
      </c>
      <c r="G1366" s="23" t="s">
        <v>20</v>
      </c>
      <c r="H1366" s="23" t="s">
        <v>41</v>
      </c>
      <c r="I1366" s="23" t="s">
        <v>22</v>
      </c>
      <c r="J1366" s="24">
        <v>220000</v>
      </c>
      <c r="K1366" s="23">
        <v>10</v>
      </c>
      <c r="L1366" s="23" t="s">
        <v>39</v>
      </c>
      <c r="M1366" s="25">
        <f t="shared" si="43"/>
        <v>176000</v>
      </c>
      <c r="N1366" s="25">
        <f>'Working Sheet'!$J1366*'Working Sheet'!$K1366</f>
        <v>2200000</v>
      </c>
      <c r="O1366" s="26">
        <f>'Working Sheet'!$M1366*'Working Sheet'!$K1366</f>
        <v>1760000</v>
      </c>
      <c r="P1366" s="25">
        <f>'Working Sheet'!$N1366-'Working Sheet'!$O1366</f>
        <v>440000</v>
      </c>
    </row>
    <row r="1367" spans="1:16" ht="14.25" customHeight="1" x14ac:dyDescent="0.25">
      <c r="A1367" s="18" t="str">
        <f t="shared" ca="1" si="42"/>
        <v>ID_1878</v>
      </c>
      <c r="B1367" s="17">
        <v>45761</v>
      </c>
      <c r="C1367" s="18" t="str">
        <f>TEXT('Working Sheet'!$B1367,"mmm")</f>
        <v>Apr</v>
      </c>
      <c r="D1367" s="18" t="s">
        <v>25</v>
      </c>
      <c r="E1367" s="18" t="s">
        <v>26</v>
      </c>
      <c r="F1367" s="18" t="s">
        <v>13</v>
      </c>
      <c r="G1367" s="18" t="s">
        <v>14</v>
      </c>
      <c r="H1367" s="18" t="s">
        <v>27</v>
      </c>
      <c r="I1367" s="18" t="s">
        <v>22</v>
      </c>
      <c r="J1367" s="19">
        <v>60000</v>
      </c>
      <c r="K1367" s="18">
        <v>9</v>
      </c>
      <c r="L1367" s="18" t="s">
        <v>39</v>
      </c>
      <c r="M1367" s="20">
        <f t="shared" si="43"/>
        <v>48000</v>
      </c>
      <c r="N1367" s="20">
        <f>'Working Sheet'!$J1367*'Working Sheet'!$K1367</f>
        <v>540000</v>
      </c>
      <c r="O1367" s="21">
        <f>'Working Sheet'!$M1367*'Working Sheet'!$K1367</f>
        <v>432000</v>
      </c>
      <c r="P1367" s="20">
        <f>'Working Sheet'!$N1367-'Working Sheet'!$O1367</f>
        <v>108000</v>
      </c>
    </row>
    <row r="1368" spans="1:16" ht="14.25" customHeight="1" x14ac:dyDescent="0.25">
      <c r="A1368" s="23" t="str">
        <f t="shared" ca="1" si="42"/>
        <v>ID_1700</v>
      </c>
      <c r="B1368" s="22">
        <v>45704</v>
      </c>
      <c r="C1368" s="23" t="str">
        <f>TEXT('Working Sheet'!$B1368,"mmm")</f>
        <v>Feb</v>
      </c>
      <c r="D1368" s="23" t="s">
        <v>11</v>
      </c>
      <c r="E1368" s="23" t="s">
        <v>26</v>
      </c>
      <c r="F1368" s="23" t="s">
        <v>23</v>
      </c>
      <c r="G1368" s="23" t="s">
        <v>14</v>
      </c>
      <c r="H1368" s="23" t="s">
        <v>27</v>
      </c>
      <c r="I1368" s="23" t="s">
        <v>22</v>
      </c>
      <c r="J1368" s="24">
        <v>60000</v>
      </c>
      <c r="K1368" s="23">
        <v>2</v>
      </c>
      <c r="L1368" s="23" t="s">
        <v>28</v>
      </c>
      <c r="M1368" s="25">
        <f t="shared" si="43"/>
        <v>48000</v>
      </c>
      <c r="N1368" s="25">
        <f>'Working Sheet'!$J1368*'Working Sheet'!$K1368</f>
        <v>120000</v>
      </c>
      <c r="O1368" s="26">
        <f>'Working Sheet'!$M1368*'Working Sheet'!$K1368</f>
        <v>96000</v>
      </c>
      <c r="P1368" s="25">
        <f>'Working Sheet'!$N1368-'Working Sheet'!$O1368</f>
        <v>24000</v>
      </c>
    </row>
    <row r="1369" spans="1:16" ht="14.25" customHeight="1" x14ac:dyDescent="0.25">
      <c r="A1369" s="18" t="str">
        <f t="shared" ca="1" si="42"/>
        <v>ID_2042</v>
      </c>
      <c r="B1369" s="17">
        <v>45703</v>
      </c>
      <c r="C1369" s="18" t="str">
        <f>TEXT('Working Sheet'!$B1369,"mmm")</f>
        <v>Feb</v>
      </c>
      <c r="D1369" s="18" t="s">
        <v>18</v>
      </c>
      <c r="E1369" s="18" t="s">
        <v>19</v>
      </c>
      <c r="F1369" s="18" t="s">
        <v>23</v>
      </c>
      <c r="G1369" s="18" t="s">
        <v>14</v>
      </c>
      <c r="H1369" s="18" t="s">
        <v>36</v>
      </c>
      <c r="I1369" s="18" t="s">
        <v>31</v>
      </c>
      <c r="J1369" s="19">
        <v>150000</v>
      </c>
      <c r="K1369" s="18">
        <v>3</v>
      </c>
      <c r="L1369" s="18" t="s">
        <v>17</v>
      </c>
      <c r="M1369" s="20">
        <f t="shared" si="43"/>
        <v>120000</v>
      </c>
      <c r="N1369" s="20">
        <f>'Working Sheet'!$J1369*'Working Sheet'!$K1369</f>
        <v>450000</v>
      </c>
      <c r="O1369" s="21">
        <f>'Working Sheet'!$M1369*'Working Sheet'!$K1369</f>
        <v>360000</v>
      </c>
      <c r="P1369" s="20">
        <f>'Working Sheet'!$N1369-'Working Sheet'!$O1369</f>
        <v>90000</v>
      </c>
    </row>
    <row r="1370" spans="1:16" ht="14.25" customHeight="1" x14ac:dyDescent="0.25">
      <c r="A1370" s="23" t="str">
        <f t="shared" ca="1" si="42"/>
        <v>ID_1218</v>
      </c>
      <c r="B1370" s="22">
        <v>45668</v>
      </c>
      <c r="C1370" s="23" t="str">
        <f>TEXT('Working Sheet'!$B1370,"mmm")</f>
        <v>Jan</v>
      </c>
      <c r="D1370" s="23" t="s">
        <v>11</v>
      </c>
      <c r="E1370" s="23" t="s">
        <v>19</v>
      </c>
      <c r="F1370" s="23" t="s">
        <v>23</v>
      </c>
      <c r="G1370" s="23" t="s">
        <v>14</v>
      </c>
      <c r="H1370" s="23" t="s">
        <v>36</v>
      </c>
      <c r="I1370" s="23" t="s">
        <v>31</v>
      </c>
      <c r="J1370" s="24">
        <v>150000</v>
      </c>
      <c r="K1370" s="23">
        <v>10</v>
      </c>
      <c r="L1370" s="23" t="s">
        <v>17</v>
      </c>
      <c r="M1370" s="25">
        <f t="shared" si="43"/>
        <v>120000</v>
      </c>
      <c r="N1370" s="25">
        <f>'Working Sheet'!$J1370*'Working Sheet'!$K1370</f>
        <v>1500000</v>
      </c>
      <c r="O1370" s="26">
        <f>'Working Sheet'!$M1370*'Working Sheet'!$K1370</f>
        <v>1200000</v>
      </c>
      <c r="P1370" s="25">
        <f>'Working Sheet'!$N1370-'Working Sheet'!$O1370</f>
        <v>300000</v>
      </c>
    </row>
    <row r="1371" spans="1:16" ht="14.25" customHeight="1" x14ac:dyDescent="0.25">
      <c r="A1371" s="18" t="str">
        <f t="shared" ca="1" si="42"/>
        <v>ID_1917</v>
      </c>
      <c r="B1371" s="17">
        <v>45676</v>
      </c>
      <c r="C1371" s="18" t="str">
        <f>TEXT('Working Sheet'!$B1371,"mmm")</f>
        <v>Jan</v>
      </c>
      <c r="D1371" s="18" t="s">
        <v>29</v>
      </c>
      <c r="E1371" s="18" t="s">
        <v>26</v>
      </c>
      <c r="F1371" s="18" t="s">
        <v>23</v>
      </c>
      <c r="G1371" s="18" t="s">
        <v>14</v>
      </c>
      <c r="H1371" s="18" t="s">
        <v>36</v>
      </c>
      <c r="I1371" s="18" t="s">
        <v>31</v>
      </c>
      <c r="J1371" s="19">
        <v>150000</v>
      </c>
      <c r="K1371" s="18">
        <v>9</v>
      </c>
      <c r="L1371" s="18" t="s">
        <v>35</v>
      </c>
      <c r="M1371" s="20">
        <f t="shared" si="43"/>
        <v>120000</v>
      </c>
      <c r="N1371" s="20">
        <f>'Working Sheet'!$J1371*'Working Sheet'!$K1371</f>
        <v>1350000</v>
      </c>
      <c r="O1371" s="21">
        <f>'Working Sheet'!$M1371*'Working Sheet'!$K1371</f>
        <v>1080000</v>
      </c>
      <c r="P1371" s="20">
        <f>'Working Sheet'!$N1371-'Working Sheet'!$O1371</f>
        <v>270000</v>
      </c>
    </row>
    <row r="1372" spans="1:16" ht="14.25" customHeight="1" x14ac:dyDescent="0.25">
      <c r="A1372" s="23" t="str">
        <f t="shared" ca="1" si="42"/>
        <v>ID_1741</v>
      </c>
      <c r="B1372" s="22">
        <v>45670</v>
      </c>
      <c r="C1372" s="23" t="str">
        <f>TEXT('Working Sheet'!$B1372,"mmm")</f>
        <v>Jan</v>
      </c>
      <c r="D1372" s="23" t="s">
        <v>11</v>
      </c>
      <c r="E1372" s="23" t="s">
        <v>32</v>
      </c>
      <c r="F1372" s="23" t="s">
        <v>13</v>
      </c>
      <c r="G1372" s="23" t="s">
        <v>14</v>
      </c>
      <c r="H1372" s="23" t="s">
        <v>34</v>
      </c>
      <c r="I1372" s="23" t="s">
        <v>16</v>
      </c>
      <c r="J1372" s="24">
        <v>320000</v>
      </c>
      <c r="K1372" s="23">
        <v>5</v>
      </c>
      <c r="L1372" s="23" t="s">
        <v>39</v>
      </c>
      <c r="M1372" s="25">
        <f t="shared" si="43"/>
        <v>256000</v>
      </c>
      <c r="N1372" s="25">
        <f>'Working Sheet'!$J1372*'Working Sheet'!$K1372</f>
        <v>1600000</v>
      </c>
      <c r="O1372" s="26">
        <f>'Working Sheet'!$M1372*'Working Sheet'!$K1372</f>
        <v>1280000</v>
      </c>
      <c r="P1372" s="25">
        <f>'Working Sheet'!$N1372-'Working Sheet'!$O1372</f>
        <v>320000</v>
      </c>
    </row>
    <row r="1373" spans="1:16" ht="14.25" customHeight="1" x14ac:dyDescent="0.25">
      <c r="A1373" s="18" t="str">
        <f t="shared" ca="1" si="42"/>
        <v>ID_215</v>
      </c>
      <c r="B1373" s="17">
        <v>45672</v>
      </c>
      <c r="C1373" s="18" t="str">
        <f>TEXT('Working Sheet'!$B1373,"mmm")</f>
        <v>Jan</v>
      </c>
      <c r="D1373" s="18" t="s">
        <v>18</v>
      </c>
      <c r="E1373" s="18" t="s">
        <v>32</v>
      </c>
      <c r="F1373" s="18" t="s">
        <v>13</v>
      </c>
      <c r="G1373" s="18" t="s">
        <v>14</v>
      </c>
      <c r="H1373" s="18" t="s">
        <v>33</v>
      </c>
      <c r="I1373" s="18" t="s">
        <v>22</v>
      </c>
      <c r="J1373" s="19">
        <v>180000</v>
      </c>
      <c r="K1373" s="18">
        <v>3</v>
      </c>
      <c r="L1373" s="18" t="s">
        <v>17</v>
      </c>
      <c r="M1373" s="20">
        <f t="shared" si="43"/>
        <v>144000</v>
      </c>
      <c r="N1373" s="20">
        <f>'Working Sheet'!$J1373*'Working Sheet'!$K1373</f>
        <v>540000</v>
      </c>
      <c r="O1373" s="21">
        <f>'Working Sheet'!$M1373*'Working Sheet'!$K1373</f>
        <v>432000</v>
      </c>
      <c r="P1373" s="20">
        <f>'Working Sheet'!$N1373-'Working Sheet'!$O1373</f>
        <v>108000</v>
      </c>
    </row>
    <row r="1374" spans="1:16" ht="14.25" customHeight="1" x14ac:dyDescent="0.25">
      <c r="A1374" s="23" t="str">
        <f t="shared" ca="1" si="42"/>
        <v>ID_1943</v>
      </c>
      <c r="B1374" s="22">
        <v>45675</v>
      </c>
      <c r="C1374" s="23" t="str">
        <f>TEXT('Working Sheet'!$B1374,"mmm")</f>
        <v>Jan</v>
      </c>
      <c r="D1374" s="23" t="s">
        <v>11</v>
      </c>
      <c r="E1374" s="23" t="s">
        <v>26</v>
      </c>
      <c r="F1374" s="23" t="s">
        <v>23</v>
      </c>
      <c r="G1374" s="23" t="s">
        <v>14</v>
      </c>
      <c r="H1374" s="23" t="s">
        <v>15</v>
      </c>
      <c r="I1374" s="23" t="s">
        <v>16</v>
      </c>
      <c r="J1374" s="24">
        <v>85000</v>
      </c>
      <c r="K1374" s="23">
        <v>4</v>
      </c>
      <c r="L1374" s="23" t="s">
        <v>35</v>
      </c>
      <c r="M1374" s="25">
        <f t="shared" si="43"/>
        <v>68000</v>
      </c>
      <c r="N1374" s="25">
        <f>'Working Sheet'!$J1374*'Working Sheet'!$K1374</f>
        <v>340000</v>
      </c>
      <c r="O1374" s="26">
        <f>'Working Sheet'!$M1374*'Working Sheet'!$K1374</f>
        <v>272000</v>
      </c>
      <c r="P1374" s="25">
        <f>'Working Sheet'!$N1374-'Working Sheet'!$O1374</f>
        <v>68000</v>
      </c>
    </row>
    <row r="1375" spans="1:16" ht="14.25" customHeight="1" x14ac:dyDescent="0.25">
      <c r="A1375" s="18" t="str">
        <f t="shared" ca="1" si="42"/>
        <v>ID_1656</v>
      </c>
      <c r="B1375" s="17">
        <v>45730</v>
      </c>
      <c r="C1375" s="18" t="str">
        <f>TEXT('Working Sheet'!$B1375,"mmm")</f>
        <v>Mar</v>
      </c>
      <c r="D1375" s="18" t="s">
        <v>11</v>
      </c>
      <c r="E1375" s="18" t="s">
        <v>32</v>
      </c>
      <c r="F1375" s="18" t="s">
        <v>23</v>
      </c>
      <c r="G1375" s="18" t="s">
        <v>20</v>
      </c>
      <c r="H1375" s="18" t="s">
        <v>34</v>
      </c>
      <c r="I1375" s="18" t="s">
        <v>16</v>
      </c>
      <c r="J1375" s="19">
        <v>320000</v>
      </c>
      <c r="K1375" s="18">
        <v>7</v>
      </c>
      <c r="L1375" s="18" t="s">
        <v>39</v>
      </c>
      <c r="M1375" s="20">
        <f t="shared" si="43"/>
        <v>256000</v>
      </c>
      <c r="N1375" s="20">
        <f>'Working Sheet'!$J1375*'Working Sheet'!$K1375</f>
        <v>2240000</v>
      </c>
      <c r="O1375" s="21">
        <f>'Working Sheet'!$M1375*'Working Sheet'!$K1375</f>
        <v>1792000</v>
      </c>
      <c r="P1375" s="20">
        <f>'Working Sheet'!$N1375-'Working Sheet'!$O1375</f>
        <v>448000</v>
      </c>
    </row>
    <row r="1376" spans="1:16" ht="14.25" customHeight="1" x14ac:dyDescent="0.25">
      <c r="A1376" s="23" t="str">
        <f t="shared" ca="1" si="42"/>
        <v>ID_635</v>
      </c>
      <c r="B1376" s="22">
        <v>45749</v>
      </c>
      <c r="C1376" s="23" t="str">
        <f>TEXT('Working Sheet'!$B1376,"mmm")</f>
        <v>Apr</v>
      </c>
      <c r="D1376" s="23" t="s">
        <v>25</v>
      </c>
      <c r="E1376" s="23" t="s">
        <v>19</v>
      </c>
      <c r="F1376" s="23" t="s">
        <v>13</v>
      </c>
      <c r="G1376" s="23" t="s">
        <v>20</v>
      </c>
      <c r="H1376" s="23" t="s">
        <v>41</v>
      </c>
      <c r="I1376" s="23" t="s">
        <v>22</v>
      </c>
      <c r="J1376" s="24">
        <v>220000</v>
      </c>
      <c r="K1376" s="23">
        <v>5</v>
      </c>
      <c r="L1376" s="23" t="s">
        <v>35</v>
      </c>
      <c r="M1376" s="25">
        <f t="shared" si="43"/>
        <v>176000</v>
      </c>
      <c r="N1376" s="25">
        <f>'Working Sheet'!$J1376*'Working Sheet'!$K1376</f>
        <v>1100000</v>
      </c>
      <c r="O1376" s="26">
        <f>'Working Sheet'!$M1376*'Working Sheet'!$K1376</f>
        <v>880000</v>
      </c>
      <c r="P1376" s="25">
        <f>'Working Sheet'!$N1376-'Working Sheet'!$O1376</f>
        <v>220000</v>
      </c>
    </row>
    <row r="1377" spans="1:16" ht="14.25" customHeight="1" x14ac:dyDescent="0.25">
      <c r="A1377" s="18" t="str">
        <f t="shared" ca="1" si="42"/>
        <v>ID_1565</v>
      </c>
      <c r="B1377" s="17">
        <v>45736</v>
      </c>
      <c r="C1377" s="18" t="str">
        <f>TEXT('Working Sheet'!$B1377,"mmm")</f>
        <v>Mar</v>
      </c>
      <c r="D1377" s="18" t="s">
        <v>25</v>
      </c>
      <c r="E1377" s="18" t="s">
        <v>19</v>
      </c>
      <c r="F1377" s="18" t="s">
        <v>23</v>
      </c>
      <c r="G1377" s="18" t="s">
        <v>20</v>
      </c>
      <c r="H1377" s="18" t="s">
        <v>36</v>
      </c>
      <c r="I1377" s="18" t="s">
        <v>31</v>
      </c>
      <c r="J1377" s="19">
        <v>150000</v>
      </c>
      <c r="K1377" s="18">
        <v>3</v>
      </c>
      <c r="L1377" s="18" t="s">
        <v>17</v>
      </c>
      <c r="M1377" s="20">
        <f t="shared" si="43"/>
        <v>120000</v>
      </c>
      <c r="N1377" s="20">
        <f>'Working Sheet'!$J1377*'Working Sheet'!$K1377</f>
        <v>450000</v>
      </c>
      <c r="O1377" s="21">
        <f>'Working Sheet'!$M1377*'Working Sheet'!$K1377</f>
        <v>360000</v>
      </c>
      <c r="P1377" s="20">
        <f>'Working Sheet'!$N1377-'Working Sheet'!$O1377</f>
        <v>90000</v>
      </c>
    </row>
    <row r="1378" spans="1:16" ht="14.25" customHeight="1" x14ac:dyDescent="0.25">
      <c r="A1378" s="23" t="str">
        <f t="shared" ca="1" si="42"/>
        <v>ID_523</v>
      </c>
      <c r="B1378" s="22">
        <v>45659</v>
      </c>
      <c r="C1378" s="23" t="str">
        <f>TEXT('Working Sheet'!$B1378,"mmm")</f>
        <v>Jan</v>
      </c>
      <c r="D1378" s="23" t="s">
        <v>11</v>
      </c>
      <c r="E1378" s="23" t="s">
        <v>19</v>
      </c>
      <c r="F1378" s="23" t="s">
        <v>23</v>
      </c>
      <c r="G1378" s="23" t="s">
        <v>14</v>
      </c>
      <c r="H1378" s="23" t="s">
        <v>38</v>
      </c>
      <c r="I1378" s="23" t="s">
        <v>31</v>
      </c>
      <c r="J1378" s="24">
        <v>420000</v>
      </c>
      <c r="K1378" s="23">
        <v>8</v>
      </c>
      <c r="L1378" s="23" t="s">
        <v>24</v>
      </c>
      <c r="M1378" s="25">
        <f t="shared" si="43"/>
        <v>336000</v>
      </c>
      <c r="N1378" s="25">
        <f>'Working Sheet'!$J1378*'Working Sheet'!$K1378</f>
        <v>3360000</v>
      </c>
      <c r="O1378" s="26">
        <f>'Working Sheet'!$M1378*'Working Sheet'!$K1378</f>
        <v>2688000</v>
      </c>
      <c r="P1378" s="25">
        <f>'Working Sheet'!$N1378-'Working Sheet'!$O1378</f>
        <v>672000</v>
      </c>
    </row>
    <row r="1379" spans="1:16" ht="14.25" customHeight="1" x14ac:dyDescent="0.25">
      <c r="A1379" s="18" t="str">
        <f t="shared" ca="1" si="42"/>
        <v>ID_1013</v>
      </c>
      <c r="B1379" s="17">
        <v>45664</v>
      </c>
      <c r="C1379" s="18" t="str">
        <f>TEXT('Working Sheet'!$B1379,"mmm")</f>
        <v>Jan</v>
      </c>
      <c r="D1379" s="18" t="s">
        <v>18</v>
      </c>
      <c r="E1379" s="18" t="s">
        <v>32</v>
      </c>
      <c r="F1379" s="18" t="s">
        <v>13</v>
      </c>
      <c r="G1379" s="18" t="s">
        <v>14</v>
      </c>
      <c r="H1379" s="18" t="s">
        <v>41</v>
      </c>
      <c r="I1379" s="18" t="s">
        <v>22</v>
      </c>
      <c r="J1379" s="19">
        <v>220000</v>
      </c>
      <c r="K1379" s="18">
        <v>9</v>
      </c>
      <c r="L1379" s="18" t="s">
        <v>24</v>
      </c>
      <c r="M1379" s="20">
        <f t="shared" si="43"/>
        <v>176000</v>
      </c>
      <c r="N1379" s="20">
        <f>'Working Sheet'!$J1379*'Working Sheet'!$K1379</f>
        <v>1980000</v>
      </c>
      <c r="O1379" s="21">
        <f>'Working Sheet'!$M1379*'Working Sheet'!$K1379</f>
        <v>1584000</v>
      </c>
      <c r="P1379" s="20">
        <f>'Working Sheet'!$N1379-'Working Sheet'!$O1379</f>
        <v>396000</v>
      </c>
    </row>
    <row r="1380" spans="1:16" ht="14.25" customHeight="1" x14ac:dyDescent="0.25">
      <c r="A1380" s="23" t="str">
        <f t="shared" ca="1" si="42"/>
        <v>ID_1747</v>
      </c>
      <c r="B1380" s="22">
        <v>45778</v>
      </c>
      <c r="C1380" s="23" t="str">
        <f>TEXT('Working Sheet'!$B1380,"mmm")</f>
        <v>May</v>
      </c>
      <c r="D1380" s="23" t="s">
        <v>29</v>
      </c>
      <c r="E1380" s="23" t="s">
        <v>12</v>
      </c>
      <c r="F1380" s="23" t="s">
        <v>13</v>
      </c>
      <c r="G1380" s="23" t="s">
        <v>14</v>
      </c>
      <c r="H1380" s="23" t="s">
        <v>38</v>
      </c>
      <c r="I1380" s="23" t="s">
        <v>31</v>
      </c>
      <c r="J1380" s="24">
        <v>420000</v>
      </c>
      <c r="K1380" s="23">
        <v>3</v>
      </c>
      <c r="L1380" s="23" t="s">
        <v>39</v>
      </c>
      <c r="M1380" s="25">
        <f t="shared" si="43"/>
        <v>336000</v>
      </c>
      <c r="N1380" s="25">
        <f>'Working Sheet'!$J1380*'Working Sheet'!$K1380</f>
        <v>1260000</v>
      </c>
      <c r="O1380" s="26">
        <f>'Working Sheet'!$M1380*'Working Sheet'!$K1380</f>
        <v>1008000</v>
      </c>
      <c r="P1380" s="25">
        <f>'Working Sheet'!$N1380-'Working Sheet'!$O1380</f>
        <v>252000</v>
      </c>
    </row>
    <row r="1381" spans="1:16" ht="14.25" customHeight="1" x14ac:dyDescent="0.25">
      <c r="A1381" s="18" t="str">
        <f t="shared" ca="1" si="42"/>
        <v>ID_1464</v>
      </c>
      <c r="B1381" s="17">
        <v>45671</v>
      </c>
      <c r="C1381" s="18" t="str">
        <f>TEXT('Working Sheet'!$B1381,"mmm")</f>
        <v>Jan</v>
      </c>
      <c r="D1381" s="18" t="s">
        <v>29</v>
      </c>
      <c r="E1381" s="18" t="s">
        <v>12</v>
      </c>
      <c r="F1381" s="18" t="s">
        <v>13</v>
      </c>
      <c r="G1381" s="18" t="s">
        <v>20</v>
      </c>
      <c r="H1381" s="18" t="s">
        <v>40</v>
      </c>
      <c r="I1381" s="18" t="s">
        <v>31</v>
      </c>
      <c r="J1381" s="19">
        <v>250000</v>
      </c>
      <c r="K1381" s="18">
        <v>1</v>
      </c>
      <c r="L1381" s="18" t="s">
        <v>28</v>
      </c>
      <c r="M1381" s="20">
        <f t="shared" si="43"/>
        <v>200000</v>
      </c>
      <c r="N1381" s="20">
        <f>'Working Sheet'!$J1381*'Working Sheet'!$K1381</f>
        <v>250000</v>
      </c>
      <c r="O1381" s="21">
        <f>'Working Sheet'!$M1381*'Working Sheet'!$K1381</f>
        <v>200000</v>
      </c>
      <c r="P1381" s="20">
        <f>'Working Sheet'!$N1381-'Working Sheet'!$O1381</f>
        <v>50000</v>
      </c>
    </row>
    <row r="1382" spans="1:16" ht="14.25" customHeight="1" x14ac:dyDescent="0.25">
      <c r="A1382" s="23" t="str">
        <f t="shared" ca="1" si="42"/>
        <v>ID_1666</v>
      </c>
      <c r="B1382" s="22">
        <v>45679</v>
      </c>
      <c r="C1382" s="23" t="str">
        <f>TEXT('Working Sheet'!$B1382,"mmm")</f>
        <v>Jan</v>
      </c>
      <c r="D1382" s="23" t="s">
        <v>18</v>
      </c>
      <c r="E1382" s="23" t="s">
        <v>19</v>
      </c>
      <c r="F1382" s="23" t="s">
        <v>13</v>
      </c>
      <c r="G1382" s="23" t="s">
        <v>20</v>
      </c>
      <c r="H1382" s="23" t="s">
        <v>34</v>
      </c>
      <c r="I1382" s="23" t="s">
        <v>16</v>
      </c>
      <c r="J1382" s="24">
        <v>320000</v>
      </c>
      <c r="K1382" s="23">
        <v>7</v>
      </c>
      <c r="L1382" s="23" t="s">
        <v>37</v>
      </c>
      <c r="M1382" s="25">
        <f t="shared" si="43"/>
        <v>256000</v>
      </c>
      <c r="N1382" s="25">
        <f>'Working Sheet'!$J1382*'Working Sheet'!$K1382</f>
        <v>2240000</v>
      </c>
      <c r="O1382" s="26">
        <f>'Working Sheet'!$M1382*'Working Sheet'!$K1382</f>
        <v>1792000</v>
      </c>
      <c r="P1382" s="25">
        <f>'Working Sheet'!$N1382-'Working Sheet'!$O1382</f>
        <v>448000</v>
      </c>
    </row>
    <row r="1383" spans="1:16" ht="14.25" customHeight="1" x14ac:dyDescent="0.25">
      <c r="A1383" s="18" t="str">
        <f t="shared" ca="1" si="42"/>
        <v>ID_339</v>
      </c>
      <c r="B1383" s="17">
        <v>45687</v>
      </c>
      <c r="C1383" s="18" t="str">
        <f>TEXT('Working Sheet'!$B1383,"mmm")</f>
        <v>Jan</v>
      </c>
      <c r="D1383" s="18" t="s">
        <v>29</v>
      </c>
      <c r="E1383" s="18" t="s">
        <v>19</v>
      </c>
      <c r="F1383" s="18" t="s">
        <v>13</v>
      </c>
      <c r="G1383" s="18" t="s">
        <v>14</v>
      </c>
      <c r="H1383" s="18" t="s">
        <v>38</v>
      </c>
      <c r="I1383" s="18" t="s">
        <v>31</v>
      </c>
      <c r="J1383" s="19">
        <v>420000</v>
      </c>
      <c r="K1383" s="18">
        <v>2</v>
      </c>
      <c r="L1383" s="18" t="s">
        <v>39</v>
      </c>
      <c r="M1383" s="20">
        <f t="shared" si="43"/>
        <v>336000</v>
      </c>
      <c r="N1383" s="20">
        <f>'Working Sheet'!$J1383*'Working Sheet'!$K1383</f>
        <v>840000</v>
      </c>
      <c r="O1383" s="21">
        <f>'Working Sheet'!$M1383*'Working Sheet'!$K1383</f>
        <v>672000</v>
      </c>
      <c r="P1383" s="20">
        <f>'Working Sheet'!$N1383-'Working Sheet'!$O1383</f>
        <v>168000</v>
      </c>
    </row>
    <row r="1384" spans="1:16" ht="14.25" customHeight="1" x14ac:dyDescent="0.25">
      <c r="A1384" s="23" t="str">
        <f t="shared" ca="1" si="42"/>
        <v>ID_1244</v>
      </c>
      <c r="B1384" s="22">
        <v>45741</v>
      </c>
      <c r="C1384" s="23" t="str">
        <f>TEXT('Working Sheet'!$B1384,"mmm")</f>
        <v>Mar</v>
      </c>
      <c r="D1384" s="23" t="s">
        <v>25</v>
      </c>
      <c r="E1384" s="23" t="s">
        <v>12</v>
      </c>
      <c r="F1384" s="23" t="s">
        <v>13</v>
      </c>
      <c r="G1384" s="23" t="s">
        <v>20</v>
      </c>
      <c r="H1384" s="23" t="s">
        <v>34</v>
      </c>
      <c r="I1384" s="23" t="s">
        <v>16</v>
      </c>
      <c r="J1384" s="24">
        <v>320000</v>
      </c>
      <c r="K1384" s="23">
        <v>3</v>
      </c>
      <c r="L1384" s="23" t="s">
        <v>28</v>
      </c>
      <c r="M1384" s="25">
        <f t="shared" si="43"/>
        <v>256000</v>
      </c>
      <c r="N1384" s="25">
        <f>'Working Sheet'!$J1384*'Working Sheet'!$K1384</f>
        <v>960000</v>
      </c>
      <c r="O1384" s="26">
        <f>'Working Sheet'!$M1384*'Working Sheet'!$K1384</f>
        <v>768000</v>
      </c>
      <c r="P1384" s="25">
        <f>'Working Sheet'!$N1384-'Working Sheet'!$O1384</f>
        <v>192000</v>
      </c>
    </row>
    <row r="1385" spans="1:16" ht="14.25" customHeight="1" x14ac:dyDescent="0.25">
      <c r="A1385" s="18" t="str">
        <f t="shared" ca="1" si="42"/>
        <v>ID_1919</v>
      </c>
      <c r="B1385" s="17">
        <v>45706</v>
      </c>
      <c r="C1385" s="18" t="str">
        <f>TEXT('Working Sheet'!$B1385,"mmm")</f>
        <v>Feb</v>
      </c>
      <c r="D1385" s="18" t="s">
        <v>25</v>
      </c>
      <c r="E1385" s="18" t="s">
        <v>12</v>
      </c>
      <c r="F1385" s="18" t="s">
        <v>23</v>
      </c>
      <c r="G1385" s="18" t="s">
        <v>14</v>
      </c>
      <c r="H1385" s="18" t="s">
        <v>36</v>
      </c>
      <c r="I1385" s="18" t="s">
        <v>31</v>
      </c>
      <c r="J1385" s="19">
        <v>150000</v>
      </c>
      <c r="K1385" s="18">
        <v>2</v>
      </c>
      <c r="L1385" s="18" t="s">
        <v>37</v>
      </c>
      <c r="M1385" s="20">
        <f t="shared" si="43"/>
        <v>120000</v>
      </c>
      <c r="N1385" s="20">
        <f>'Working Sheet'!$J1385*'Working Sheet'!$K1385</f>
        <v>300000</v>
      </c>
      <c r="O1385" s="21">
        <f>'Working Sheet'!$M1385*'Working Sheet'!$K1385</f>
        <v>240000</v>
      </c>
      <c r="P1385" s="20">
        <f>'Working Sheet'!$N1385-'Working Sheet'!$O1385</f>
        <v>60000</v>
      </c>
    </row>
    <row r="1386" spans="1:16" ht="14.25" customHeight="1" x14ac:dyDescent="0.25">
      <c r="A1386" s="23" t="str">
        <f t="shared" ca="1" si="42"/>
        <v>ID_1690</v>
      </c>
      <c r="B1386" s="22">
        <v>45699</v>
      </c>
      <c r="C1386" s="23" t="str">
        <f>TEXT('Working Sheet'!$B1386,"mmm")</f>
        <v>Feb</v>
      </c>
      <c r="D1386" s="23" t="s">
        <v>11</v>
      </c>
      <c r="E1386" s="23" t="s">
        <v>19</v>
      </c>
      <c r="F1386" s="23" t="s">
        <v>23</v>
      </c>
      <c r="G1386" s="23" t="s">
        <v>20</v>
      </c>
      <c r="H1386" s="23" t="s">
        <v>38</v>
      </c>
      <c r="I1386" s="23" t="s">
        <v>31</v>
      </c>
      <c r="J1386" s="24">
        <v>420000</v>
      </c>
      <c r="K1386" s="23">
        <v>8</v>
      </c>
      <c r="L1386" s="23" t="s">
        <v>28</v>
      </c>
      <c r="M1386" s="25">
        <f t="shared" si="43"/>
        <v>336000</v>
      </c>
      <c r="N1386" s="25">
        <f>'Working Sheet'!$J1386*'Working Sheet'!$K1386</f>
        <v>3360000</v>
      </c>
      <c r="O1386" s="26">
        <f>'Working Sheet'!$M1386*'Working Sheet'!$K1386</f>
        <v>2688000</v>
      </c>
      <c r="P1386" s="25">
        <f>'Working Sheet'!$N1386-'Working Sheet'!$O1386</f>
        <v>672000</v>
      </c>
    </row>
    <row r="1387" spans="1:16" ht="14.25" customHeight="1" x14ac:dyDescent="0.25">
      <c r="A1387" s="18" t="str">
        <f t="shared" ca="1" si="42"/>
        <v>ID_48</v>
      </c>
      <c r="B1387" s="17">
        <v>45776</v>
      </c>
      <c r="C1387" s="18" t="str">
        <f>TEXT('Working Sheet'!$B1387,"mmm")</f>
        <v>Apr</v>
      </c>
      <c r="D1387" s="18" t="s">
        <v>18</v>
      </c>
      <c r="E1387" s="18" t="s">
        <v>12</v>
      </c>
      <c r="F1387" s="18" t="s">
        <v>23</v>
      </c>
      <c r="G1387" s="18" t="s">
        <v>20</v>
      </c>
      <c r="H1387" s="18" t="s">
        <v>38</v>
      </c>
      <c r="I1387" s="18" t="s">
        <v>31</v>
      </c>
      <c r="J1387" s="19">
        <v>420000</v>
      </c>
      <c r="K1387" s="18">
        <v>1</v>
      </c>
      <c r="L1387" s="18" t="s">
        <v>39</v>
      </c>
      <c r="M1387" s="20">
        <f t="shared" si="43"/>
        <v>336000</v>
      </c>
      <c r="N1387" s="20">
        <f>'Working Sheet'!$J1387*'Working Sheet'!$K1387</f>
        <v>420000</v>
      </c>
      <c r="O1387" s="21">
        <f>'Working Sheet'!$M1387*'Working Sheet'!$K1387</f>
        <v>336000</v>
      </c>
      <c r="P1387" s="20">
        <f>'Working Sheet'!$N1387-'Working Sheet'!$O1387</f>
        <v>84000</v>
      </c>
    </row>
    <row r="1388" spans="1:16" ht="14.25" customHeight="1" x14ac:dyDescent="0.25">
      <c r="A1388" s="23" t="str">
        <f t="shared" ca="1" si="42"/>
        <v>ID_1061</v>
      </c>
      <c r="B1388" s="22">
        <v>45726</v>
      </c>
      <c r="C1388" s="23" t="str">
        <f>TEXT('Working Sheet'!$B1388,"mmm")</f>
        <v>Mar</v>
      </c>
      <c r="D1388" s="23" t="s">
        <v>11</v>
      </c>
      <c r="E1388" s="23" t="s">
        <v>32</v>
      </c>
      <c r="F1388" s="23" t="s">
        <v>13</v>
      </c>
      <c r="G1388" s="23" t="s">
        <v>14</v>
      </c>
      <c r="H1388" s="23" t="s">
        <v>30</v>
      </c>
      <c r="I1388" s="23" t="s">
        <v>31</v>
      </c>
      <c r="J1388" s="24">
        <v>300000</v>
      </c>
      <c r="K1388" s="23">
        <v>5</v>
      </c>
      <c r="L1388" s="23" t="s">
        <v>35</v>
      </c>
      <c r="M1388" s="25">
        <f t="shared" si="43"/>
        <v>240000</v>
      </c>
      <c r="N1388" s="25">
        <f>'Working Sheet'!$J1388*'Working Sheet'!$K1388</f>
        <v>1500000</v>
      </c>
      <c r="O1388" s="26">
        <f>'Working Sheet'!$M1388*'Working Sheet'!$K1388</f>
        <v>1200000</v>
      </c>
      <c r="P1388" s="25">
        <f>'Working Sheet'!$N1388-'Working Sheet'!$O1388</f>
        <v>300000</v>
      </c>
    </row>
    <row r="1389" spans="1:16" ht="14.25" customHeight="1" x14ac:dyDescent="0.25">
      <c r="A1389" s="18" t="str">
        <f t="shared" ca="1" si="42"/>
        <v>ID_993</v>
      </c>
      <c r="B1389" s="17">
        <v>45712</v>
      </c>
      <c r="C1389" s="18" t="str">
        <f>TEXT('Working Sheet'!$B1389,"mmm")</f>
        <v>Feb</v>
      </c>
      <c r="D1389" s="18" t="s">
        <v>18</v>
      </c>
      <c r="E1389" s="18" t="s">
        <v>12</v>
      </c>
      <c r="F1389" s="18" t="s">
        <v>13</v>
      </c>
      <c r="G1389" s="18" t="s">
        <v>20</v>
      </c>
      <c r="H1389" s="18" t="s">
        <v>33</v>
      </c>
      <c r="I1389" s="18" t="s">
        <v>22</v>
      </c>
      <c r="J1389" s="19">
        <v>180000</v>
      </c>
      <c r="K1389" s="18">
        <v>7</v>
      </c>
      <c r="L1389" s="18" t="s">
        <v>37</v>
      </c>
      <c r="M1389" s="20">
        <f t="shared" si="43"/>
        <v>144000</v>
      </c>
      <c r="N1389" s="20">
        <f>'Working Sheet'!$J1389*'Working Sheet'!$K1389</f>
        <v>1260000</v>
      </c>
      <c r="O1389" s="21">
        <f>'Working Sheet'!$M1389*'Working Sheet'!$K1389</f>
        <v>1008000</v>
      </c>
      <c r="P1389" s="20">
        <f>'Working Sheet'!$N1389-'Working Sheet'!$O1389</f>
        <v>252000</v>
      </c>
    </row>
    <row r="1390" spans="1:16" ht="14.25" customHeight="1" x14ac:dyDescent="0.25">
      <c r="A1390" s="23" t="str">
        <f t="shared" ca="1" si="42"/>
        <v>ID_1757</v>
      </c>
      <c r="B1390" s="22">
        <v>45674</v>
      </c>
      <c r="C1390" s="23" t="str">
        <f>TEXT('Working Sheet'!$B1390,"mmm")</f>
        <v>Jan</v>
      </c>
      <c r="D1390" s="23" t="s">
        <v>11</v>
      </c>
      <c r="E1390" s="23" t="s">
        <v>32</v>
      </c>
      <c r="F1390" s="23" t="s">
        <v>13</v>
      </c>
      <c r="G1390" s="23" t="s">
        <v>20</v>
      </c>
      <c r="H1390" s="23" t="s">
        <v>36</v>
      </c>
      <c r="I1390" s="23" t="s">
        <v>31</v>
      </c>
      <c r="J1390" s="24">
        <v>150000</v>
      </c>
      <c r="K1390" s="23">
        <v>10</v>
      </c>
      <c r="L1390" s="23" t="s">
        <v>24</v>
      </c>
      <c r="M1390" s="25">
        <f t="shared" si="43"/>
        <v>120000</v>
      </c>
      <c r="N1390" s="25">
        <f>'Working Sheet'!$J1390*'Working Sheet'!$K1390</f>
        <v>1500000</v>
      </c>
      <c r="O1390" s="26">
        <f>'Working Sheet'!$M1390*'Working Sheet'!$K1390</f>
        <v>1200000</v>
      </c>
      <c r="P1390" s="25">
        <f>'Working Sheet'!$N1390-'Working Sheet'!$O1390</f>
        <v>300000</v>
      </c>
    </row>
    <row r="1391" spans="1:16" ht="14.25" customHeight="1" x14ac:dyDescent="0.25">
      <c r="A1391" s="18" t="str">
        <f t="shared" ca="1" si="42"/>
        <v>ID_144</v>
      </c>
      <c r="B1391" s="17">
        <v>45694</v>
      </c>
      <c r="C1391" s="18" t="str">
        <f>TEXT('Working Sheet'!$B1391,"mmm")</f>
        <v>Feb</v>
      </c>
      <c r="D1391" s="18" t="s">
        <v>11</v>
      </c>
      <c r="E1391" s="18" t="s">
        <v>32</v>
      </c>
      <c r="F1391" s="18" t="s">
        <v>23</v>
      </c>
      <c r="G1391" s="18" t="s">
        <v>14</v>
      </c>
      <c r="H1391" s="18" t="s">
        <v>30</v>
      </c>
      <c r="I1391" s="18" t="s">
        <v>31</v>
      </c>
      <c r="J1391" s="19">
        <v>300000</v>
      </c>
      <c r="K1391" s="18">
        <v>7</v>
      </c>
      <c r="L1391" s="18" t="s">
        <v>35</v>
      </c>
      <c r="M1391" s="20">
        <f t="shared" si="43"/>
        <v>240000</v>
      </c>
      <c r="N1391" s="20">
        <f>'Working Sheet'!$J1391*'Working Sheet'!$K1391</f>
        <v>2100000</v>
      </c>
      <c r="O1391" s="21">
        <f>'Working Sheet'!$M1391*'Working Sheet'!$K1391</f>
        <v>1680000</v>
      </c>
      <c r="P1391" s="20">
        <f>'Working Sheet'!$N1391-'Working Sheet'!$O1391</f>
        <v>420000</v>
      </c>
    </row>
    <row r="1392" spans="1:16" ht="14.25" customHeight="1" x14ac:dyDescent="0.25">
      <c r="A1392" s="23" t="str">
        <f t="shared" ca="1" si="42"/>
        <v>ID_1203</v>
      </c>
      <c r="B1392" s="22">
        <v>45697</v>
      </c>
      <c r="C1392" s="23" t="str">
        <f>TEXT('Working Sheet'!$B1392,"mmm")</f>
        <v>Feb</v>
      </c>
      <c r="D1392" s="23" t="s">
        <v>29</v>
      </c>
      <c r="E1392" s="23" t="s">
        <v>19</v>
      </c>
      <c r="F1392" s="23" t="s">
        <v>13</v>
      </c>
      <c r="G1392" s="23" t="s">
        <v>20</v>
      </c>
      <c r="H1392" s="23" t="s">
        <v>41</v>
      </c>
      <c r="I1392" s="23" t="s">
        <v>22</v>
      </c>
      <c r="J1392" s="24">
        <v>220000</v>
      </c>
      <c r="K1392" s="23">
        <v>2</v>
      </c>
      <c r="L1392" s="23" t="s">
        <v>17</v>
      </c>
      <c r="M1392" s="25">
        <f t="shared" si="43"/>
        <v>176000</v>
      </c>
      <c r="N1392" s="25">
        <f>'Working Sheet'!$J1392*'Working Sheet'!$K1392</f>
        <v>440000</v>
      </c>
      <c r="O1392" s="26">
        <f>'Working Sheet'!$M1392*'Working Sheet'!$K1392</f>
        <v>352000</v>
      </c>
      <c r="P1392" s="25">
        <f>'Working Sheet'!$N1392-'Working Sheet'!$O1392</f>
        <v>88000</v>
      </c>
    </row>
    <row r="1393" spans="1:16" ht="14.25" customHeight="1" x14ac:dyDescent="0.25">
      <c r="A1393" s="18" t="str">
        <f t="shared" ca="1" si="42"/>
        <v>ID_1702</v>
      </c>
      <c r="B1393" s="17">
        <v>45772</v>
      </c>
      <c r="C1393" s="18" t="str">
        <f>TEXT('Working Sheet'!$B1393,"mmm")</f>
        <v>Apr</v>
      </c>
      <c r="D1393" s="18" t="s">
        <v>18</v>
      </c>
      <c r="E1393" s="18" t="s">
        <v>12</v>
      </c>
      <c r="F1393" s="18" t="s">
        <v>13</v>
      </c>
      <c r="G1393" s="18" t="s">
        <v>20</v>
      </c>
      <c r="H1393" s="18" t="s">
        <v>15</v>
      </c>
      <c r="I1393" s="18" t="s">
        <v>16</v>
      </c>
      <c r="J1393" s="19">
        <v>85000</v>
      </c>
      <c r="K1393" s="18">
        <v>8</v>
      </c>
      <c r="L1393" s="18" t="s">
        <v>28</v>
      </c>
      <c r="M1393" s="20">
        <f t="shared" si="43"/>
        <v>68000</v>
      </c>
      <c r="N1393" s="20">
        <f>'Working Sheet'!$J1393*'Working Sheet'!$K1393</f>
        <v>680000</v>
      </c>
      <c r="O1393" s="21">
        <f>'Working Sheet'!$M1393*'Working Sheet'!$K1393</f>
        <v>544000</v>
      </c>
      <c r="P1393" s="20">
        <f>'Working Sheet'!$N1393-'Working Sheet'!$O1393</f>
        <v>136000</v>
      </c>
    </row>
    <row r="1394" spans="1:16" ht="14.25" customHeight="1" x14ac:dyDescent="0.25">
      <c r="A1394" s="23" t="str">
        <f t="shared" ca="1" si="42"/>
        <v>ID_1946</v>
      </c>
      <c r="B1394" s="22">
        <v>45755</v>
      </c>
      <c r="C1394" s="23" t="str">
        <f>TEXT('Working Sheet'!$B1394,"mmm")</f>
        <v>Apr</v>
      </c>
      <c r="D1394" s="23" t="s">
        <v>11</v>
      </c>
      <c r="E1394" s="23" t="s">
        <v>19</v>
      </c>
      <c r="F1394" s="23" t="s">
        <v>13</v>
      </c>
      <c r="G1394" s="23" t="s">
        <v>14</v>
      </c>
      <c r="H1394" s="23" t="s">
        <v>41</v>
      </c>
      <c r="I1394" s="23" t="s">
        <v>22</v>
      </c>
      <c r="J1394" s="24">
        <v>220000</v>
      </c>
      <c r="K1394" s="23">
        <v>7</v>
      </c>
      <c r="L1394" s="23" t="s">
        <v>39</v>
      </c>
      <c r="M1394" s="25">
        <f t="shared" si="43"/>
        <v>176000</v>
      </c>
      <c r="N1394" s="25">
        <f>'Working Sheet'!$J1394*'Working Sheet'!$K1394</f>
        <v>1540000</v>
      </c>
      <c r="O1394" s="26">
        <f>'Working Sheet'!$M1394*'Working Sheet'!$K1394</f>
        <v>1232000</v>
      </c>
      <c r="P1394" s="25">
        <f>'Working Sheet'!$N1394-'Working Sheet'!$O1394</f>
        <v>308000</v>
      </c>
    </row>
    <row r="1395" spans="1:16" ht="14.25" customHeight="1" x14ac:dyDescent="0.25">
      <c r="A1395" s="18" t="str">
        <f t="shared" ca="1" si="42"/>
        <v>ID_36</v>
      </c>
      <c r="B1395" s="17">
        <v>45769</v>
      </c>
      <c r="C1395" s="18" t="str">
        <f>TEXT('Working Sheet'!$B1395,"mmm")</f>
        <v>Apr</v>
      </c>
      <c r="D1395" s="18" t="s">
        <v>29</v>
      </c>
      <c r="E1395" s="18" t="s">
        <v>32</v>
      </c>
      <c r="F1395" s="18" t="s">
        <v>13</v>
      </c>
      <c r="G1395" s="18" t="s">
        <v>20</v>
      </c>
      <c r="H1395" s="18" t="s">
        <v>41</v>
      </c>
      <c r="I1395" s="18" t="s">
        <v>22</v>
      </c>
      <c r="J1395" s="19">
        <v>220000</v>
      </c>
      <c r="K1395" s="18">
        <v>6</v>
      </c>
      <c r="L1395" s="18" t="s">
        <v>35</v>
      </c>
      <c r="M1395" s="20">
        <f t="shared" si="43"/>
        <v>176000</v>
      </c>
      <c r="N1395" s="20">
        <f>'Working Sheet'!$J1395*'Working Sheet'!$K1395</f>
        <v>1320000</v>
      </c>
      <c r="O1395" s="21">
        <f>'Working Sheet'!$M1395*'Working Sheet'!$K1395</f>
        <v>1056000</v>
      </c>
      <c r="P1395" s="20">
        <f>'Working Sheet'!$N1395-'Working Sheet'!$O1395</f>
        <v>264000</v>
      </c>
    </row>
    <row r="1396" spans="1:16" ht="14.25" customHeight="1" x14ac:dyDescent="0.25">
      <c r="A1396" s="23" t="str">
        <f t="shared" ca="1" si="42"/>
        <v>ID_1470</v>
      </c>
      <c r="B1396" s="22">
        <v>45737</v>
      </c>
      <c r="C1396" s="23" t="str">
        <f>TEXT('Working Sheet'!$B1396,"mmm")</f>
        <v>Mar</v>
      </c>
      <c r="D1396" s="23" t="s">
        <v>29</v>
      </c>
      <c r="E1396" s="23" t="s">
        <v>12</v>
      </c>
      <c r="F1396" s="23" t="s">
        <v>13</v>
      </c>
      <c r="G1396" s="23" t="s">
        <v>20</v>
      </c>
      <c r="H1396" s="23" t="s">
        <v>33</v>
      </c>
      <c r="I1396" s="23" t="s">
        <v>22</v>
      </c>
      <c r="J1396" s="24">
        <v>180000</v>
      </c>
      <c r="K1396" s="23">
        <v>3</v>
      </c>
      <c r="L1396" s="23" t="s">
        <v>28</v>
      </c>
      <c r="M1396" s="25">
        <f t="shared" si="43"/>
        <v>144000</v>
      </c>
      <c r="N1396" s="25">
        <f>'Working Sheet'!$J1396*'Working Sheet'!$K1396</f>
        <v>540000</v>
      </c>
      <c r="O1396" s="26">
        <f>'Working Sheet'!$M1396*'Working Sheet'!$K1396</f>
        <v>432000</v>
      </c>
      <c r="P1396" s="25">
        <f>'Working Sheet'!$N1396-'Working Sheet'!$O1396</f>
        <v>108000</v>
      </c>
    </row>
    <row r="1397" spans="1:16" ht="14.25" customHeight="1" x14ac:dyDescent="0.25">
      <c r="A1397" s="18" t="str">
        <f t="shared" ca="1" si="42"/>
        <v>ID_1564</v>
      </c>
      <c r="B1397" s="17">
        <v>45683</v>
      </c>
      <c r="C1397" s="18" t="str">
        <f>TEXT('Working Sheet'!$B1397,"mmm")</f>
        <v>Jan</v>
      </c>
      <c r="D1397" s="18" t="s">
        <v>25</v>
      </c>
      <c r="E1397" s="18" t="s">
        <v>19</v>
      </c>
      <c r="F1397" s="18" t="s">
        <v>13</v>
      </c>
      <c r="G1397" s="18" t="s">
        <v>14</v>
      </c>
      <c r="H1397" s="18" t="s">
        <v>40</v>
      </c>
      <c r="I1397" s="18" t="s">
        <v>31</v>
      </c>
      <c r="J1397" s="19">
        <v>250000</v>
      </c>
      <c r="K1397" s="18">
        <v>6</v>
      </c>
      <c r="L1397" s="18" t="s">
        <v>35</v>
      </c>
      <c r="M1397" s="20">
        <f t="shared" si="43"/>
        <v>200000</v>
      </c>
      <c r="N1397" s="20">
        <f>'Working Sheet'!$J1397*'Working Sheet'!$K1397</f>
        <v>1500000</v>
      </c>
      <c r="O1397" s="21">
        <f>'Working Sheet'!$M1397*'Working Sheet'!$K1397</f>
        <v>1200000</v>
      </c>
      <c r="P1397" s="20">
        <f>'Working Sheet'!$N1397-'Working Sheet'!$O1397</f>
        <v>300000</v>
      </c>
    </row>
    <row r="1398" spans="1:16" ht="14.25" customHeight="1" x14ac:dyDescent="0.25">
      <c r="A1398" s="23" t="str">
        <f t="shared" ca="1" si="42"/>
        <v>ID_1387</v>
      </c>
      <c r="B1398" s="22">
        <v>45744</v>
      </c>
      <c r="C1398" s="23" t="str">
        <f>TEXT('Working Sheet'!$B1398,"mmm")</f>
        <v>Mar</v>
      </c>
      <c r="D1398" s="23" t="s">
        <v>11</v>
      </c>
      <c r="E1398" s="23" t="s">
        <v>26</v>
      </c>
      <c r="F1398" s="23" t="s">
        <v>23</v>
      </c>
      <c r="G1398" s="23" t="s">
        <v>20</v>
      </c>
      <c r="H1398" s="23" t="s">
        <v>36</v>
      </c>
      <c r="I1398" s="23" t="s">
        <v>31</v>
      </c>
      <c r="J1398" s="24">
        <v>150000</v>
      </c>
      <c r="K1398" s="23">
        <v>7</v>
      </c>
      <c r="L1398" s="23" t="s">
        <v>37</v>
      </c>
      <c r="M1398" s="25">
        <f t="shared" si="43"/>
        <v>120000</v>
      </c>
      <c r="N1398" s="25">
        <f>'Working Sheet'!$J1398*'Working Sheet'!$K1398</f>
        <v>1050000</v>
      </c>
      <c r="O1398" s="26">
        <f>'Working Sheet'!$M1398*'Working Sheet'!$K1398</f>
        <v>840000</v>
      </c>
      <c r="P1398" s="25">
        <f>'Working Sheet'!$N1398-'Working Sheet'!$O1398</f>
        <v>210000</v>
      </c>
    </row>
    <row r="1399" spans="1:16" ht="14.25" customHeight="1" x14ac:dyDescent="0.25">
      <c r="A1399" s="18" t="str">
        <f t="shared" ca="1" si="42"/>
        <v>ID_1621</v>
      </c>
      <c r="B1399" s="17">
        <v>45775</v>
      </c>
      <c r="C1399" s="18" t="str">
        <f>TEXT('Working Sheet'!$B1399,"mmm")</f>
        <v>Apr</v>
      </c>
      <c r="D1399" s="18" t="s">
        <v>25</v>
      </c>
      <c r="E1399" s="18" t="s">
        <v>12</v>
      </c>
      <c r="F1399" s="18" t="s">
        <v>13</v>
      </c>
      <c r="G1399" s="18" t="s">
        <v>14</v>
      </c>
      <c r="H1399" s="18" t="s">
        <v>30</v>
      </c>
      <c r="I1399" s="18" t="s">
        <v>31</v>
      </c>
      <c r="J1399" s="19">
        <v>300000</v>
      </c>
      <c r="K1399" s="18">
        <v>9</v>
      </c>
      <c r="L1399" s="18" t="s">
        <v>17</v>
      </c>
      <c r="M1399" s="20">
        <f t="shared" si="43"/>
        <v>240000</v>
      </c>
      <c r="N1399" s="20">
        <f>'Working Sheet'!$J1399*'Working Sheet'!$K1399</f>
        <v>2700000</v>
      </c>
      <c r="O1399" s="21">
        <f>'Working Sheet'!$M1399*'Working Sheet'!$K1399</f>
        <v>2160000</v>
      </c>
      <c r="P1399" s="20">
        <f>'Working Sheet'!$N1399-'Working Sheet'!$O1399</f>
        <v>540000</v>
      </c>
    </row>
    <row r="1400" spans="1:16" ht="14.25" customHeight="1" x14ac:dyDescent="0.25">
      <c r="A1400" s="23" t="str">
        <f t="shared" ca="1" si="42"/>
        <v>ID_1695</v>
      </c>
      <c r="B1400" s="22">
        <v>45771</v>
      </c>
      <c r="C1400" s="23" t="str">
        <f>TEXT('Working Sheet'!$B1400,"mmm")</f>
        <v>Apr</v>
      </c>
      <c r="D1400" s="23" t="s">
        <v>11</v>
      </c>
      <c r="E1400" s="23" t="s">
        <v>26</v>
      </c>
      <c r="F1400" s="23" t="s">
        <v>13</v>
      </c>
      <c r="G1400" s="23" t="s">
        <v>14</v>
      </c>
      <c r="H1400" s="23" t="s">
        <v>38</v>
      </c>
      <c r="I1400" s="23" t="s">
        <v>31</v>
      </c>
      <c r="J1400" s="24">
        <v>420000</v>
      </c>
      <c r="K1400" s="23">
        <v>5</v>
      </c>
      <c r="L1400" s="23" t="s">
        <v>28</v>
      </c>
      <c r="M1400" s="25">
        <f t="shared" si="43"/>
        <v>336000</v>
      </c>
      <c r="N1400" s="25">
        <f>'Working Sheet'!$J1400*'Working Sheet'!$K1400</f>
        <v>2100000</v>
      </c>
      <c r="O1400" s="26">
        <f>'Working Sheet'!$M1400*'Working Sheet'!$K1400</f>
        <v>1680000</v>
      </c>
      <c r="P1400" s="25">
        <f>'Working Sheet'!$N1400-'Working Sheet'!$O1400</f>
        <v>420000</v>
      </c>
    </row>
    <row r="1401" spans="1:16" ht="14.25" customHeight="1" x14ac:dyDescent="0.25">
      <c r="A1401" s="18" t="str">
        <f t="shared" ca="1" si="42"/>
        <v>ID_1108</v>
      </c>
      <c r="B1401" s="17">
        <v>45743</v>
      </c>
      <c r="C1401" s="18" t="str">
        <f>TEXT('Working Sheet'!$B1401,"mmm")</f>
        <v>Mar</v>
      </c>
      <c r="D1401" s="18" t="s">
        <v>25</v>
      </c>
      <c r="E1401" s="18" t="s">
        <v>12</v>
      </c>
      <c r="F1401" s="18" t="s">
        <v>13</v>
      </c>
      <c r="G1401" s="18" t="s">
        <v>20</v>
      </c>
      <c r="H1401" s="18" t="s">
        <v>30</v>
      </c>
      <c r="I1401" s="18" t="s">
        <v>31</v>
      </c>
      <c r="J1401" s="19">
        <v>300000</v>
      </c>
      <c r="K1401" s="18">
        <v>3</v>
      </c>
      <c r="L1401" s="18" t="s">
        <v>28</v>
      </c>
      <c r="M1401" s="20">
        <f t="shared" si="43"/>
        <v>240000</v>
      </c>
      <c r="N1401" s="20">
        <f>'Working Sheet'!$J1401*'Working Sheet'!$K1401</f>
        <v>900000</v>
      </c>
      <c r="O1401" s="21">
        <f>'Working Sheet'!$M1401*'Working Sheet'!$K1401</f>
        <v>720000</v>
      </c>
      <c r="P1401" s="20">
        <f>'Working Sheet'!$N1401-'Working Sheet'!$O1401</f>
        <v>180000</v>
      </c>
    </row>
    <row r="1402" spans="1:16" ht="14.25" customHeight="1" x14ac:dyDescent="0.25">
      <c r="A1402" s="23" t="str">
        <f t="shared" ca="1" si="42"/>
        <v>ID_1421</v>
      </c>
      <c r="B1402" s="22">
        <v>45694</v>
      </c>
      <c r="C1402" s="23" t="str">
        <f>TEXT('Working Sheet'!$B1402,"mmm")</f>
        <v>Feb</v>
      </c>
      <c r="D1402" s="23" t="s">
        <v>18</v>
      </c>
      <c r="E1402" s="23" t="s">
        <v>12</v>
      </c>
      <c r="F1402" s="23" t="s">
        <v>23</v>
      </c>
      <c r="G1402" s="23" t="s">
        <v>20</v>
      </c>
      <c r="H1402" s="23" t="s">
        <v>40</v>
      </c>
      <c r="I1402" s="23" t="s">
        <v>31</v>
      </c>
      <c r="J1402" s="24">
        <v>250000</v>
      </c>
      <c r="K1402" s="23">
        <v>5</v>
      </c>
      <c r="L1402" s="23" t="s">
        <v>17</v>
      </c>
      <c r="M1402" s="25">
        <f t="shared" si="43"/>
        <v>200000</v>
      </c>
      <c r="N1402" s="25">
        <f>'Working Sheet'!$J1402*'Working Sheet'!$K1402</f>
        <v>1250000</v>
      </c>
      <c r="O1402" s="26">
        <f>'Working Sheet'!$M1402*'Working Sheet'!$K1402</f>
        <v>1000000</v>
      </c>
      <c r="P1402" s="25">
        <f>'Working Sheet'!$N1402-'Working Sheet'!$O1402</f>
        <v>250000</v>
      </c>
    </row>
    <row r="1403" spans="1:16" ht="14.25" customHeight="1" x14ac:dyDescent="0.25">
      <c r="A1403" s="18" t="str">
        <f t="shared" ca="1" si="42"/>
        <v>ID_731</v>
      </c>
      <c r="B1403" s="17">
        <v>45774</v>
      </c>
      <c r="C1403" s="18" t="str">
        <f>TEXT('Working Sheet'!$B1403,"mmm")</f>
        <v>Apr</v>
      </c>
      <c r="D1403" s="18" t="s">
        <v>11</v>
      </c>
      <c r="E1403" s="18" t="s">
        <v>32</v>
      </c>
      <c r="F1403" s="18" t="s">
        <v>23</v>
      </c>
      <c r="G1403" s="18" t="s">
        <v>20</v>
      </c>
      <c r="H1403" s="18" t="s">
        <v>36</v>
      </c>
      <c r="I1403" s="18" t="s">
        <v>31</v>
      </c>
      <c r="J1403" s="19">
        <v>150000</v>
      </c>
      <c r="K1403" s="18">
        <v>2</v>
      </c>
      <c r="L1403" s="18" t="s">
        <v>35</v>
      </c>
      <c r="M1403" s="20">
        <f t="shared" si="43"/>
        <v>120000</v>
      </c>
      <c r="N1403" s="20">
        <f>'Working Sheet'!$J1403*'Working Sheet'!$K1403</f>
        <v>300000</v>
      </c>
      <c r="O1403" s="21">
        <f>'Working Sheet'!$M1403*'Working Sheet'!$K1403</f>
        <v>240000</v>
      </c>
      <c r="P1403" s="20">
        <f>'Working Sheet'!$N1403-'Working Sheet'!$O1403</f>
        <v>60000</v>
      </c>
    </row>
    <row r="1404" spans="1:16" ht="14.25" customHeight="1" x14ac:dyDescent="0.25">
      <c r="A1404" s="23" t="str">
        <f t="shared" ca="1" si="42"/>
        <v>ID_1853</v>
      </c>
      <c r="B1404" s="22">
        <v>45769</v>
      </c>
      <c r="C1404" s="23" t="str">
        <f>TEXT('Working Sheet'!$B1404,"mmm")</f>
        <v>Apr</v>
      </c>
      <c r="D1404" s="23" t="s">
        <v>18</v>
      </c>
      <c r="E1404" s="23" t="s">
        <v>19</v>
      </c>
      <c r="F1404" s="23" t="s">
        <v>23</v>
      </c>
      <c r="G1404" s="23" t="s">
        <v>14</v>
      </c>
      <c r="H1404" s="23" t="s">
        <v>41</v>
      </c>
      <c r="I1404" s="23" t="s">
        <v>22</v>
      </c>
      <c r="J1404" s="24">
        <v>220000</v>
      </c>
      <c r="K1404" s="23">
        <v>3</v>
      </c>
      <c r="L1404" s="23" t="s">
        <v>39</v>
      </c>
      <c r="M1404" s="25">
        <f t="shared" si="43"/>
        <v>176000</v>
      </c>
      <c r="N1404" s="25">
        <f>'Working Sheet'!$J1404*'Working Sheet'!$K1404</f>
        <v>660000</v>
      </c>
      <c r="O1404" s="26">
        <f>'Working Sheet'!$M1404*'Working Sheet'!$K1404</f>
        <v>528000</v>
      </c>
      <c r="P1404" s="25">
        <f>'Working Sheet'!$N1404-'Working Sheet'!$O1404</f>
        <v>132000</v>
      </c>
    </row>
    <row r="1405" spans="1:16" ht="14.25" customHeight="1" x14ac:dyDescent="0.25">
      <c r="A1405" s="18" t="str">
        <f t="shared" ca="1" si="42"/>
        <v>ID_1116</v>
      </c>
      <c r="B1405" s="17">
        <v>45721</v>
      </c>
      <c r="C1405" s="18" t="str">
        <f>TEXT('Working Sheet'!$B1405,"mmm")</f>
        <v>Mar</v>
      </c>
      <c r="D1405" s="18" t="s">
        <v>18</v>
      </c>
      <c r="E1405" s="18" t="s">
        <v>19</v>
      </c>
      <c r="F1405" s="18" t="s">
        <v>23</v>
      </c>
      <c r="G1405" s="18" t="s">
        <v>20</v>
      </c>
      <c r="H1405" s="18" t="s">
        <v>30</v>
      </c>
      <c r="I1405" s="18" t="s">
        <v>31</v>
      </c>
      <c r="J1405" s="19">
        <v>300000</v>
      </c>
      <c r="K1405" s="18">
        <v>6</v>
      </c>
      <c r="L1405" s="18" t="s">
        <v>24</v>
      </c>
      <c r="M1405" s="20">
        <f t="shared" si="43"/>
        <v>240000</v>
      </c>
      <c r="N1405" s="20">
        <f>'Working Sheet'!$J1405*'Working Sheet'!$K1405</f>
        <v>1800000</v>
      </c>
      <c r="O1405" s="21">
        <f>'Working Sheet'!$M1405*'Working Sheet'!$K1405</f>
        <v>1440000</v>
      </c>
      <c r="P1405" s="20">
        <f>'Working Sheet'!$N1405-'Working Sheet'!$O1405</f>
        <v>360000</v>
      </c>
    </row>
    <row r="1406" spans="1:16" ht="14.25" customHeight="1" x14ac:dyDescent="0.25">
      <c r="A1406" s="23" t="str">
        <f t="shared" ca="1" si="42"/>
        <v>ID_1437</v>
      </c>
      <c r="B1406" s="22">
        <v>45755</v>
      </c>
      <c r="C1406" s="23" t="str">
        <f>TEXT('Working Sheet'!$B1406,"mmm")</f>
        <v>Apr</v>
      </c>
      <c r="D1406" s="23" t="s">
        <v>25</v>
      </c>
      <c r="E1406" s="23" t="s">
        <v>19</v>
      </c>
      <c r="F1406" s="23" t="s">
        <v>13</v>
      </c>
      <c r="G1406" s="23" t="s">
        <v>20</v>
      </c>
      <c r="H1406" s="23" t="s">
        <v>33</v>
      </c>
      <c r="I1406" s="23" t="s">
        <v>22</v>
      </c>
      <c r="J1406" s="24">
        <v>180000</v>
      </c>
      <c r="K1406" s="23">
        <v>2</v>
      </c>
      <c r="L1406" s="23" t="s">
        <v>39</v>
      </c>
      <c r="M1406" s="25">
        <f t="shared" si="43"/>
        <v>144000</v>
      </c>
      <c r="N1406" s="25">
        <f>'Working Sheet'!$J1406*'Working Sheet'!$K1406</f>
        <v>360000</v>
      </c>
      <c r="O1406" s="26">
        <f>'Working Sheet'!$M1406*'Working Sheet'!$K1406</f>
        <v>288000</v>
      </c>
      <c r="P1406" s="25">
        <f>'Working Sheet'!$N1406-'Working Sheet'!$O1406</f>
        <v>72000</v>
      </c>
    </row>
    <row r="1407" spans="1:16" ht="14.25" customHeight="1" x14ac:dyDescent="0.25">
      <c r="A1407" s="18" t="str">
        <f t="shared" ca="1" si="42"/>
        <v>ID_1220</v>
      </c>
      <c r="B1407" s="17">
        <v>45716</v>
      </c>
      <c r="C1407" s="18" t="str">
        <f>TEXT('Working Sheet'!$B1407,"mmm")</f>
        <v>Feb</v>
      </c>
      <c r="D1407" s="18" t="s">
        <v>18</v>
      </c>
      <c r="E1407" s="18" t="s">
        <v>32</v>
      </c>
      <c r="F1407" s="18" t="s">
        <v>13</v>
      </c>
      <c r="G1407" s="18" t="s">
        <v>14</v>
      </c>
      <c r="H1407" s="18" t="s">
        <v>36</v>
      </c>
      <c r="I1407" s="18" t="s">
        <v>31</v>
      </c>
      <c r="J1407" s="19">
        <v>150000</v>
      </c>
      <c r="K1407" s="18">
        <v>5</v>
      </c>
      <c r="L1407" s="18" t="s">
        <v>37</v>
      </c>
      <c r="M1407" s="20">
        <f t="shared" si="43"/>
        <v>120000</v>
      </c>
      <c r="N1407" s="20">
        <f>'Working Sheet'!$J1407*'Working Sheet'!$K1407</f>
        <v>750000</v>
      </c>
      <c r="O1407" s="21">
        <f>'Working Sheet'!$M1407*'Working Sheet'!$K1407</f>
        <v>600000</v>
      </c>
      <c r="P1407" s="20">
        <f>'Working Sheet'!$N1407-'Working Sheet'!$O1407</f>
        <v>150000</v>
      </c>
    </row>
    <row r="1408" spans="1:16" ht="14.25" customHeight="1" x14ac:dyDescent="0.25">
      <c r="A1408" s="23" t="str">
        <f t="shared" ca="1" si="42"/>
        <v>ID_1267</v>
      </c>
      <c r="B1408" s="22">
        <v>45765</v>
      </c>
      <c r="C1408" s="23" t="str">
        <f>TEXT('Working Sheet'!$B1408,"mmm")</f>
        <v>Apr</v>
      </c>
      <c r="D1408" s="23" t="s">
        <v>18</v>
      </c>
      <c r="E1408" s="23" t="s">
        <v>26</v>
      </c>
      <c r="F1408" s="23" t="s">
        <v>23</v>
      </c>
      <c r="G1408" s="23" t="s">
        <v>20</v>
      </c>
      <c r="H1408" s="23" t="s">
        <v>15</v>
      </c>
      <c r="I1408" s="23" t="s">
        <v>16</v>
      </c>
      <c r="J1408" s="24">
        <v>85000</v>
      </c>
      <c r="K1408" s="23">
        <v>1</v>
      </c>
      <c r="L1408" s="23" t="s">
        <v>37</v>
      </c>
      <c r="M1408" s="25">
        <f t="shared" si="43"/>
        <v>68000</v>
      </c>
      <c r="N1408" s="25">
        <f>'Working Sheet'!$J1408*'Working Sheet'!$K1408</f>
        <v>85000</v>
      </c>
      <c r="O1408" s="26">
        <f>'Working Sheet'!$M1408*'Working Sheet'!$K1408</f>
        <v>68000</v>
      </c>
      <c r="P1408" s="25">
        <f>'Working Sheet'!$N1408-'Working Sheet'!$O1408</f>
        <v>17000</v>
      </c>
    </row>
    <row r="1409" spans="1:16" ht="14.25" customHeight="1" x14ac:dyDescent="0.25">
      <c r="A1409" s="18" t="str">
        <f t="shared" ca="1" si="42"/>
        <v>ID_1149</v>
      </c>
      <c r="B1409" s="17">
        <v>45668</v>
      </c>
      <c r="C1409" s="18" t="str">
        <f>TEXT('Working Sheet'!$B1409,"mmm")</f>
        <v>Jan</v>
      </c>
      <c r="D1409" s="18" t="s">
        <v>11</v>
      </c>
      <c r="E1409" s="18" t="s">
        <v>12</v>
      </c>
      <c r="F1409" s="18" t="s">
        <v>13</v>
      </c>
      <c r="G1409" s="18" t="s">
        <v>14</v>
      </c>
      <c r="H1409" s="18" t="s">
        <v>21</v>
      </c>
      <c r="I1409" s="18" t="s">
        <v>22</v>
      </c>
      <c r="J1409" s="19">
        <v>30000</v>
      </c>
      <c r="K1409" s="18">
        <v>1</v>
      </c>
      <c r="L1409" s="18" t="s">
        <v>35</v>
      </c>
      <c r="M1409" s="20">
        <f t="shared" si="43"/>
        <v>24000</v>
      </c>
      <c r="N1409" s="20">
        <f>'Working Sheet'!$J1409*'Working Sheet'!$K1409</f>
        <v>30000</v>
      </c>
      <c r="O1409" s="21">
        <f>'Working Sheet'!$M1409*'Working Sheet'!$K1409</f>
        <v>24000</v>
      </c>
      <c r="P1409" s="20">
        <f>'Working Sheet'!$N1409-'Working Sheet'!$O1409</f>
        <v>6000</v>
      </c>
    </row>
    <row r="1410" spans="1:16" ht="14.25" customHeight="1" x14ac:dyDescent="0.25">
      <c r="A1410" s="23" t="str">
        <f t="shared" ref="A1410:A1473" ca="1" si="44">"ID_"&amp; RANDBETWEEN(1,2098)</f>
        <v>ID_921</v>
      </c>
      <c r="B1410" s="22">
        <v>45710</v>
      </c>
      <c r="C1410" s="23" t="str">
        <f>TEXT('Working Sheet'!$B1410,"mmm")</f>
        <v>Feb</v>
      </c>
      <c r="D1410" s="23" t="s">
        <v>18</v>
      </c>
      <c r="E1410" s="23" t="s">
        <v>19</v>
      </c>
      <c r="F1410" s="23" t="s">
        <v>13</v>
      </c>
      <c r="G1410" s="23" t="s">
        <v>20</v>
      </c>
      <c r="H1410" s="23" t="s">
        <v>15</v>
      </c>
      <c r="I1410" s="23" t="s">
        <v>16</v>
      </c>
      <c r="J1410" s="24">
        <v>85000</v>
      </c>
      <c r="K1410" s="23">
        <v>1</v>
      </c>
      <c r="L1410" s="23" t="s">
        <v>37</v>
      </c>
      <c r="M1410" s="25">
        <f t="shared" ref="M1410:M1473" si="45">J1410-J1410*0.2</f>
        <v>68000</v>
      </c>
      <c r="N1410" s="25">
        <f>'Working Sheet'!$J1410*'Working Sheet'!$K1410</f>
        <v>85000</v>
      </c>
      <c r="O1410" s="26">
        <f>'Working Sheet'!$M1410*'Working Sheet'!$K1410</f>
        <v>68000</v>
      </c>
      <c r="P1410" s="25">
        <f>'Working Sheet'!$N1410-'Working Sheet'!$O1410</f>
        <v>17000</v>
      </c>
    </row>
    <row r="1411" spans="1:16" ht="14.25" customHeight="1" x14ac:dyDescent="0.25">
      <c r="A1411" s="18" t="str">
        <f t="shared" ca="1" si="44"/>
        <v>ID_785</v>
      </c>
      <c r="B1411" s="17">
        <v>45735</v>
      </c>
      <c r="C1411" s="18" t="str">
        <f>TEXT('Working Sheet'!$B1411,"mmm")</f>
        <v>Mar</v>
      </c>
      <c r="D1411" s="18" t="s">
        <v>25</v>
      </c>
      <c r="E1411" s="18" t="s">
        <v>19</v>
      </c>
      <c r="F1411" s="18" t="s">
        <v>13</v>
      </c>
      <c r="G1411" s="18" t="s">
        <v>20</v>
      </c>
      <c r="H1411" s="18" t="s">
        <v>21</v>
      </c>
      <c r="I1411" s="18" t="s">
        <v>22</v>
      </c>
      <c r="J1411" s="19">
        <v>30000</v>
      </c>
      <c r="K1411" s="18">
        <v>2</v>
      </c>
      <c r="L1411" s="18" t="s">
        <v>37</v>
      </c>
      <c r="M1411" s="20">
        <f t="shared" si="45"/>
        <v>24000</v>
      </c>
      <c r="N1411" s="20">
        <f>'Working Sheet'!$J1411*'Working Sheet'!$K1411</f>
        <v>60000</v>
      </c>
      <c r="O1411" s="21">
        <f>'Working Sheet'!$M1411*'Working Sheet'!$K1411</f>
        <v>48000</v>
      </c>
      <c r="P1411" s="20">
        <f>'Working Sheet'!$N1411-'Working Sheet'!$O1411</f>
        <v>12000</v>
      </c>
    </row>
    <row r="1412" spans="1:16" ht="14.25" customHeight="1" x14ac:dyDescent="0.25">
      <c r="A1412" s="23" t="str">
        <f t="shared" ca="1" si="44"/>
        <v>ID_761</v>
      </c>
      <c r="B1412" s="22">
        <v>45727</v>
      </c>
      <c r="C1412" s="23" t="str">
        <f>TEXT('Working Sheet'!$B1412,"mmm")</f>
        <v>Mar</v>
      </c>
      <c r="D1412" s="23" t="s">
        <v>18</v>
      </c>
      <c r="E1412" s="23" t="s">
        <v>12</v>
      </c>
      <c r="F1412" s="23" t="s">
        <v>13</v>
      </c>
      <c r="G1412" s="23" t="s">
        <v>20</v>
      </c>
      <c r="H1412" s="23" t="s">
        <v>38</v>
      </c>
      <c r="I1412" s="23" t="s">
        <v>31</v>
      </c>
      <c r="J1412" s="24">
        <v>420000</v>
      </c>
      <c r="K1412" s="23">
        <v>3</v>
      </c>
      <c r="L1412" s="23" t="s">
        <v>17</v>
      </c>
      <c r="M1412" s="25">
        <f t="shared" si="45"/>
        <v>336000</v>
      </c>
      <c r="N1412" s="25">
        <f>'Working Sheet'!$J1412*'Working Sheet'!$K1412</f>
        <v>1260000</v>
      </c>
      <c r="O1412" s="26">
        <f>'Working Sheet'!$M1412*'Working Sheet'!$K1412</f>
        <v>1008000</v>
      </c>
      <c r="P1412" s="25">
        <f>'Working Sheet'!$N1412-'Working Sheet'!$O1412</f>
        <v>252000</v>
      </c>
    </row>
    <row r="1413" spans="1:16" ht="14.25" customHeight="1" x14ac:dyDescent="0.25">
      <c r="A1413" s="18" t="str">
        <f t="shared" ca="1" si="44"/>
        <v>ID_1076</v>
      </c>
      <c r="B1413" s="17">
        <v>45676</v>
      </c>
      <c r="C1413" s="18" t="str">
        <f>TEXT('Working Sheet'!$B1413,"mmm")</f>
        <v>Jan</v>
      </c>
      <c r="D1413" s="18" t="s">
        <v>11</v>
      </c>
      <c r="E1413" s="18" t="s">
        <v>19</v>
      </c>
      <c r="F1413" s="18" t="s">
        <v>13</v>
      </c>
      <c r="G1413" s="18" t="s">
        <v>20</v>
      </c>
      <c r="H1413" s="18" t="s">
        <v>21</v>
      </c>
      <c r="I1413" s="18" t="s">
        <v>22</v>
      </c>
      <c r="J1413" s="19">
        <v>30000</v>
      </c>
      <c r="K1413" s="18">
        <v>2</v>
      </c>
      <c r="L1413" s="18" t="s">
        <v>35</v>
      </c>
      <c r="M1413" s="20">
        <f t="shared" si="45"/>
        <v>24000</v>
      </c>
      <c r="N1413" s="20">
        <f>'Working Sheet'!$J1413*'Working Sheet'!$K1413</f>
        <v>60000</v>
      </c>
      <c r="O1413" s="21">
        <f>'Working Sheet'!$M1413*'Working Sheet'!$K1413</f>
        <v>48000</v>
      </c>
      <c r="P1413" s="20">
        <f>'Working Sheet'!$N1413-'Working Sheet'!$O1413</f>
        <v>12000</v>
      </c>
    </row>
    <row r="1414" spans="1:16" ht="14.25" customHeight="1" x14ac:dyDescent="0.25">
      <c r="A1414" s="23" t="str">
        <f t="shared" ca="1" si="44"/>
        <v>ID_717</v>
      </c>
      <c r="B1414" s="22">
        <v>45673</v>
      </c>
      <c r="C1414" s="23" t="str">
        <f>TEXT('Working Sheet'!$B1414,"mmm")</f>
        <v>Jan</v>
      </c>
      <c r="D1414" s="23" t="s">
        <v>25</v>
      </c>
      <c r="E1414" s="23" t="s">
        <v>32</v>
      </c>
      <c r="F1414" s="23" t="s">
        <v>13</v>
      </c>
      <c r="G1414" s="23" t="s">
        <v>20</v>
      </c>
      <c r="H1414" s="23" t="s">
        <v>30</v>
      </c>
      <c r="I1414" s="23" t="s">
        <v>31</v>
      </c>
      <c r="J1414" s="24">
        <v>300000</v>
      </c>
      <c r="K1414" s="23">
        <v>9</v>
      </c>
      <c r="L1414" s="23" t="s">
        <v>28</v>
      </c>
      <c r="M1414" s="25">
        <f t="shared" si="45"/>
        <v>240000</v>
      </c>
      <c r="N1414" s="25">
        <f>'Working Sheet'!$J1414*'Working Sheet'!$K1414</f>
        <v>2700000</v>
      </c>
      <c r="O1414" s="26">
        <f>'Working Sheet'!$M1414*'Working Sheet'!$K1414</f>
        <v>2160000</v>
      </c>
      <c r="P1414" s="25">
        <f>'Working Sheet'!$N1414-'Working Sheet'!$O1414</f>
        <v>540000</v>
      </c>
    </row>
    <row r="1415" spans="1:16" ht="14.25" customHeight="1" x14ac:dyDescent="0.25">
      <c r="A1415" s="18" t="str">
        <f t="shared" ca="1" si="44"/>
        <v>ID_1299</v>
      </c>
      <c r="B1415" s="17">
        <v>45685</v>
      </c>
      <c r="C1415" s="18" t="str">
        <f>TEXT('Working Sheet'!$B1415,"mmm")</f>
        <v>Jan</v>
      </c>
      <c r="D1415" s="18" t="s">
        <v>18</v>
      </c>
      <c r="E1415" s="18" t="s">
        <v>26</v>
      </c>
      <c r="F1415" s="18" t="s">
        <v>23</v>
      </c>
      <c r="G1415" s="18" t="s">
        <v>20</v>
      </c>
      <c r="H1415" s="18" t="s">
        <v>36</v>
      </c>
      <c r="I1415" s="18" t="s">
        <v>31</v>
      </c>
      <c r="J1415" s="19">
        <v>150000</v>
      </c>
      <c r="K1415" s="18">
        <v>4</v>
      </c>
      <c r="L1415" s="18" t="s">
        <v>35</v>
      </c>
      <c r="M1415" s="20">
        <f t="shared" si="45"/>
        <v>120000</v>
      </c>
      <c r="N1415" s="20">
        <f>'Working Sheet'!$J1415*'Working Sheet'!$K1415</f>
        <v>600000</v>
      </c>
      <c r="O1415" s="21">
        <f>'Working Sheet'!$M1415*'Working Sheet'!$K1415</f>
        <v>480000</v>
      </c>
      <c r="P1415" s="20">
        <f>'Working Sheet'!$N1415-'Working Sheet'!$O1415</f>
        <v>120000</v>
      </c>
    </row>
    <row r="1416" spans="1:16" ht="14.25" customHeight="1" x14ac:dyDescent="0.25">
      <c r="A1416" s="23" t="str">
        <f t="shared" ca="1" si="44"/>
        <v>ID_1136</v>
      </c>
      <c r="B1416" s="22">
        <v>45768</v>
      </c>
      <c r="C1416" s="23" t="str">
        <f>TEXT('Working Sheet'!$B1416,"mmm")</f>
        <v>Apr</v>
      </c>
      <c r="D1416" s="23" t="s">
        <v>18</v>
      </c>
      <c r="E1416" s="23" t="s">
        <v>12</v>
      </c>
      <c r="F1416" s="23" t="s">
        <v>13</v>
      </c>
      <c r="G1416" s="23" t="s">
        <v>20</v>
      </c>
      <c r="H1416" s="23" t="s">
        <v>41</v>
      </c>
      <c r="I1416" s="23" t="s">
        <v>22</v>
      </c>
      <c r="J1416" s="24">
        <v>220000</v>
      </c>
      <c r="K1416" s="23">
        <v>2</v>
      </c>
      <c r="L1416" s="23" t="s">
        <v>39</v>
      </c>
      <c r="M1416" s="25">
        <f t="shared" si="45"/>
        <v>176000</v>
      </c>
      <c r="N1416" s="25">
        <f>'Working Sheet'!$J1416*'Working Sheet'!$K1416</f>
        <v>440000</v>
      </c>
      <c r="O1416" s="26">
        <f>'Working Sheet'!$M1416*'Working Sheet'!$K1416</f>
        <v>352000</v>
      </c>
      <c r="P1416" s="25">
        <f>'Working Sheet'!$N1416-'Working Sheet'!$O1416</f>
        <v>88000</v>
      </c>
    </row>
    <row r="1417" spans="1:16" ht="14.25" customHeight="1" x14ac:dyDescent="0.25">
      <c r="A1417" s="18" t="str">
        <f t="shared" ca="1" si="44"/>
        <v>ID_2043</v>
      </c>
      <c r="B1417" s="17">
        <v>45759</v>
      </c>
      <c r="C1417" s="18" t="str">
        <f>TEXT('Working Sheet'!$B1417,"mmm")</f>
        <v>Apr</v>
      </c>
      <c r="D1417" s="18" t="s">
        <v>25</v>
      </c>
      <c r="E1417" s="18" t="s">
        <v>19</v>
      </c>
      <c r="F1417" s="18" t="s">
        <v>13</v>
      </c>
      <c r="G1417" s="18" t="s">
        <v>20</v>
      </c>
      <c r="H1417" s="18" t="s">
        <v>15</v>
      </c>
      <c r="I1417" s="18" t="s">
        <v>16</v>
      </c>
      <c r="J1417" s="19">
        <v>85000</v>
      </c>
      <c r="K1417" s="18">
        <v>6</v>
      </c>
      <c r="L1417" s="18" t="s">
        <v>17</v>
      </c>
      <c r="M1417" s="20">
        <f t="shared" si="45"/>
        <v>68000</v>
      </c>
      <c r="N1417" s="20">
        <f>'Working Sheet'!$J1417*'Working Sheet'!$K1417</f>
        <v>510000</v>
      </c>
      <c r="O1417" s="21">
        <f>'Working Sheet'!$M1417*'Working Sheet'!$K1417</f>
        <v>408000</v>
      </c>
      <c r="P1417" s="20">
        <f>'Working Sheet'!$N1417-'Working Sheet'!$O1417</f>
        <v>102000</v>
      </c>
    </row>
    <row r="1418" spans="1:16" ht="14.25" customHeight="1" x14ac:dyDescent="0.25">
      <c r="A1418" s="23" t="str">
        <f t="shared" ca="1" si="44"/>
        <v>ID_439</v>
      </c>
      <c r="B1418" s="22">
        <v>45713</v>
      </c>
      <c r="C1418" s="23" t="str">
        <f>TEXT('Working Sheet'!$B1418,"mmm")</f>
        <v>Feb</v>
      </c>
      <c r="D1418" s="23" t="s">
        <v>11</v>
      </c>
      <c r="E1418" s="23" t="s">
        <v>19</v>
      </c>
      <c r="F1418" s="23" t="s">
        <v>13</v>
      </c>
      <c r="G1418" s="23" t="s">
        <v>20</v>
      </c>
      <c r="H1418" s="23" t="s">
        <v>30</v>
      </c>
      <c r="I1418" s="23" t="s">
        <v>31</v>
      </c>
      <c r="J1418" s="24">
        <v>300000</v>
      </c>
      <c r="K1418" s="23">
        <v>8</v>
      </c>
      <c r="L1418" s="23" t="s">
        <v>17</v>
      </c>
      <c r="M1418" s="25">
        <f t="shared" si="45"/>
        <v>240000</v>
      </c>
      <c r="N1418" s="25">
        <f>'Working Sheet'!$J1418*'Working Sheet'!$K1418</f>
        <v>2400000</v>
      </c>
      <c r="O1418" s="26">
        <f>'Working Sheet'!$M1418*'Working Sheet'!$K1418</f>
        <v>1920000</v>
      </c>
      <c r="P1418" s="25">
        <f>'Working Sheet'!$N1418-'Working Sheet'!$O1418</f>
        <v>480000</v>
      </c>
    </row>
    <row r="1419" spans="1:16" ht="14.25" customHeight="1" x14ac:dyDescent="0.25">
      <c r="A1419" s="18" t="str">
        <f t="shared" ca="1" si="44"/>
        <v>ID_1187</v>
      </c>
      <c r="B1419" s="17">
        <v>45773</v>
      </c>
      <c r="C1419" s="18" t="str">
        <f>TEXT('Working Sheet'!$B1419,"mmm")</f>
        <v>Apr</v>
      </c>
      <c r="D1419" s="18" t="s">
        <v>25</v>
      </c>
      <c r="E1419" s="18" t="s">
        <v>26</v>
      </c>
      <c r="F1419" s="18" t="s">
        <v>23</v>
      </c>
      <c r="G1419" s="18" t="s">
        <v>20</v>
      </c>
      <c r="H1419" s="18" t="s">
        <v>38</v>
      </c>
      <c r="I1419" s="18" t="s">
        <v>31</v>
      </c>
      <c r="J1419" s="19">
        <v>420000</v>
      </c>
      <c r="K1419" s="18">
        <v>2</v>
      </c>
      <c r="L1419" s="18" t="s">
        <v>35</v>
      </c>
      <c r="M1419" s="20">
        <f t="shared" si="45"/>
        <v>336000</v>
      </c>
      <c r="N1419" s="20">
        <f>'Working Sheet'!$J1419*'Working Sheet'!$K1419</f>
        <v>840000</v>
      </c>
      <c r="O1419" s="21">
        <f>'Working Sheet'!$M1419*'Working Sheet'!$K1419</f>
        <v>672000</v>
      </c>
      <c r="P1419" s="20">
        <f>'Working Sheet'!$N1419-'Working Sheet'!$O1419</f>
        <v>168000</v>
      </c>
    </row>
    <row r="1420" spans="1:16" ht="14.25" customHeight="1" x14ac:dyDescent="0.25">
      <c r="A1420" s="23" t="str">
        <f t="shared" ca="1" si="44"/>
        <v>ID_441</v>
      </c>
      <c r="B1420" s="22">
        <v>45682</v>
      </c>
      <c r="C1420" s="23" t="str">
        <f>TEXT('Working Sheet'!$B1420,"mmm")</f>
        <v>Jan</v>
      </c>
      <c r="D1420" s="23" t="s">
        <v>18</v>
      </c>
      <c r="E1420" s="23" t="s">
        <v>26</v>
      </c>
      <c r="F1420" s="23" t="s">
        <v>13</v>
      </c>
      <c r="G1420" s="23" t="s">
        <v>20</v>
      </c>
      <c r="H1420" s="23" t="s">
        <v>41</v>
      </c>
      <c r="I1420" s="23" t="s">
        <v>22</v>
      </c>
      <c r="J1420" s="24">
        <v>220000</v>
      </c>
      <c r="K1420" s="23">
        <v>3</v>
      </c>
      <c r="L1420" s="23" t="s">
        <v>24</v>
      </c>
      <c r="M1420" s="25">
        <f t="shared" si="45"/>
        <v>176000</v>
      </c>
      <c r="N1420" s="25">
        <f>'Working Sheet'!$J1420*'Working Sheet'!$K1420</f>
        <v>660000</v>
      </c>
      <c r="O1420" s="26">
        <f>'Working Sheet'!$M1420*'Working Sheet'!$K1420</f>
        <v>528000</v>
      </c>
      <c r="P1420" s="25">
        <f>'Working Sheet'!$N1420-'Working Sheet'!$O1420</f>
        <v>132000</v>
      </c>
    </row>
    <row r="1421" spans="1:16" ht="14.25" customHeight="1" x14ac:dyDescent="0.25">
      <c r="A1421" s="18" t="str">
        <f t="shared" ca="1" si="44"/>
        <v>ID_601</v>
      </c>
      <c r="B1421" s="17">
        <v>45769</v>
      </c>
      <c r="C1421" s="18" t="str">
        <f>TEXT('Working Sheet'!$B1421,"mmm")</f>
        <v>Apr</v>
      </c>
      <c r="D1421" s="18" t="s">
        <v>18</v>
      </c>
      <c r="E1421" s="18" t="s">
        <v>19</v>
      </c>
      <c r="F1421" s="18" t="s">
        <v>13</v>
      </c>
      <c r="G1421" s="18" t="s">
        <v>20</v>
      </c>
      <c r="H1421" s="18" t="s">
        <v>38</v>
      </c>
      <c r="I1421" s="18" t="s">
        <v>31</v>
      </c>
      <c r="J1421" s="19">
        <v>420000</v>
      </c>
      <c r="K1421" s="18">
        <v>10</v>
      </c>
      <c r="L1421" s="18" t="s">
        <v>17</v>
      </c>
      <c r="M1421" s="20">
        <f t="shared" si="45"/>
        <v>336000</v>
      </c>
      <c r="N1421" s="20">
        <f>'Working Sheet'!$J1421*'Working Sheet'!$K1421</f>
        <v>4200000</v>
      </c>
      <c r="O1421" s="21">
        <f>'Working Sheet'!$M1421*'Working Sheet'!$K1421</f>
        <v>3360000</v>
      </c>
      <c r="P1421" s="20">
        <f>'Working Sheet'!$N1421-'Working Sheet'!$O1421</f>
        <v>840000</v>
      </c>
    </row>
    <row r="1422" spans="1:16" ht="14.25" customHeight="1" x14ac:dyDescent="0.25">
      <c r="A1422" s="23" t="str">
        <f t="shared" ca="1" si="44"/>
        <v>ID_1255</v>
      </c>
      <c r="B1422" s="22">
        <v>45748</v>
      </c>
      <c r="C1422" s="23" t="str">
        <f>TEXT('Working Sheet'!$B1422,"mmm")</f>
        <v>Apr</v>
      </c>
      <c r="D1422" s="23" t="s">
        <v>29</v>
      </c>
      <c r="E1422" s="23" t="s">
        <v>19</v>
      </c>
      <c r="F1422" s="23" t="s">
        <v>13</v>
      </c>
      <c r="G1422" s="23" t="s">
        <v>20</v>
      </c>
      <c r="H1422" s="23" t="s">
        <v>30</v>
      </c>
      <c r="I1422" s="23" t="s">
        <v>31</v>
      </c>
      <c r="J1422" s="24">
        <v>300000</v>
      </c>
      <c r="K1422" s="23">
        <v>7</v>
      </c>
      <c r="L1422" s="23" t="s">
        <v>24</v>
      </c>
      <c r="M1422" s="25">
        <f t="shared" si="45"/>
        <v>240000</v>
      </c>
      <c r="N1422" s="25">
        <f>'Working Sheet'!$J1422*'Working Sheet'!$K1422</f>
        <v>2100000</v>
      </c>
      <c r="O1422" s="26">
        <f>'Working Sheet'!$M1422*'Working Sheet'!$K1422</f>
        <v>1680000</v>
      </c>
      <c r="P1422" s="25">
        <f>'Working Sheet'!$N1422-'Working Sheet'!$O1422</f>
        <v>420000</v>
      </c>
    </row>
    <row r="1423" spans="1:16" ht="14.25" customHeight="1" x14ac:dyDescent="0.25">
      <c r="A1423" s="18" t="str">
        <f t="shared" ca="1" si="44"/>
        <v>ID_1631</v>
      </c>
      <c r="B1423" s="17">
        <v>45748</v>
      </c>
      <c r="C1423" s="18" t="str">
        <f>TEXT('Working Sheet'!$B1423,"mmm")</f>
        <v>Apr</v>
      </c>
      <c r="D1423" s="18" t="s">
        <v>18</v>
      </c>
      <c r="E1423" s="18" t="s">
        <v>26</v>
      </c>
      <c r="F1423" s="18" t="s">
        <v>13</v>
      </c>
      <c r="G1423" s="18" t="s">
        <v>20</v>
      </c>
      <c r="H1423" s="18" t="s">
        <v>21</v>
      </c>
      <c r="I1423" s="18" t="s">
        <v>22</v>
      </c>
      <c r="J1423" s="19">
        <v>30000</v>
      </c>
      <c r="K1423" s="18">
        <v>1</v>
      </c>
      <c r="L1423" s="18" t="s">
        <v>28</v>
      </c>
      <c r="M1423" s="20">
        <f t="shared" si="45"/>
        <v>24000</v>
      </c>
      <c r="N1423" s="20">
        <f>'Working Sheet'!$J1423*'Working Sheet'!$K1423</f>
        <v>30000</v>
      </c>
      <c r="O1423" s="21">
        <f>'Working Sheet'!$M1423*'Working Sheet'!$K1423</f>
        <v>24000</v>
      </c>
      <c r="P1423" s="20">
        <f>'Working Sheet'!$N1423-'Working Sheet'!$O1423</f>
        <v>6000</v>
      </c>
    </row>
    <row r="1424" spans="1:16" ht="14.25" customHeight="1" x14ac:dyDescent="0.25">
      <c r="A1424" s="23" t="str">
        <f t="shared" ca="1" si="44"/>
        <v>ID_129</v>
      </c>
      <c r="B1424" s="22">
        <v>45707</v>
      </c>
      <c r="C1424" s="23" t="str">
        <f>TEXT('Working Sheet'!$B1424,"mmm")</f>
        <v>Feb</v>
      </c>
      <c r="D1424" s="23" t="s">
        <v>18</v>
      </c>
      <c r="E1424" s="23" t="s">
        <v>19</v>
      </c>
      <c r="F1424" s="23" t="s">
        <v>23</v>
      </c>
      <c r="G1424" s="23" t="s">
        <v>20</v>
      </c>
      <c r="H1424" s="23" t="s">
        <v>21</v>
      </c>
      <c r="I1424" s="23" t="s">
        <v>22</v>
      </c>
      <c r="J1424" s="24">
        <v>30000</v>
      </c>
      <c r="K1424" s="23">
        <v>7</v>
      </c>
      <c r="L1424" s="23" t="s">
        <v>17</v>
      </c>
      <c r="M1424" s="25">
        <f t="shared" si="45"/>
        <v>24000</v>
      </c>
      <c r="N1424" s="25">
        <f>'Working Sheet'!$J1424*'Working Sheet'!$K1424</f>
        <v>210000</v>
      </c>
      <c r="O1424" s="26">
        <f>'Working Sheet'!$M1424*'Working Sheet'!$K1424</f>
        <v>168000</v>
      </c>
      <c r="P1424" s="25">
        <f>'Working Sheet'!$N1424-'Working Sheet'!$O1424</f>
        <v>42000</v>
      </c>
    </row>
    <row r="1425" spans="1:16" ht="14.25" customHeight="1" x14ac:dyDescent="0.25">
      <c r="A1425" s="18" t="str">
        <f t="shared" ca="1" si="44"/>
        <v>ID_1840</v>
      </c>
      <c r="B1425" s="17">
        <v>45670</v>
      </c>
      <c r="C1425" s="18" t="str">
        <f>TEXT('Working Sheet'!$B1425,"mmm")</f>
        <v>Jan</v>
      </c>
      <c r="D1425" s="18" t="s">
        <v>29</v>
      </c>
      <c r="E1425" s="18" t="s">
        <v>32</v>
      </c>
      <c r="F1425" s="18" t="s">
        <v>23</v>
      </c>
      <c r="G1425" s="18" t="s">
        <v>20</v>
      </c>
      <c r="H1425" s="18" t="s">
        <v>15</v>
      </c>
      <c r="I1425" s="18" t="s">
        <v>16</v>
      </c>
      <c r="J1425" s="19">
        <v>85000</v>
      </c>
      <c r="K1425" s="18">
        <v>8</v>
      </c>
      <c r="L1425" s="18" t="s">
        <v>35</v>
      </c>
      <c r="M1425" s="20">
        <f t="shared" si="45"/>
        <v>68000</v>
      </c>
      <c r="N1425" s="20">
        <f>'Working Sheet'!$J1425*'Working Sheet'!$K1425</f>
        <v>680000</v>
      </c>
      <c r="O1425" s="21">
        <f>'Working Sheet'!$M1425*'Working Sheet'!$K1425</f>
        <v>544000</v>
      </c>
      <c r="P1425" s="20">
        <f>'Working Sheet'!$N1425-'Working Sheet'!$O1425</f>
        <v>136000</v>
      </c>
    </row>
    <row r="1426" spans="1:16" ht="14.25" customHeight="1" x14ac:dyDescent="0.25">
      <c r="A1426" s="23" t="str">
        <f t="shared" ca="1" si="44"/>
        <v>ID_448</v>
      </c>
      <c r="B1426" s="22">
        <v>45742</v>
      </c>
      <c r="C1426" s="23" t="str">
        <f>TEXT('Working Sheet'!$B1426,"mmm")</f>
        <v>Mar</v>
      </c>
      <c r="D1426" s="23" t="s">
        <v>18</v>
      </c>
      <c r="E1426" s="23" t="s">
        <v>19</v>
      </c>
      <c r="F1426" s="23" t="s">
        <v>13</v>
      </c>
      <c r="G1426" s="23" t="s">
        <v>20</v>
      </c>
      <c r="H1426" s="23" t="s">
        <v>40</v>
      </c>
      <c r="I1426" s="23" t="s">
        <v>31</v>
      </c>
      <c r="J1426" s="24">
        <v>250000</v>
      </c>
      <c r="K1426" s="23">
        <v>10</v>
      </c>
      <c r="L1426" s="23" t="s">
        <v>24</v>
      </c>
      <c r="M1426" s="25">
        <f t="shared" si="45"/>
        <v>200000</v>
      </c>
      <c r="N1426" s="25">
        <f>'Working Sheet'!$J1426*'Working Sheet'!$K1426</f>
        <v>2500000</v>
      </c>
      <c r="O1426" s="26">
        <f>'Working Sheet'!$M1426*'Working Sheet'!$K1426</f>
        <v>2000000</v>
      </c>
      <c r="P1426" s="25">
        <f>'Working Sheet'!$N1426-'Working Sheet'!$O1426</f>
        <v>500000</v>
      </c>
    </row>
    <row r="1427" spans="1:16" ht="14.25" customHeight="1" x14ac:dyDescent="0.25">
      <c r="A1427" s="18" t="str">
        <f t="shared" ca="1" si="44"/>
        <v>ID_1485</v>
      </c>
      <c r="B1427" s="17">
        <v>45778</v>
      </c>
      <c r="C1427" s="18" t="str">
        <f>TEXT('Working Sheet'!$B1427,"mmm")</f>
        <v>May</v>
      </c>
      <c r="D1427" s="18" t="s">
        <v>11</v>
      </c>
      <c r="E1427" s="18" t="s">
        <v>19</v>
      </c>
      <c r="F1427" s="18" t="s">
        <v>13</v>
      </c>
      <c r="G1427" s="18" t="s">
        <v>20</v>
      </c>
      <c r="H1427" s="18" t="s">
        <v>15</v>
      </c>
      <c r="I1427" s="18" t="s">
        <v>16</v>
      </c>
      <c r="J1427" s="19">
        <v>85000</v>
      </c>
      <c r="K1427" s="18">
        <v>4</v>
      </c>
      <c r="L1427" s="18" t="s">
        <v>39</v>
      </c>
      <c r="M1427" s="20">
        <f t="shared" si="45"/>
        <v>68000</v>
      </c>
      <c r="N1427" s="20">
        <f>'Working Sheet'!$J1427*'Working Sheet'!$K1427</f>
        <v>340000</v>
      </c>
      <c r="O1427" s="21">
        <f>'Working Sheet'!$M1427*'Working Sheet'!$K1427</f>
        <v>272000</v>
      </c>
      <c r="P1427" s="20">
        <f>'Working Sheet'!$N1427-'Working Sheet'!$O1427</f>
        <v>68000</v>
      </c>
    </row>
    <row r="1428" spans="1:16" ht="14.25" customHeight="1" x14ac:dyDescent="0.25">
      <c r="A1428" s="23" t="str">
        <f t="shared" ca="1" si="44"/>
        <v>ID_1657</v>
      </c>
      <c r="B1428" s="22">
        <v>45777</v>
      </c>
      <c r="C1428" s="23" t="str">
        <f>TEXT('Working Sheet'!$B1428,"mmm")</f>
        <v>Apr</v>
      </c>
      <c r="D1428" s="23" t="s">
        <v>11</v>
      </c>
      <c r="E1428" s="23" t="s">
        <v>32</v>
      </c>
      <c r="F1428" s="23" t="s">
        <v>13</v>
      </c>
      <c r="G1428" s="23" t="s">
        <v>20</v>
      </c>
      <c r="H1428" s="23" t="s">
        <v>40</v>
      </c>
      <c r="I1428" s="23" t="s">
        <v>31</v>
      </c>
      <c r="J1428" s="24">
        <v>250000</v>
      </c>
      <c r="K1428" s="23">
        <v>6</v>
      </c>
      <c r="L1428" s="23" t="s">
        <v>39</v>
      </c>
      <c r="M1428" s="25">
        <f t="shared" si="45"/>
        <v>200000</v>
      </c>
      <c r="N1428" s="25">
        <f>'Working Sheet'!$J1428*'Working Sheet'!$K1428</f>
        <v>1500000</v>
      </c>
      <c r="O1428" s="26">
        <f>'Working Sheet'!$M1428*'Working Sheet'!$K1428</f>
        <v>1200000</v>
      </c>
      <c r="P1428" s="25">
        <f>'Working Sheet'!$N1428-'Working Sheet'!$O1428</f>
        <v>300000</v>
      </c>
    </row>
    <row r="1429" spans="1:16" ht="14.25" customHeight="1" x14ac:dyDescent="0.25">
      <c r="A1429" s="18" t="str">
        <f t="shared" ca="1" si="44"/>
        <v>ID_931</v>
      </c>
      <c r="B1429" s="17">
        <v>45768</v>
      </c>
      <c r="C1429" s="18" t="str">
        <f>TEXT('Working Sheet'!$B1429,"mmm")</f>
        <v>Apr</v>
      </c>
      <c r="D1429" s="18" t="s">
        <v>18</v>
      </c>
      <c r="E1429" s="18" t="s">
        <v>32</v>
      </c>
      <c r="F1429" s="18" t="s">
        <v>23</v>
      </c>
      <c r="G1429" s="18" t="s">
        <v>20</v>
      </c>
      <c r="H1429" s="18" t="s">
        <v>34</v>
      </c>
      <c r="I1429" s="18" t="s">
        <v>16</v>
      </c>
      <c r="J1429" s="19">
        <v>320000</v>
      </c>
      <c r="K1429" s="18">
        <v>7</v>
      </c>
      <c r="L1429" s="18" t="s">
        <v>37</v>
      </c>
      <c r="M1429" s="20">
        <f t="shared" si="45"/>
        <v>256000</v>
      </c>
      <c r="N1429" s="20">
        <f>'Working Sheet'!$J1429*'Working Sheet'!$K1429</f>
        <v>2240000</v>
      </c>
      <c r="O1429" s="21">
        <f>'Working Sheet'!$M1429*'Working Sheet'!$K1429</f>
        <v>1792000</v>
      </c>
      <c r="P1429" s="20">
        <f>'Working Sheet'!$N1429-'Working Sheet'!$O1429</f>
        <v>448000</v>
      </c>
    </row>
    <row r="1430" spans="1:16" ht="14.25" customHeight="1" x14ac:dyDescent="0.25">
      <c r="A1430" s="23" t="str">
        <f t="shared" ca="1" si="44"/>
        <v>ID_5</v>
      </c>
      <c r="B1430" s="22">
        <v>45725</v>
      </c>
      <c r="C1430" s="23" t="str">
        <f>TEXT('Working Sheet'!$B1430,"mmm")</f>
        <v>Mar</v>
      </c>
      <c r="D1430" s="23" t="s">
        <v>18</v>
      </c>
      <c r="E1430" s="23" t="s">
        <v>32</v>
      </c>
      <c r="F1430" s="23" t="s">
        <v>23</v>
      </c>
      <c r="G1430" s="23" t="s">
        <v>20</v>
      </c>
      <c r="H1430" s="23" t="s">
        <v>33</v>
      </c>
      <c r="I1430" s="23" t="s">
        <v>22</v>
      </c>
      <c r="J1430" s="24">
        <v>180000</v>
      </c>
      <c r="K1430" s="23">
        <v>2</v>
      </c>
      <c r="L1430" s="23" t="s">
        <v>17</v>
      </c>
      <c r="M1430" s="25">
        <f t="shared" si="45"/>
        <v>144000</v>
      </c>
      <c r="N1430" s="25">
        <f>'Working Sheet'!$J1430*'Working Sheet'!$K1430</f>
        <v>360000</v>
      </c>
      <c r="O1430" s="26">
        <f>'Working Sheet'!$M1430*'Working Sheet'!$K1430</f>
        <v>288000</v>
      </c>
      <c r="P1430" s="25">
        <f>'Working Sheet'!$N1430-'Working Sheet'!$O1430</f>
        <v>72000</v>
      </c>
    </row>
    <row r="1431" spans="1:16" ht="14.25" customHeight="1" x14ac:dyDescent="0.25">
      <c r="A1431" s="18" t="str">
        <f t="shared" ca="1" si="44"/>
        <v>ID_1916</v>
      </c>
      <c r="B1431" s="17">
        <v>45774</v>
      </c>
      <c r="C1431" s="18" t="str">
        <f>TEXT('Working Sheet'!$B1431,"mmm")</f>
        <v>Apr</v>
      </c>
      <c r="D1431" s="18" t="s">
        <v>29</v>
      </c>
      <c r="E1431" s="18" t="s">
        <v>32</v>
      </c>
      <c r="F1431" s="18" t="s">
        <v>23</v>
      </c>
      <c r="G1431" s="18" t="s">
        <v>20</v>
      </c>
      <c r="H1431" s="18" t="s">
        <v>41</v>
      </c>
      <c r="I1431" s="18" t="s">
        <v>22</v>
      </c>
      <c r="J1431" s="19">
        <v>220000</v>
      </c>
      <c r="K1431" s="18">
        <v>2</v>
      </c>
      <c r="L1431" s="18" t="s">
        <v>39</v>
      </c>
      <c r="M1431" s="20">
        <f t="shared" si="45"/>
        <v>176000</v>
      </c>
      <c r="N1431" s="20">
        <f>'Working Sheet'!$J1431*'Working Sheet'!$K1431</f>
        <v>440000</v>
      </c>
      <c r="O1431" s="21">
        <f>'Working Sheet'!$M1431*'Working Sheet'!$K1431</f>
        <v>352000</v>
      </c>
      <c r="P1431" s="20">
        <f>'Working Sheet'!$N1431-'Working Sheet'!$O1431</f>
        <v>88000</v>
      </c>
    </row>
    <row r="1432" spans="1:16" ht="14.25" customHeight="1" x14ac:dyDescent="0.25">
      <c r="A1432" s="23" t="str">
        <f t="shared" ca="1" si="44"/>
        <v>ID_1396</v>
      </c>
      <c r="B1432" s="22">
        <v>45686</v>
      </c>
      <c r="C1432" s="23" t="str">
        <f>TEXT('Working Sheet'!$B1432,"mmm")</f>
        <v>Jan</v>
      </c>
      <c r="D1432" s="23" t="s">
        <v>29</v>
      </c>
      <c r="E1432" s="23" t="s">
        <v>26</v>
      </c>
      <c r="F1432" s="23" t="s">
        <v>23</v>
      </c>
      <c r="G1432" s="23" t="s">
        <v>20</v>
      </c>
      <c r="H1432" s="23" t="s">
        <v>33</v>
      </c>
      <c r="I1432" s="23" t="s">
        <v>22</v>
      </c>
      <c r="J1432" s="24">
        <v>180000</v>
      </c>
      <c r="K1432" s="23">
        <v>6</v>
      </c>
      <c r="L1432" s="23" t="s">
        <v>24</v>
      </c>
      <c r="M1432" s="25">
        <f t="shared" si="45"/>
        <v>144000</v>
      </c>
      <c r="N1432" s="25">
        <f>'Working Sheet'!$J1432*'Working Sheet'!$K1432</f>
        <v>1080000</v>
      </c>
      <c r="O1432" s="26">
        <f>'Working Sheet'!$M1432*'Working Sheet'!$K1432</f>
        <v>864000</v>
      </c>
      <c r="P1432" s="25">
        <f>'Working Sheet'!$N1432-'Working Sheet'!$O1432</f>
        <v>216000</v>
      </c>
    </row>
    <row r="1433" spans="1:16" ht="14.25" customHeight="1" x14ac:dyDescent="0.25">
      <c r="A1433" s="18" t="str">
        <f t="shared" ca="1" si="44"/>
        <v>ID_47</v>
      </c>
      <c r="B1433" s="17">
        <v>45680</v>
      </c>
      <c r="C1433" s="18" t="str">
        <f>TEXT('Working Sheet'!$B1433,"mmm")</f>
        <v>Jan</v>
      </c>
      <c r="D1433" s="18" t="s">
        <v>11</v>
      </c>
      <c r="E1433" s="18" t="s">
        <v>32</v>
      </c>
      <c r="F1433" s="18" t="s">
        <v>13</v>
      </c>
      <c r="G1433" s="18" t="s">
        <v>20</v>
      </c>
      <c r="H1433" s="18" t="s">
        <v>33</v>
      </c>
      <c r="I1433" s="18" t="s">
        <v>22</v>
      </c>
      <c r="J1433" s="19">
        <v>180000</v>
      </c>
      <c r="K1433" s="18">
        <v>3</v>
      </c>
      <c r="L1433" s="18" t="s">
        <v>24</v>
      </c>
      <c r="M1433" s="20">
        <f t="shared" si="45"/>
        <v>144000</v>
      </c>
      <c r="N1433" s="20">
        <f>'Working Sheet'!$J1433*'Working Sheet'!$K1433</f>
        <v>540000</v>
      </c>
      <c r="O1433" s="21">
        <f>'Working Sheet'!$M1433*'Working Sheet'!$K1433</f>
        <v>432000</v>
      </c>
      <c r="P1433" s="20">
        <f>'Working Sheet'!$N1433-'Working Sheet'!$O1433</f>
        <v>108000</v>
      </c>
    </row>
    <row r="1434" spans="1:16" ht="14.25" customHeight="1" x14ac:dyDescent="0.25">
      <c r="A1434" s="23" t="str">
        <f t="shared" ca="1" si="44"/>
        <v>ID_2036</v>
      </c>
      <c r="B1434" s="22">
        <v>45760</v>
      </c>
      <c r="C1434" s="23" t="str">
        <f>TEXT('Working Sheet'!$B1434,"mmm")</f>
        <v>Apr</v>
      </c>
      <c r="D1434" s="23" t="s">
        <v>11</v>
      </c>
      <c r="E1434" s="23" t="s">
        <v>26</v>
      </c>
      <c r="F1434" s="23" t="s">
        <v>13</v>
      </c>
      <c r="G1434" s="23" t="s">
        <v>20</v>
      </c>
      <c r="H1434" s="23" t="s">
        <v>27</v>
      </c>
      <c r="I1434" s="23" t="s">
        <v>22</v>
      </c>
      <c r="J1434" s="24">
        <v>60000</v>
      </c>
      <c r="K1434" s="23">
        <v>2</v>
      </c>
      <c r="L1434" s="23" t="s">
        <v>24</v>
      </c>
      <c r="M1434" s="25">
        <f t="shared" si="45"/>
        <v>48000</v>
      </c>
      <c r="N1434" s="25">
        <f>'Working Sheet'!$J1434*'Working Sheet'!$K1434</f>
        <v>120000</v>
      </c>
      <c r="O1434" s="26">
        <f>'Working Sheet'!$M1434*'Working Sheet'!$K1434</f>
        <v>96000</v>
      </c>
      <c r="P1434" s="25">
        <f>'Working Sheet'!$N1434-'Working Sheet'!$O1434</f>
        <v>24000</v>
      </c>
    </row>
    <row r="1435" spans="1:16" ht="14.25" customHeight="1" x14ac:dyDescent="0.25">
      <c r="A1435" s="18" t="str">
        <f t="shared" ca="1" si="44"/>
        <v>ID_1257</v>
      </c>
      <c r="B1435" s="17">
        <v>45748</v>
      </c>
      <c r="C1435" s="18" t="str">
        <f>TEXT('Working Sheet'!$B1435,"mmm")</f>
        <v>Apr</v>
      </c>
      <c r="D1435" s="18" t="s">
        <v>29</v>
      </c>
      <c r="E1435" s="18" t="s">
        <v>32</v>
      </c>
      <c r="F1435" s="18" t="s">
        <v>23</v>
      </c>
      <c r="G1435" s="18" t="s">
        <v>20</v>
      </c>
      <c r="H1435" s="18" t="s">
        <v>30</v>
      </c>
      <c r="I1435" s="18" t="s">
        <v>31</v>
      </c>
      <c r="J1435" s="19">
        <v>300000</v>
      </c>
      <c r="K1435" s="18">
        <v>1</v>
      </c>
      <c r="L1435" s="18" t="s">
        <v>37</v>
      </c>
      <c r="M1435" s="20">
        <f t="shared" si="45"/>
        <v>240000</v>
      </c>
      <c r="N1435" s="20">
        <f>'Working Sheet'!$J1435*'Working Sheet'!$K1435</f>
        <v>300000</v>
      </c>
      <c r="O1435" s="21">
        <f>'Working Sheet'!$M1435*'Working Sheet'!$K1435</f>
        <v>240000</v>
      </c>
      <c r="P1435" s="20">
        <f>'Working Sheet'!$N1435-'Working Sheet'!$O1435</f>
        <v>60000</v>
      </c>
    </row>
    <row r="1436" spans="1:16" ht="14.25" customHeight="1" x14ac:dyDescent="0.25">
      <c r="A1436" s="23" t="str">
        <f t="shared" ca="1" si="44"/>
        <v>ID_1658</v>
      </c>
      <c r="B1436" s="22">
        <v>45709</v>
      </c>
      <c r="C1436" s="23" t="str">
        <f>TEXT('Working Sheet'!$B1436,"mmm")</f>
        <v>Feb</v>
      </c>
      <c r="D1436" s="23" t="s">
        <v>25</v>
      </c>
      <c r="E1436" s="23" t="s">
        <v>26</v>
      </c>
      <c r="F1436" s="23" t="s">
        <v>23</v>
      </c>
      <c r="G1436" s="23" t="s">
        <v>20</v>
      </c>
      <c r="H1436" s="23" t="s">
        <v>38</v>
      </c>
      <c r="I1436" s="23" t="s">
        <v>31</v>
      </c>
      <c r="J1436" s="24">
        <v>420000</v>
      </c>
      <c r="K1436" s="23">
        <v>2</v>
      </c>
      <c r="L1436" s="23" t="s">
        <v>24</v>
      </c>
      <c r="M1436" s="25">
        <f t="shared" si="45"/>
        <v>336000</v>
      </c>
      <c r="N1436" s="25">
        <f>'Working Sheet'!$J1436*'Working Sheet'!$K1436</f>
        <v>840000</v>
      </c>
      <c r="O1436" s="26">
        <f>'Working Sheet'!$M1436*'Working Sheet'!$K1436</f>
        <v>672000</v>
      </c>
      <c r="P1436" s="25">
        <f>'Working Sheet'!$N1436-'Working Sheet'!$O1436</f>
        <v>168000</v>
      </c>
    </row>
    <row r="1437" spans="1:16" ht="14.25" customHeight="1" x14ac:dyDescent="0.25">
      <c r="A1437" s="18" t="str">
        <f t="shared" ca="1" si="44"/>
        <v>ID_2043</v>
      </c>
      <c r="B1437" s="17">
        <v>45758</v>
      </c>
      <c r="C1437" s="18" t="str">
        <f>TEXT('Working Sheet'!$B1437,"mmm")</f>
        <v>Apr</v>
      </c>
      <c r="D1437" s="18" t="s">
        <v>11</v>
      </c>
      <c r="E1437" s="18" t="s">
        <v>19</v>
      </c>
      <c r="F1437" s="18" t="s">
        <v>13</v>
      </c>
      <c r="G1437" s="18" t="s">
        <v>20</v>
      </c>
      <c r="H1437" s="18" t="s">
        <v>40</v>
      </c>
      <c r="I1437" s="18" t="s">
        <v>31</v>
      </c>
      <c r="J1437" s="19">
        <v>250000</v>
      </c>
      <c r="K1437" s="18">
        <v>9</v>
      </c>
      <c r="L1437" s="18" t="s">
        <v>24</v>
      </c>
      <c r="M1437" s="20">
        <f t="shared" si="45"/>
        <v>200000</v>
      </c>
      <c r="N1437" s="20">
        <f>'Working Sheet'!$J1437*'Working Sheet'!$K1437</f>
        <v>2250000</v>
      </c>
      <c r="O1437" s="21">
        <f>'Working Sheet'!$M1437*'Working Sheet'!$K1437</f>
        <v>1800000</v>
      </c>
      <c r="P1437" s="20">
        <f>'Working Sheet'!$N1437-'Working Sheet'!$O1437</f>
        <v>450000</v>
      </c>
    </row>
    <row r="1438" spans="1:16" ht="14.25" customHeight="1" x14ac:dyDescent="0.25">
      <c r="A1438" s="23" t="str">
        <f t="shared" ca="1" si="44"/>
        <v>ID_1599</v>
      </c>
      <c r="B1438" s="22">
        <v>45751</v>
      </c>
      <c r="C1438" s="23" t="str">
        <f>TEXT('Working Sheet'!$B1438,"mmm")</f>
        <v>Apr</v>
      </c>
      <c r="D1438" s="23" t="s">
        <v>25</v>
      </c>
      <c r="E1438" s="23" t="s">
        <v>12</v>
      </c>
      <c r="F1438" s="23" t="s">
        <v>23</v>
      </c>
      <c r="G1438" s="23" t="s">
        <v>20</v>
      </c>
      <c r="H1438" s="23" t="s">
        <v>33</v>
      </c>
      <c r="I1438" s="23" t="s">
        <v>22</v>
      </c>
      <c r="J1438" s="24">
        <v>180000</v>
      </c>
      <c r="K1438" s="23">
        <v>5</v>
      </c>
      <c r="L1438" s="23" t="s">
        <v>37</v>
      </c>
      <c r="M1438" s="25">
        <f t="shared" si="45"/>
        <v>144000</v>
      </c>
      <c r="N1438" s="25">
        <f>'Working Sheet'!$J1438*'Working Sheet'!$K1438</f>
        <v>900000</v>
      </c>
      <c r="O1438" s="26">
        <f>'Working Sheet'!$M1438*'Working Sheet'!$K1438</f>
        <v>720000</v>
      </c>
      <c r="P1438" s="25">
        <f>'Working Sheet'!$N1438-'Working Sheet'!$O1438</f>
        <v>180000</v>
      </c>
    </row>
    <row r="1439" spans="1:16" ht="14.25" customHeight="1" x14ac:dyDescent="0.25">
      <c r="A1439" s="18" t="str">
        <f t="shared" ca="1" si="44"/>
        <v>ID_1415</v>
      </c>
      <c r="B1439" s="17">
        <v>45695</v>
      </c>
      <c r="C1439" s="18" t="str">
        <f>TEXT('Working Sheet'!$B1439,"mmm")</f>
        <v>Feb</v>
      </c>
      <c r="D1439" s="18" t="s">
        <v>25</v>
      </c>
      <c r="E1439" s="18" t="s">
        <v>19</v>
      </c>
      <c r="F1439" s="18" t="s">
        <v>23</v>
      </c>
      <c r="G1439" s="18" t="s">
        <v>20</v>
      </c>
      <c r="H1439" s="18" t="s">
        <v>36</v>
      </c>
      <c r="I1439" s="18" t="s">
        <v>31</v>
      </c>
      <c r="J1439" s="19">
        <v>150000</v>
      </c>
      <c r="K1439" s="18">
        <v>5</v>
      </c>
      <c r="L1439" s="18" t="s">
        <v>35</v>
      </c>
      <c r="M1439" s="20">
        <f t="shared" si="45"/>
        <v>120000</v>
      </c>
      <c r="N1439" s="20">
        <f>'Working Sheet'!$J1439*'Working Sheet'!$K1439</f>
        <v>750000</v>
      </c>
      <c r="O1439" s="21">
        <f>'Working Sheet'!$M1439*'Working Sheet'!$K1439</f>
        <v>600000</v>
      </c>
      <c r="P1439" s="20">
        <f>'Working Sheet'!$N1439-'Working Sheet'!$O1439</f>
        <v>150000</v>
      </c>
    </row>
    <row r="1440" spans="1:16" ht="14.25" customHeight="1" x14ac:dyDescent="0.25">
      <c r="A1440" s="23" t="str">
        <f t="shared" ca="1" si="44"/>
        <v>ID_264</v>
      </c>
      <c r="B1440" s="22">
        <v>45686</v>
      </c>
      <c r="C1440" s="23" t="str">
        <f>TEXT('Working Sheet'!$B1440,"mmm")</f>
        <v>Jan</v>
      </c>
      <c r="D1440" s="23" t="s">
        <v>11</v>
      </c>
      <c r="E1440" s="23" t="s">
        <v>32</v>
      </c>
      <c r="F1440" s="23" t="s">
        <v>13</v>
      </c>
      <c r="G1440" s="23" t="s">
        <v>20</v>
      </c>
      <c r="H1440" s="23" t="s">
        <v>34</v>
      </c>
      <c r="I1440" s="23" t="s">
        <v>16</v>
      </c>
      <c r="J1440" s="24">
        <v>320000</v>
      </c>
      <c r="K1440" s="23">
        <v>4</v>
      </c>
      <c r="L1440" s="23" t="s">
        <v>39</v>
      </c>
      <c r="M1440" s="25">
        <f t="shared" si="45"/>
        <v>256000</v>
      </c>
      <c r="N1440" s="25">
        <f>'Working Sheet'!$J1440*'Working Sheet'!$K1440</f>
        <v>1280000</v>
      </c>
      <c r="O1440" s="26">
        <f>'Working Sheet'!$M1440*'Working Sheet'!$K1440</f>
        <v>1024000</v>
      </c>
      <c r="P1440" s="25">
        <f>'Working Sheet'!$N1440-'Working Sheet'!$O1440</f>
        <v>256000</v>
      </c>
    </row>
    <row r="1441" spans="1:16" ht="14.25" customHeight="1" x14ac:dyDescent="0.25">
      <c r="A1441" s="18" t="str">
        <f t="shared" ca="1" si="44"/>
        <v>ID_854</v>
      </c>
      <c r="B1441" s="17">
        <v>45666</v>
      </c>
      <c r="C1441" s="18" t="str">
        <f>TEXT('Working Sheet'!$B1441,"mmm")</f>
        <v>Jan</v>
      </c>
      <c r="D1441" s="18" t="s">
        <v>25</v>
      </c>
      <c r="E1441" s="18" t="s">
        <v>26</v>
      </c>
      <c r="F1441" s="18" t="s">
        <v>13</v>
      </c>
      <c r="G1441" s="18" t="s">
        <v>20</v>
      </c>
      <c r="H1441" s="18" t="s">
        <v>33</v>
      </c>
      <c r="I1441" s="18" t="s">
        <v>22</v>
      </c>
      <c r="J1441" s="19">
        <v>180000</v>
      </c>
      <c r="K1441" s="18">
        <v>10</v>
      </c>
      <c r="L1441" s="18" t="s">
        <v>35</v>
      </c>
      <c r="M1441" s="20">
        <f t="shared" si="45"/>
        <v>144000</v>
      </c>
      <c r="N1441" s="20">
        <f>'Working Sheet'!$J1441*'Working Sheet'!$K1441</f>
        <v>1800000</v>
      </c>
      <c r="O1441" s="21">
        <f>'Working Sheet'!$M1441*'Working Sheet'!$K1441</f>
        <v>1440000</v>
      </c>
      <c r="P1441" s="20">
        <f>'Working Sheet'!$N1441-'Working Sheet'!$O1441</f>
        <v>360000</v>
      </c>
    </row>
    <row r="1442" spans="1:16" ht="14.25" customHeight="1" x14ac:dyDescent="0.25">
      <c r="A1442" s="23" t="str">
        <f t="shared" ca="1" si="44"/>
        <v>ID_2028</v>
      </c>
      <c r="B1442" s="22">
        <v>45678</v>
      </c>
      <c r="C1442" s="23" t="str">
        <f>TEXT('Working Sheet'!$B1442,"mmm")</f>
        <v>Jan</v>
      </c>
      <c r="D1442" s="23" t="s">
        <v>29</v>
      </c>
      <c r="E1442" s="23" t="s">
        <v>12</v>
      </c>
      <c r="F1442" s="23" t="s">
        <v>23</v>
      </c>
      <c r="G1442" s="23" t="s">
        <v>20</v>
      </c>
      <c r="H1442" s="23" t="s">
        <v>38</v>
      </c>
      <c r="I1442" s="23" t="s">
        <v>31</v>
      </c>
      <c r="J1442" s="24">
        <v>420000</v>
      </c>
      <c r="K1442" s="23">
        <v>2</v>
      </c>
      <c r="L1442" s="23" t="s">
        <v>37</v>
      </c>
      <c r="M1442" s="25">
        <f t="shared" si="45"/>
        <v>336000</v>
      </c>
      <c r="N1442" s="25">
        <f>'Working Sheet'!$J1442*'Working Sheet'!$K1442</f>
        <v>840000</v>
      </c>
      <c r="O1442" s="26">
        <f>'Working Sheet'!$M1442*'Working Sheet'!$K1442</f>
        <v>672000</v>
      </c>
      <c r="P1442" s="25">
        <f>'Working Sheet'!$N1442-'Working Sheet'!$O1442</f>
        <v>168000</v>
      </c>
    </row>
    <row r="1443" spans="1:16" ht="14.25" customHeight="1" x14ac:dyDescent="0.25">
      <c r="A1443" s="18" t="str">
        <f t="shared" ca="1" si="44"/>
        <v>ID_1236</v>
      </c>
      <c r="B1443" s="17">
        <v>45706</v>
      </c>
      <c r="C1443" s="18" t="str">
        <f>TEXT('Working Sheet'!$B1443,"mmm")</f>
        <v>Feb</v>
      </c>
      <c r="D1443" s="18" t="s">
        <v>25</v>
      </c>
      <c r="E1443" s="18" t="s">
        <v>12</v>
      </c>
      <c r="F1443" s="18" t="s">
        <v>23</v>
      </c>
      <c r="G1443" s="18" t="s">
        <v>20</v>
      </c>
      <c r="H1443" s="18" t="s">
        <v>36</v>
      </c>
      <c r="I1443" s="18" t="s">
        <v>31</v>
      </c>
      <c r="J1443" s="19">
        <v>150000</v>
      </c>
      <c r="K1443" s="18">
        <v>6</v>
      </c>
      <c r="L1443" s="18" t="s">
        <v>37</v>
      </c>
      <c r="M1443" s="20">
        <f t="shared" si="45"/>
        <v>120000</v>
      </c>
      <c r="N1443" s="20">
        <f>'Working Sheet'!$J1443*'Working Sheet'!$K1443</f>
        <v>900000</v>
      </c>
      <c r="O1443" s="21">
        <f>'Working Sheet'!$M1443*'Working Sheet'!$K1443</f>
        <v>720000</v>
      </c>
      <c r="P1443" s="20">
        <f>'Working Sheet'!$N1443-'Working Sheet'!$O1443</f>
        <v>180000</v>
      </c>
    </row>
    <row r="1444" spans="1:16" ht="14.25" customHeight="1" x14ac:dyDescent="0.25">
      <c r="A1444" s="23" t="str">
        <f t="shared" ca="1" si="44"/>
        <v>ID_11</v>
      </c>
      <c r="B1444" s="22">
        <v>45768</v>
      </c>
      <c r="C1444" s="23" t="str">
        <f>TEXT('Working Sheet'!$B1444,"mmm")</f>
        <v>Apr</v>
      </c>
      <c r="D1444" s="23" t="s">
        <v>11</v>
      </c>
      <c r="E1444" s="23" t="s">
        <v>19</v>
      </c>
      <c r="F1444" s="23" t="s">
        <v>23</v>
      </c>
      <c r="G1444" s="23" t="s">
        <v>20</v>
      </c>
      <c r="H1444" s="23" t="s">
        <v>36</v>
      </c>
      <c r="I1444" s="23" t="s">
        <v>31</v>
      </c>
      <c r="J1444" s="24">
        <v>150000</v>
      </c>
      <c r="K1444" s="23">
        <v>4</v>
      </c>
      <c r="L1444" s="23" t="s">
        <v>24</v>
      </c>
      <c r="M1444" s="25">
        <f t="shared" si="45"/>
        <v>120000</v>
      </c>
      <c r="N1444" s="25">
        <f>'Working Sheet'!$J1444*'Working Sheet'!$K1444</f>
        <v>600000</v>
      </c>
      <c r="O1444" s="26">
        <f>'Working Sheet'!$M1444*'Working Sheet'!$K1444</f>
        <v>480000</v>
      </c>
      <c r="P1444" s="25">
        <f>'Working Sheet'!$N1444-'Working Sheet'!$O1444</f>
        <v>120000</v>
      </c>
    </row>
    <row r="1445" spans="1:16" ht="14.25" customHeight="1" x14ac:dyDescent="0.25">
      <c r="A1445" s="18" t="str">
        <f t="shared" ca="1" si="44"/>
        <v>ID_2063</v>
      </c>
      <c r="B1445" s="17">
        <v>45718</v>
      </c>
      <c r="C1445" s="18" t="str">
        <f>TEXT('Working Sheet'!$B1445,"mmm")</f>
        <v>Mar</v>
      </c>
      <c r="D1445" s="18" t="s">
        <v>18</v>
      </c>
      <c r="E1445" s="18" t="s">
        <v>12</v>
      </c>
      <c r="F1445" s="18" t="s">
        <v>23</v>
      </c>
      <c r="G1445" s="18" t="s">
        <v>20</v>
      </c>
      <c r="H1445" s="18" t="s">
        <v>40</v>
      </c>
      <c r="I1445" s="18" t="s">
        <v>31</v>
      </c>
      <c r="J1445" s="19">
        <v>250000</v>
      </c>
      <c r="K1445" s="18">
        <v>9</v>
      </c>
      <c r="L1445" s="18" t="s">
        <v>37</v>
      </c>
      <c r="M1445" s="20">
        <f t="shared" si="45"/>
        <v>200000</v>
      </c>
      <c r="N1445" s="20">
        <f>'Working Sheet'!$J1445*'Working Sheet'!$K1445</f>
        <v>2250000</v>
      </c>
      <c r="O1445" s="21">
        <f>'Working Sheet'!$M1445*'Working Sheet'!$K1445</f>
        <v>1800000</v>
      </c>
      <c r="P1445" s="20">
        <f>'Working Sheet'!$N1445-'Working Sheet'!$O1445</f>
        <v>450000</v>
      </c>
    </row>
    <row r="1446" spans="1:16" ht="14.25" customHeight="1" x14ac:dyDescent="0.25">
      <c r="A1446" s="23" t="str">
        <f t="shared" ca="1" si="44"/>
        <v>ID_1850</v>
      </c>
      <c r="B1446" s="22">
        <v>45667</v>
      </c>
      <c r="C1446" s="23" t="str">
        <f>TEXT('Working Sheet'!$B1446,"mmm")</f>
        <v>Jan</v>
      </c>
      <c r="D1446" s="23" t="s">
        <v>25</v>
      </c>
      <c r="E1446" s="23" t="s">
        <v>19</v>
      </c>
      <c r="F1446" s="23" t="s">
        <v>23</v>
      </c>
      <c r="G1446" s="23" t="s">
        <v>20</v>
      </c>
      <c r="H1446" s="23" t="s">
        <v>41</v>
      </c>
      <c r="I1446" s="23" t="s">
        <v>22</v>
      </c>
      <c r="J1446" s="24">
        <v>220000</v>
      </c>
      <c r="K1446" s="23">
        <v>8</v>
      </c>
      <c r="L1446" s="23" t="s">
        <v>39</v>
      </c>
      <c r="M1446" s="25">
        <f t="shared" si="45"/>
        <v>176000</v>
      </c>
      <c r="N1446" s="25">
        <f>'Working Sheet'!$J1446*'Working Sheet'!$K1446</f>
        <v>1760000</v>
      </c>
      <c r="O1446" s="26">
        <f>'Working Sheet'!$M1446*'Working Sheet'!$K1446</f>
        <v>1408000</v>
      </c>
      <c r="P1446" s="25">
        <f>'Working Sheet'!$N1446-'Working Sheet'!$O1446</f>
        <v>352000</v>
      </c>
    </row>
    <row r="1447" spans="1:16" ht="14.25" customHeight="1" x14ac:dyDescent="0.25">
      <c r="A1447" s="18" t="str">
        <f t="shared" ca="1" si="44"/>
        <v>ID_1925</v>
      </c>
      <c r="B1447" s="17">
        <v>45756</v>
      </c>
      <c r="C1447" s="18" t="str">
        <f>TEXT('Working Sheet'!$B1447,"mmm")</f>
        <v>Apr</v>
      </c>
      <c r="D1447" s="18" t="s">
        <v>29</v>
      </c>
      <c r="E1447" s="18" t="s">
        <v>26</v>
      </c>
      <c r="F1447" s="18" t="s">
        <v>13</v>
      </c>
      <c r="G1447" s="18" t="s">
        <v>20</v>
      </c>
      <c r="H1447" s="18" t="s">
        <v>36</v>
      </c>
      <c r="I1447" s="18" t="s">
        <v>31</v>
      </c>
      <c r="J1447" s="19">
        <v>150000</v>
      </c>
      <c r="K1447" s="18">
        <v>2</v>
      </c>
      <c r="L1447" s="18" t="s">
        <v>28</v>
      </c>
      <c r="M1447" s="20">
        <f t="shared" si="45"/>
        <v>120000</v>
      </c>
      <c r="N1447" s="20">
        <f>'Working Sheet'!$J1447*'Working Sheet'!$K1447</f>
        <v>300000</v>
      </c>
      <c r="O1447" s="21">
        <f>'Working Sheet'!$M1447*'Working Sheet'!$K1447</f>
        <v>240000</v>
      </c>
      <c r="P1447" s="20">
        <f>'Working Sheet'!$N1447-'Working Sheet'!$O1447</f>
        <v>60000</v>
      </c>
    </row>
    <row r="1448" spans="1:16" ht="14.25" customHeight="1" x14ac:dyDescent="0.25">
      <c r="A1448" s="23" t="str">
        <f t="shared" ca="1" si="44"/>
        <v>ID_488</v>
      </c>
      <c r="B1448" s="22">
        <v>45724</v>
      </c>
      <c r="C1448" s="23" t="str">
        <f>TEXT('Working Sheet'!$B1448,"mmm")</f>
        <v>Mar</v>
      </c>
      <c r="D1448" s="23" t="s">
        <v>11</v>
      </c>
      <c r="E1448" s="23" t="s">
        <v>19</v>
      </c>
      <c r="F1448" s="23" t="s">
        <v>23</v>
      </c>
      <c r="G1448" s="23" t="s">
        <v>20</v>
      </c>
      <c r="H1448" s="23" t="s">
        <v>41</v>
      </c>
      <c r="I1448" s="23" t="s">
        <v>22</v>
      </c>
      <c r="J1448" s="24">
        <v>220000</v>
      </c>
      <c r="K1448" s="23">
        <v>4</v>
      </c>
      <c r="L1448" s="23" t="s">
        <v>28</v>
      </c>
      <c r="M1448" s="25">
        <f t="shared" si="45"/>
        <v>176000</v>
      </c>
      <c r="N1448" s="25">
        <f>'Working Sheet'!$J1448*'Working Sheet'!$K1448</f>
        <v>880000</v>
      </c>
      <c r="O1448" s="26">
        <f>'Working Sheet'!$M1448*'Working Sheet'!$K1448</f>
        <v>704000</v>
      </c>
      <c r="P1448" s="25">
        <f>'Working Sheet'!$N1448-'Working Sheet'!$O1448</f>
        <v>176000</v>
      </c>
    </row>
    <row r="1449" spans="1:16" ht="14.25" customHeight="1" x14ac:dyDescent="0.25">
      <c r="A1449" s="18" t="str">
        <f t="shared" ca="1" si="44"/>
        <v>ID_584</v>
      </c>
      <c r="B1449" s="17">
        <v>45766</v>
      </c>
      <c r="C1449" s="18" t="str">
        <f>TEXT('Working Sheet'!$B1449,"mmm")</f>
        <v>Apr</v>
      </c>
      <c r="D1449" s="18" t="s">
        <v>25</v>
      </c>
      <c r="E1449" s="18" t="s">
        <v>12</v>
      </c>
      <c r="F1449" s="18" t="s">
        <v>23</v>
      </c>
      <c r="G1449" s="18" t="s">
        <v>20</v>
      </c>
      <c r="H1449" s="18" t="s">
        <v>21</v>
      </c>
      <c r="I1449" s="18" t="s">
        <v>22</v>
      </c>
      <c r="J1449" s="19">
        <v>30000</v>
      </c>
      <c r="K1449" s="18">
        <v>6</v>
      </c>
      <c r="L1449" s="18" t="s">
        <v>37</v>
      </c>
      <c r="M1449" s="20">
        <f t="shared" si="45"/>
        <v>24000</v>
      </c>
      <c r="N1449" s="20">
        <f>'Working Sheet'!$J1449*'Working Sheet'!$K1449</f>
        <v>180000</v>
      </c>
      <c r="O1449" s="21">
        <f>'Working Sheet'!$M1449*'Working Sheet'!$K1449</f>
        <v>144000</v>
      </c>
      <c r="P1449" s="20">
        <f>'Working Sheet'!$N1449-'Working Sheet'!$O1449</f>
        <v>36000</v>
      </c>
    </row>
    <row r="1450" spans="1:16" ht="14.25" customHeight="1" x14ac:dyDescent="0.25">
      <c r="A1450" s="23" t="str">
        <f t="shared" ca="1" si="44"/>
        <v>ID_354</v>
      </c>
      <c r="B1450" s="22">
        <v>45695</v>
      </c>
      <c r="C1450" s="23" t="str">
        <f>TEXT('Working Sheet'!$B1450,"mmm")</f>
        <v>Feb</v>
      </c>
      <c r="D1450" s="23" t="s">
        <v>18</v>
      </c>
      <c r="E1450" s="23" t="s">
        <v>32</v>
      </c>
      <c r="F1450" s="23" t="s">
        <v>13</v>
      </c>
      <c r="G1450" s="23" t="s">
        <v>20</v>
      </c>
      <c r="H1450" s="23" t="s">
        <v>15</v>
      </c>
      <c r="I1450" s="23" t="s">
        <v>16</v>
      </c>
      <c r="J1450" s="24">
        <v>85000</v>
      </c>
      <c r="K1450" s="23">
        <v>3</v>
      </c>
      <c r="L1450" s="23" t="s">
        <v>28</v>
      </c>
      <c r="M1450" s="25">
        <f t="shared" si="45"/>
        <v>68000</v>
      </c>
      <c r="N1450" s="25">
        <f>'Working Sheet'!$J1450*'Working Sheet'!$K1450</f>
        <v>255000</v>
      </c>
      <c r="O1450" s="26">
        <f>'Working Sheet'!$M1450*'Working Sheet'!$K1450</f>
        <v>204000</v>
      </c>
      <c r="P1450" s="25">
        <f>'Working Sheet'!$N1450-'Working Sheet'!$O1450</f>
        <v>51000</v>
      </c>
    </row>
    <row r="1451" spans="1:16" ht="14.25" customHeight="1" x14ac:dyDescent="0.25">
      <c r="A1451" s="18" t="str">
        <f t="shared" ca="1" si="44"/>
        <v>ID_1228</v>
      </c>
      <c r="B1451" s="17">
        <v>45745</v>
      </c>
      <c r="C1451" s="18" t="str">
        <f>TEXT('Working Sheet'!$B1451,"mmm")</f>
        <v>Mar</v>
      </c>
      <c r="D1451" s="18" t="s">
        <v>18</v>
      </c>
      <c r="E1451" s="18" t="s">
        <v>19</v>
      </c>
      <c r="F1451" s="18" t="s">
        <v>13</v>
      </c>
      <c r="G1451" s="18" t="s">
        <v>20</v>
      </c>
      <c r="H1451" s="18" t="s">
        <v>15</v>
      </c>
      <c r="I1451" s="18" t="s">
        <v>16</v>
      </c>
      <c r="J1451" s="19">
        <v>85000</v>
      </c>
      <c r="K1451" s="18">
        <v>2</v>
      </c>
      <c r="L1451" s="18" t="s">
        <v>17</v>
      </c>
      <c r="M1451" s="20">
        <f t="shared" si="45"/>
        <v>68000</v>
      </c>
      <c r="N1451" s="20">
        <f>'Working Sheet'!$J1451*'Working Sheet'!$K1451</f>
        <v>170000</v>
      </c>
      <c r="O1451" s="21">
        <f>'Working Sheet'!$M1451*'Working Sheet'!$K1451</f>
        <v>136000</v>
      </c>
      <c r="P1451" s="20">
        <f>'Working Sheet'!$N1451-'Working Sheet'!$O1451</f>
        <v>34000</v>
      </c>
    </row>
    <row r="1452" spans="1:16" ht="14.25" customHeight="1" x14ac:dyDescent="0.25">
      <c r="A1452" s="23" t="str">
        <f t="shared" ca="1" si="44"/>
        <v>ID_305</v>
      </c>
      <c r="B1452" s="22">
        <v>45691</v>
      </c>
      <c r="C1452" s="23" t="str">
        <f>TEXT('Working Sheet'!$B1452,"mmm")</f>
        <v>Feb</v>
      </c>
      <c r="D1452" s="23" t="s">
        <v>29</v>
      </c>
      <c r="E1452" s="23" t="s">
        <v>19</v>
      </c>
      <c r="F1452" s="23" t="s">
        <v>13</v>
      </c>
      <c r="G1452" s="23" t="s">
        <v>20</v>
      </c>
      <c r="H1452" s="23" t="s">
        <v>40</v>
      </c>
      <c r="I1452" s="23" t="s">
        <v>31</v>
      </c>
      <c r="J1452" s="24">
        <v>250000</v>
      </c>
      <c r="K1452" s="23">
        <v>10</v>
      </c>
      <c r="L1452" s="23" t="s">
        <v>28</v>
      </c>
      <c r="M1452" s="25">
        <f t="shared" si="45"/>
        <v>200000</v>
      </c>
      <c r="N1452" s="25">
        <f>'Working Sheet'!$J1452*'Working Sheet'!$K1452</f>
        <v>2500000</v>
      </c>
      <c r="O1452" s="26">
        <f>'Working Sheet'!$M1452*'Working Sheet'!$K1452</f>
        <v>2000000</v>
      </c>
      <c r="P1452" s="25">
        <f>'Working Sheet'!$N1452-'Working Sheet'!$O1452</f>
        <v>500000</v>
      </c>
    </row>
    <row r="1453" spans="1:16" ht="14.25" customHeight="1" x14ac:dyDescent="0.25">
      <c r="A1453" s="18" t="str">
        <f t="shared" ca="1" si="44"/>
        <v>ID_1985</v>
      </c>
      <c r="B1453" s="17">
        <v>45765</v>
      </c>
      <c r="C1453" s="18" t="str">
        <f>TEXT('Working Sheet'!$B1453,"mmm")</f>
        <v>Apr</v>
      </c>
      <c r="D1453" s="18" t="s">
        <v>11</v>
      </c>
      <c r="E1453" s="18" t="s">
        <v>19</v>
      </c>
      <c r="F1453" s="18" t="s">
        <v>23</v>
      </c>
      <c r="G1453" s="18" t="s">
        <v>20</v>
      </c>
      <c r="H1453" s="18" t="s">
        <v>41</v>
      </c>
      <c r="I1453" s="18" t="s">
        <v>22</v>
      </c>
      <c r="J1453" s="19">
        <v>220000</v>
      </c>
      <c r="K1453" s="18">
        <v>2</v>
      </c>
      <c r="L1453" s="18" t="s">
        <v>37</v>
      </c>
      <c r="M1453" s="20">
        <f t="shared" si="45"/>
        <v>176000</v>
      </c>
      <c r="N1453" s="20">
        <f>'Working Sheet'!$J1453*'Working Sheet'!$K1453</f>
        <v>440000</v>
      </c>
      <c r="O1453" s="21">
        <f>'Working Sheet'!$M1453*'Working Sheet'!$K1453</f>
        <v>352000</v>
      </c>
      <c r="P1453" s="20">
        <f>'Working Sheet'!$N1453-'Working Sheet'!$O1453</f>
        <v>88000</v>
      </c>
    </row>
    <row r="1454" spans="1:16" ht="14.25" customHeight="1" x14ac:dyDescent="0.25">
      <c r="A1454" s="23" t="str">
        <f t="shared" ca="1" si="44"/>
        <v>ID_191</v>
      </c>
      <c r="B1454" s="22">
        <v>45727</v>
      </c>
      <c r="C1454" s="23" t="str">
        <f>TEXT('Working Sheet'!$B1454,"mmm")</f>
        <v>Mar</v>
      </c>
      <c r="D1454" s="23" t="s">
        <v>11</v>
      </c>
      <c r="E1454" s="23" t="s">
        <v>12</v>
      </c>
      <c r="F1454" s="23" t="s">
        <v>23</v>
      </c>
      <c r="G1454" s="23" t="s">
        <v>20</v>
      </c>
      <c r="H1454" s="23" t="s">
        <v>30</v>
      </c>
      <c r="I1454" s="23" t="s">
        <v>31</v>
      </c>
      <c r="J1454" s="24">
        <v>300000</v>
      </c>
      <c r="K1454" s="23">
        <v>9</v>
      </c>
      <c r="L1454" s="23" t="s">
        <v>37</v>
      </c>
      <c r="M1454" s="25">
        <f t="shared" si="45"/>
        <v>240000</v>
      </c>
      <c r="N1454" s="25">
        <f>'Working Sheet'!$J1454*'Working Sheet'!$K1454</f>
        <v>2700000</v>
      </c>
      <c r="O1454" s="26">
        <f>'Working Sheet'!$M1454*'Working Sheet'!$K1454</f>
        <v>2160000</v>
      </c>
      <c r="P1454" s="25">
        <f>'Working Sheet'!$N1454-'Working Sheet'!$O1454</f>
        <v>540000</v>
      </c>
    </row>
    <row r="1455" spans="1:16" ht="14.25" customHeight="1" x14ac:dyDescent="0.25">
      <c r="A1455" s="18" t="str">
        <f t="shared" ca="1" si="44"/>
        <v>ID_152</v>
      </c>
      <c r="B1455" s="17">
        <v>45722</v>
      </c>
      <c r="C1455" s="18" t="str">
        <f>TEXT('Working Sheet'!$B1455,"mmm")</f>
        <v>Mar</v>
      </c>
      <c r="D1455" s="18" t="s">
        <v>18</v>
      </c>
      <c r="E1455" s="18" t="s">
        <v>32</v>
      </c>
      <c r="F1455" s="18" t="s">
        <v>13</v>
      </c>
      <c r="G1455" s="18" t="s">
        <v>20</v>
      </c>
      <c r="H1455" s="18" t="s">
        <v>41</v>
      </c>
      <c r="I1455" s="18" t="s">
        <v>22</v>
      </c>
      <c r="J1455" s="19">
        <v>220000</v>
      </c>
      <c r="K1455" s="18">
        <v>3</v>
      </c>
      <c r="L1455" s="18" t="s">
        <v>24</v>
      </c>
      <c r="M1455" s="20">
        <f t="shared" si="45"/>
        <v>176000</v>
      </c>
      <c r="N1455" s="20">
        <f>'Working Sheet'!$J1455*'Working Sheet'!$K1455</f>
        <v>660000</v>
      </c>
      <c r="O1455" s="21">
        <f>'Working Sheet'!$M1455*'Working Sheet'!$K1455</f>
        <v>528000</v>
      </c>
      <c r="P1455" s="20">
        <f>'Working Sheet'!$N1455-'Working Sheet'!$O1455</f>
        <v>132000</v>
      </c>
    </row>
    <row r="1456" spans="1:16" ht="14.25" customHeight="1" x14ac:dyDescent="0.25">
      <c r="A1456" s="23" t="str">
        <f t="shared" ca="1" si="44"/>
        <v>ID_1509</v>
      </c>
      <c r="B1456" s="22">
        <v>45677</v>
      </c>
      <c r="C1456" s="23" t="str">
        <f>TEXT('Working Sheet'!$B1456,"mmm")</f>
        <v>Jan</v>
      </c>
      <c r="D1456" s="23" t="s">
        <v>18</v>
      </c>
      <c r="E1456" s="23" t="s">
        <v>32</v>
      </c>
      <c r="F1456" s="23" t="s">
        <v>23</v>
      </c>
      <c r="G1456" s="23" t="s">
        <v>20</v>
      </c>
      <c r="H1456" s="23" t="s">
        <v>40</v>
      </c>
      <c r="I1456" s="23" t="s">
        <v>31</v>
      </c>
      <c r="J1456" s="24">
        <v>250000</v>
      </c>
      <c r="K1456" s="23">
        <v>8</v>
      </c>
      <c r="L1456" s="23" t="s">
        <v>28</v>
      </c>
      <c r="M1456" s="25">
        <f t="shared" si="45"/>
        <v>200000</v>
      </c>
      <c r="N1456" s="25">
        <f>'Working Sheet'!$J1456*'Working Sheet'!$K1456</f>
        <v>2000000</v>
      </c>
      <c r="O1456" s="26">
        <f>'Working Sheet'!$M1456*'Working Sheet'!$K1456</f>
        <v>1600000</v>
      </c>
      <c r="P1456" s="25">
        <f>'Working Sheet'!$N1456-'Working Sheet'!$O1456</f>
        <v>400000</v>
      </c>
    </row>
    <row r="1457" spans="1:16" ht="14.25" customHeight="1" x14ac:dyDescent="0.25">
      <c r="A1457" s="18" t="str">
        <f t="shared" ca="1" si="44"/>
        <v>ID_1343</v>
      </c>
      <c r="B1457" s="17">
        <v>45666</v>
      </c>
      <c r="C1457" s="18" t="str">
        <f>TEXT('Working Sheet'!$B1457,"mmm")</f>
        <v>Jan</v>
      </c>
      <c r="D1457" s="18" t="s">
        <v>25</v>
      </c>
      <c r="E1457" s="18" t="s">
        <v>19</v>
      </c>
      <c r="F1457" s="18" t="s">
        <v>23</v>
      </c>
      <c r="G1457" s="18" t="s">
        <v>20</v>
      </c>
      <c r="H1457" s="18" t="s">
        <v>40</v>
      </c>
      <c r="I1457" s="18" t="s">
        <v>31</v>
      </c>
      <c r="J1457" s="19">
        <v>250000</v>
      </c>
      <c r="K1457" s="18">
        <v>5</v>
      </c>
      <c r="L1457" s="18" t="s">
        <v>39</v>
      </c>
      <c r="M1457" s="20">
        <f t="shared" si="45"/>
        <v>200000</v>
      </c>
      <c r="N1457" s="20">
        <f>'Working Sheet'!$J1457*'Working Sheet'!$K1457</f>
        <v>1250000</v>
      </c>
      <c r="O1457" s="21">
        <f>'Working Sheet'!$M1457*'Working Sheet'!$K1457</f>
        <v>1000000</v>
      </c>
      <c r="P1457" s="20">
        <f>'Working Sheet'!$N1457-'Working Sheet'!$O1457</f>
        <v>250000</v>
      </c>
    </row>
    <row r="1458" spans="1:16" ht="14.25" customHeight="1" x14ac:dyDescent="0.25">
      <c r="A1458" s="23" t="str">
        <f t="shared" ca="1" si="44"/>
        <v>ID_1141</v>
      </c>
      <c r="B1458" s="22">
        <v>45713</v>
      </c>
      <c r="C1458" s="23" t="str">
        <f>TEXT('Working Sheet'!$B1458,"mmm")</f>
        <v>Feb</v>
      </c>
      <c r="D1458" s="23" t="s">
        <v>29</v>
      </c>
      <c r="E1458" s="23" t="s">
        <v>32</v>
      </c>
      <c r="F1458" s="23" t="s">
        <v>13</v>
      </c>
      <c r="G1458" s="23" t="s">
        <v>20</v>
      </c>
      <c r="H1458" s="23" t="s">
        <v>38</v>
      </c>
      <c r="I1458" s="23" t="s">
        <v>31</v>
      </c>
      <c r="J1458" s="24">
        <v>420000</v>
      </c>
      <c r="K1458" s="23">
        <v>5</v>
      </c>
      <c r="L1458" s="23" t="s">
        <v>24</v>
      </c>
      <c r="M1458" s="25">
        <f t="shared" si="45"/>
        <v>336000</v>
      </c>
      <c r="N1458" s="25">
        <f>'Working Sheet'!$J1458*'Working Sheet'!$K1458</f>
        <v>2100000</v>
      </c>
      <c r="O1458" s="26">
        <f>'Working Sheet'!$M1458*'Working Sheet'!$K1458</f>
        <v>1680000</v>
      </c>
      <c r="P1458" s="25">
        <f>'Working Sheet'!$N1458-'Working Sheet'!$O1458</f>
        <v>420000</v>
      </c>
    </row>
    <row r="1459" spans="1:16" ht="14.25" customHeight="1" x14ac:dyDescent="0.25">
      <c r="A1459" s="18" t="str">
        <f t="shared" ca="1" si="44"/>
        <v>ID_668</v>
      </c>
      <c r="B1459" s="17">
        <v>45701</v>
      </c>
      <c r="C1459" s="18" t="str">
        <f>TEXT('Working Sheet'!$B1459,"mmm")</f>
        <v>Feb</v>
      </c>
      <c r="D1459" s="18" t="s">
        <v>25</v>
      </c>
      <c r="E1459" s="18" t="s">
        <v>19</v>
      </c>
      <c r="F1459" s="18" t="s">
        <v>13</v>
      </c>
      <c r="G1459" s="18" t="s">
        <v>20</v>
      </c>
      <c r="H1459" s="18" t="s">
        <v>27</v>
      </c>
      <c r="I1459" s="18" t="s">
        <v>22</v>
      </c>
      <c r="J1459" s="19">
        <v>60000</v>
      </c>
      <c r="K1459" s="18">
        <v>7</v>
      </c>
      <c r="L1459" s="18" t="s">
        <v>39</v>
      </c>
      <c r="M1459" s="20">
        <f t="shared" si="45"/>
        <v>48000</v>
      </c>
      <c r="N1459" s="20">
        <f>'Working Sheet'!$J1459*'Working Sheet'!$K1459</f>
        <v>420000</v>
      </c>
      <c r="O1459" s="21">
        <f>'Working Sheet'!$M1459*'Working Sheet'!$K1459</f>
        <v>336000</v>
      </c>
      <c r="P1459" s="20">
        <f>'Working Sheet'!$N1459-'Working Sheet'!$O1459</f>
        <v>84000</v>
      </c>
    </row>
    <row r="1460" spans="1:16" ht="14.25" customHeight="1" x14ac:dyDescent="0.25">
      <c r="A1460" s="23" t="str">
        <f t="shared" ca="1" si="44"/>
        <v>ID_284</v>
      </c>
      <c r="B1460" s="22">
        <v>45766</v>
      </c>
      <c r="C1460" s="23" t="str">
        <f>TEXT('Working Sheet'!$B1460,"mmm")</f>
        <v>Apr</v>
      </c>
      <c r="D1460" s="23" t="s">
        <v>18</v>
      </c>
      <c r="E1460" s="23" t="s">
        <v>26</v>
      </c>
      <c r="F1460" s="23" t="s">
        <v>13</v>
      </c>
      <c r="G1460" s="23" t="s">
        <v>20</v>
      </c>
      <c r="H1460" s="23" t="s">
        <v>21</v>
      </c>
      <c r="I1460" s="23" t="s">
        <v>22</v>
      </c>
      <c r="J1460" s="24">
        <v>30000</v>
      </c>
      <c r="K1460" s="23">
        <v>8</v>
      </c>
      <c r="L1460" s="23" t="s">
        <v>17</v>
      </c>
      <c r="M1460" s="25">
        <f t="shared" si="45"/>
        <v>24000</v>
      </c>
      <c r="N1460" s="25">
        <f>'Working Sheet'!$J1460*'Working Sheet'!$K1460</f>
        <v>240000</v>
      </c>
      <c r="O1460" s="26">
        <f>'Working Sheet'!$M1460*'Working Sheet'!$K1460</f>
        <v>192000</v>
      </c>
      <c r="P1460" s="25">
        <f>'Working Sheet'!$N1460-'Working Sheet'!$O1460</f>
        <v>48000</v>
      </c>
    </row>
    <row r="1461" spans="1:16" ht="14.25" customHeight="1" x14ac:dyDescent="0.25">
      <c r="A1461" s="18" t="str">
        <f t="shared" ca="1" si="44"/>
        <v>ID_1051</v>
      </c>
      <c r="B1461" s="17">
        <v>45719</v>
      </c>
      <c r="C1461" s="18" t="str">
        <f>TEXT('Working Sheet'!$B1461,"mmm")</f>
        <v>Mar</v>
      </c>
      <c r="D1461" s="18" t="s">
        <v>29</v>
      </c>
      <c r="E1461" s="18" t="s">
        <v>12</v>
      </c>
      <c r="F1461" s="18" t="s">
        <v>23</v>
      </c>
      <c r="G1461" s="18" t="s">
        <v>20</v>
      </c>
      <c r="H1461" s="18" t="s">
        <v>40</v>
      </c>
      <c r="I1461" s="18" t="s">
        <v>31</v>
      </c>
      <c r="J1461" s="19">
        <v>250000</v>
      </c>
      <c r="K1461" s="18">
        <v>2</v>
      </c>
      <c r="L1461" s="18" t="s">
        <v>28</v>
      </c>
      <c r="M1461" s="20">
        <f t="shared" si="45"/>
        <v>200000</v>
      </c>
      <c r="N1461" s="20">
        <f>'Working Sheet'!$J1461*'Working Sheet'!$K1461</f>
        <v>500000</v>
      </c>
      <c r="O1461" s="21">
        <f>'Working Sheet'!$M1461*'Working Sheet'!$K1461</f>
        <v>400000</v>
      </c>
      <c r="P1461" s="20">
        <f>'Working Sheet'!$N1461-'Working Sheet'!$O1461</f>
        <v>100000</v>
      </c>
    </row>
    <row r="1462" spans="1:16" ht="14.25" customHeight="1" x14ac:dyDescent="0.25">
      <c r="A1462" s="23" t="str">
        <f t="shared" ca="1" si="44"/>
        <v>ID_1838</v>
      </c>
      <c r="B1462" s="22">
        <v>45714</v>
      </c>
      <c r="C1462" s="23" t="str">
        <f>TEXT('Working Sheet'!$B1462,"mmm")</f>
        <v>Feb</v>
      </c>
      <c r="D1462" s="23" t="s">
        <v>18</v>
      </c>
      <c r="E1462" s="23" t="s">
        <v>12</v>
      </c>
      <c r="F1462" s="23" t="s">
        <v>13</v>
      </c>
      <c r="G1462" s="23" t="s">
        <v>20</v>
      </c>
      <c r="H1462" s="23" t="s">
        <v>27</v>
      </c>
      <c r="I1462" s="23" t="s">
        <v>22</v>
      </c>
      <c r="J1462" s="24">
        <v>60000</v>
      </c>
      <c r="K1462" s="23">
        <v>8</v>
      </c>
      <c r="L1462" s="23" t="s">
        <v>39</v>
      </c>
      <c r="M1462" s="25">
        <f t="shared" si="45"/>
        <v>48000</v>
      </c>
      <c r="N1462" s="25">
        <f>'Working Sheet'!$J1462*'Working Sheet'!$K1462</f>
        <v>480000</v>
      </c>
      <c r="O1462" s="26">
        <f>'Working Sheet'!$M1462*'Working Sheet'!$K1462</f>
        <v>384000</v>
      </c>
      <c r="P1462" s="25">
        <f>'Working Sheet'!$N1462-'Working Sheet'!$O1462</f>
        <v>96000</v>
      </c>
    </row>
    <row r="1463" spans="1:16" ht="14.25" customHeight="1" x14ac:dyDescent="0.25">
      <c r="A1463" s="18" t="str">
        <f t="shared" ca="1" si="44"/>
        <v>ID_1428</v>
      </c>
      <c r="B1463" s="17">
        <v>45755</v>
      </c>
      <c r="C1463" s="18" t="str">
        <f>TEXT('Working Sheet'!$B1463,"mmm")</f>
        <v>Apr</v>
      </c>
      <c r="D1463" s="18" t="s">
        <v>11</v>
      </c>
      <c r="E1463" s="18" t="s">
        <v>12</v>
      </c>
      <c r="F1463" s="18" t="s">
        <v>13</v>
      </c>
      <c r="G1463" s="18" t="s">
        <v>20</v>
      </c>
      <c r="H1463" s="18" t="s">
        <v>21</v>
      </c>
      <c r="I1463" s="18" t="s">
        <v>22</v>
      </c>
      <c r="J1463" s="19">
        <v>30000</v>
      </c>
      <c r="K1463" s="18">
        <v>7</v>
      </c>
      <c r="L1463" s="18" t="s">
        <v>37</v>
      </c>
      <c r="M1463" s="20">
        <f t="shared" si="45"/>
        <v>24000</v>
      </c>
      <c r="N1463" s="20">
        <f>'Working Sheet'!$J1463*'Working Sheet'!$K1463</f>
        <v>210000</v>
      </c>
      <c r="O1463" s="21">
        <f>'Working Sheet'!$M1463*'Working Sheet'!$K1463</f>
        <v>168000</v>
      </c>
      <c r="P1463" s="20">
        <f>'Working Sheet'!$N1463-'Working Sheet'!$O1463</f>
        <v>42000</v>
      </c>
    </row>
    <row r="1464" spans="1:16" ht="14.25" customHeight="1" x14ac:dyDescent="0.25">
      <c r="A1464" s="23" t="str">
        <f t="shared" ca="1" si="44"/>
        <v>ID_754</v>
      </c>
      <c r="B1464" s="22">
        <v>45699</v>
      </c>
      <c r="C1464" s="23" t="str">
        <f>TEXT('Working Sheet'!$B1464,"mmm")</f>
        <v>Feb</v>
      </c>
      <c r="D1464" s="23" t="s">
        <v>25</v>
      </c>
      <c r="E1464" s="23" t="s">
        <v>19</v>
      </c>
      <c r="F1464" s="23" t="s">
        <v>23</v>
      </c>
      <c r="G1464" s="23" t="s">
        <v>20</v>
      </c>
      <c r="H1464" s="23" t="s">
        <v>21</v>
      </c>
      <c r="I1464" s="23" t="s">
        <v>22</v>
      </c>
      <c r="J1464" s="24">
        <v>30000</v>
      </c>
      <c r="K1464" s="23">
        <v>3</v>
      </c>
      <c r="L1464" s="23" t="s">
        <v>17</v>
      </c>
      <c r="M1464" s="25">
        <f t="shared" si="45"/>
        <v>24000</v>
      </c>
      <c r="N1464" s="25">
        <f>'Working Sheet'!$J1464*'Working Sheet'!$K1464</f>
        <v>90000</v>
      </c>
      <c r="O1464" s="26">
        <f>'Working Sheet'!$M1464*'Working Sheet'!$K1464</f>
        <v>72000</v>
      </c>
      <c r="P1464" s="25">
        <f>'Working Sheet'!$N1464-'Working Sheet'!$O1464</f>
        <v>18000</v>
      </c>
    </row>
    <row r="1465" spans="1:16" ht="14.25" customHeight="1" x14ac:dyDescent="0.25">
      <c r="A1465" s="18" t="str">
        <f t="shared" ca="1" si="44"/>
        <v>ID_421</v>
      </c>
      <c r="B1465" s="17">
        <v>45750</v>
      </c>
      <c r="C1465" s="18" t="str">
        <f>TEXT('Working Sheet'!$B1465,"mmm")</f>
        <v>Apr</v>
      </c>
      <c r="D1465" s="18" t="s">
        <v>25</v>
      </c>
      <c r="E1465" s="18" t="s">
        <v>26</v>
      </c>
      <c r="F1465" s="18" t="s">
        <v>23</v>
      </c>
      <c r="G1465" s="18" t="s">
        <v>20</v>
      </c>
      <c r="H1465" s="18" t="s">
        <v>33</v>
      </c>
      <c r="I1465" s="18" t="s">
        <v>22</v>
      </c>
      <c r="J1465" s="19">
        <v>180000</v>
      </c>
      <c r="K1465" s="18">
        <v>5</v>
      </c>
      <c r="L1465" s="18" t="s">
        <v>37</v>
      </c>
      <c r="M1465" s="20">
        <f t="shared" si="45"/>
        <v>144000</v>
      </c>
      <c r="N1465" s="20">
        <f>'Working Sheet'!$J1465*'Working Sheet'!$K1465</f>
        <v>900000</v>
      </c>
      <c r="O1465" s="21">
        <f>'Working Sheet'!$M1465*'Working Sheet'!$K1465</f>
        <v>720000</v>
      </c>
      <c r="P1465" s="20">
        <f>'Working Sheet'!$N1465-'Working Sheet'!$O1465</f>
        <v>180000</v>
      </c>
    </row>
    <row r="1466" spans="1:16" ht="14.25" customHeight="1" x14ac:dyDescent="0.25">
      <c r="A1466" s="23" t="str">
        <f t="shared" ca="1" si="44"/>
        <v>ID_454</v>
      </c>
      <c r="B1466" s="22">
        <v>45717</v>
      </c>
      <c r="C1466" s="23" t="str">
        <f>TEXT('Working Sheet'!$B1466,"mmm")</f>
        <v>Mar</v>
      </c>
      <c r="D1466" s="23" t="s">
        <v>18</v>
      </c>
      <c r="E1466" s="23" t="s">
        <v>32</v>
      </c>
      <c r="F1466" s="23" t="s">
        <v>13</v>
      </c>
      <c r="G1466" s="23" t="s">
        <v>20</v>
      </c>
      <c r="H1466" s="23" t="s">
        <v>40</v>
      </c>
      <c r="I1466" s="23" t="s">
        <v>31</v>
      </c>
      <c r="J1466" s="24">
        <v>250000</v>
      </c>
      <c r="K1466" s="23">
        <v>5</v>
      </c>
      <c r="L1466" s="23" t="s">
        <v>35</v>
      </c>
      <c r="M1466" s="25">
        <f t="shared" si="45"/>
        <v>200000</v>
      </c>
      <c r="N1466" s="25">
        <f>'Working Sheet'!$J1466*'Working Sheet'!$K1466</f>
        <v>1250000</v>
      </c>
      <c r="O1466" s="26">
        <f>'Working Sheet'!$M1466*'Working Sheet'!$K1466</f>
        <v>1000000</v>
      </c>
      <c r="P1466" s="25">
        <f>'Working Sheet'!$N1466-'Working Sheet'!$O1466</f>
        <v>250000</v>
      </c>
    </row>
    <row r="1467" spans="1:16" ht="14.25" customHeight="1" x14ac:dyDescent="0.25">
      <c r="A1467" s="18" t="str">
        <f t="shared" ca="1" si="44"/>
        <v>ID_319</v>
      </c>
      <c r="B1467" s="17">
        <v>45733</v>
      </c>
      <c r="C1467" s="18" t="str">
        <f>TEXT('Working Sheet'!$B1467,"mmm")</f>
        <v>Mar</v>
      </c>
      <c r="D1467" s="18" t="s">
        <v>18</v>
      </c>
      <c r="E1467" s="18" t="s">
        <v>12</v>
      </c>
      <c r="F1467" s="18" t="s">
        <v>13</v>
      </c>
      <c r="G1467" s="18" t="s">
        <v>20</v>
      </c>
      <c r="H1467" s="18" t="s">
        <v>15</v>
      </c>
      <c r="I1467" s="18" t="s">
        <v>16</v>
      </c>
      <c r="J1467" s="19">
        <v>85000</v>
      </c>
      <c r="K1467" s="18">
        <v>3</v>
      </c>
      <c r="L1467" s="18" t="s">
        <v>37</v>
      </c>
      <c r="M1467" s="20">
        <f t="shared" si="45"/>
        <v>68000</v>
      </c>
      <c r="N1467" s="20">
        <f>'Working Sheet'!$J1467*'Working Sheet'!$K1467</f>
        <v>255000</v>
      </c>
      <c r="O1467" s="21">
        <f>'Working Sheet'!$M1467*'Working Sheet'!$K1467</f>
        <v>204000</v>
      </c>
      <c r="P1467" s="20">
        <f>'Working Sheet'!$N1467-'Working Sheet'!$O1467</f>
        <v>51000</v>
      </c>
    </row>
    <row r="1468" spans="1:16" ht="14.25" customHeight="1" x14ac:dyDescent="0.25">
      <c r="A1468" s="23" t="str">
        <f t="shared" ca="1" si="44"/>
        <v>ID_1401</v>
      </c>
      <c r="B1468" s="22">
        <v>45754</v>
      </c>
      <c r="C1468" s="23" t="str">
        <f>TEXT('Working Sheet'!$B1468,"mmm")</f>
        <v>Apr</v>
      </c>
      <c r="D1468" s="23" t="s">
        <v>29</v>
      </c>
      <c r="E1468" s="23" t="s">
        <v>12</v>
      </c>
      <c r="F1468" s="23" t="s">
        <v>23</v>
      </c>
      <c r="G1468" s="23" t="s">
        <v>20</v>
      </c>
      <c r="H1468" s="23" t="s">
        <v>21</v>
      </c>
      <c r="I1468" s="23" t="s">
        <v>22</v>
      </c>
      <c r="J1468" s="24">
        <v>30000</v>
      </c>
      <c r="K1468" s="23">
        <v>1</v>
      </c>
      <c r="L1468" s="23" t="s">
        <v>24</v>
      </c>
      <c r="M1468" s="25">
        <f t="shared" si="45"/>
        <v>24000</v>
      </c>
      <c r="N1468" s="25">
        <f>'Working Sheet'!$J1468*'Working Sheet'!$K1468</f>
        <v>30000</v>
      </c>
      <c r="O1468" s="26">
        <f>'Working Sheet'!$M1468*'Working Sheet'!$K1468</f>
        <v>24000</v>
      </c>
      <c r="P1468" s="25">
        <f>'Working Sheet'!$N1468-'Working Sheet'!$O1468</f>
        <v>6000</v>
      </c>
    </row>
    <row r="1469" spans="1:16" ht="14.25" customHeight="1" x14ac:dyDescent="0.25">
      <c r="A1469" s="18" t="str">
        <f t="shared" ca="1" si="44"/>
        <v>ID_868</v>
      </c>
      <c r="B1469" s="17">
        <v>45743</v>
      </c>
      <c r="C1469" s="18" t="str">
        <f>TEXT('Working Sheet'!$B1469,"mmm")</f>
        <v>Mar</v>
      </c>
      <c r="D1469" s="18" t="s">
        <v>25</v>
      </c>
      <c r="E1469" s="18" t="s">
        <v>26</v>
      </c>
      <c r="F1469" s="18" t="s">
        <v>23</v>
      </c>
      <c r="G1469" s="18" t="s">
        <v>20</v>
      </c>
      <c r="H1469" s="18" t="s">
        <v>30</v>
      </c>
      <c r="I1469" s="18" t="s">
        <v>31</v>
      </c>
      <c r="J1469" s="19">
        <v>300000</v>
      </c>
      <c r="K1469" s="18">
        <v>10</v>
      </c>
      <c r="L1469" s="18" t="s">
        <v>35</v>
      </c>
      <c r="M1469" s="20">
        <f t="shared" si="45"/>
        <v>240000</v>
      </c>
      <c r="N1469" s="20">
        <f>'Working Sheet'!$J1469*'Working Sheet'!$K1469</f>
        <v>3000000</v>
      </c>
      <c r="O1469" s="21">
        <f>'Working Sheet'!$M1469*'Working Sheet'!$K1469</f>
        <v>2400000</v>
      </c>
      <c r="P1469" s="20">
        <f>'Working Sheet'!$N1469-'Working Sheet'!$O1469</f>
        <v>600000</v>
      </c>
    </row>
    <row r="1470" spans="1:16" ht="14.25" customHeight="1" x14ac:dyDescent="0.25">
      <c r="A1470" s="23" t="str">
        <f t="shared" ca="1" si="44"/>
        <v>ID_942</v>
      </c>
      <c r="B1470" s="22">
        <v>45696</v>
      </c>
      <c r="C1470" s="23" t="str">
        <f>TEXT('Working Sheet'!$B1470,"mmm")</f>
        <v>Feb</v>
      </c>
      <c r="D1470" s="23" t="s">
        <v>25</v>
      </c>
      <c r="E1470" s="23" t="s">
        <v>19</v>
      </c>
      <c r="F1470" s="23" t="s">
        <v>23</v>
      </c>
      <c r="G1470" s="23" t="s">
        <v>20</v>
      </c>
      <c r="H1470" s="23" t="s">
        <v>38</v>
      </c>
      <c r="I1470" s="23" t="s">
        <v>31</v>
      </c>
      <c r="J1470" s="24">
        <v>420000</v>
      </c>
      <c r="K1470" s="23">
        <v>5</v>
      </c>
      <c r="L1470" s="23" t="s">
        <v>37</v>
      </c>
      <c r="M1470" s="25">
        <f t="shared" si="45"/>
        <v>336000</v>
      </c>
      <c r="N1470" s="25">
        <f>'Working Sheet'!$J1470*'Working Sheet'!$K1470</f>
        <v>2100000</v>
      </c>
      <c r="O1470" s="26">
        <f>'Working Sheet'!$M1470*'Working Sheet'!$K1470</f>
        <v>1680000</v>
      </c>
      <c r="P1470" s="25">
        <f>'Working Sheet'!$N1470-'Working Sheet'!$O1470</f>
        <v>420000</v>
      </c>
    </row>
    <row r="1471" spans="1:16" ht="14.25" customHeight="1" x14ac:dyDescent="0.25">
      <c r="A1471" s="18" t="str">
        <f t="shared" ca="1" si="44"/>
        <v>ID_107</v>
      </c>
      <c r="B1471" s="17">
        <v>45758</v>
      </c>
      <c r="C1471" s="18" t="str">
        <f>TEXT('Working Sheet'!$B1471,"mmm")</f>
        <v>Apr</v>
      </c>
      <c r="D1471" s="18" t="s">
        <v>18</v>
      </c>
      <c r="E1471" s="18" t="s">
        <v>12</v>
      </c>
      <c r="F1471" s="18" t="s">
        <v>23</v>
      </c>
      <c r="G1471" s="18" t="s">
        <v>20</v>
      </c>
      <c r="H1471" s="18" t="s">
        <v>40</v>
      </c>
      <c r="I1471" s="18" t="s">
        <v>31</v>
      </c>
      <c r="J1471" s="19">
        <v>250000</v>
      </c>
      <c r="K1471" s="18">
        <v>4</v>
      </c>
      <c r="L1471" s="18" t="s">
        <v>37</v>
      </c>
      <c r="M1471" s="20">
        <f t="shared" si="45"/>
        <v>200000</v>
      </c>
      <c r="N1471" s="20">
        <f>'Working Sheet'!$J1471*'Working Sheet'!$K1471</f>
        <v>1000000</v>
      </c>
      <c r="O1471" s="21">
        <f>'Working Sheet'!$M1471*'Working Sheet'!$K1471</f>
        <v>800000</v>
      </c>
      <c r="P1471" s="20">
        <f>'Working Sheet'!$N1471-'Working Sheet'!$O1471</f>
        <v>200000</v>
      </c>
    </row>
    <row r="1472" spans="1:16" ht="14.25" customHeight="1" x14ac:dyDescent="0.25">
      <c r="A1472" s="23" t="str">
        <f t="shared" ca="1" si="44"/>
        <v>ID_892</v>
      </c>
      <c r="B1472" s="22">
        <v>45732</v>
      </c>
      <c r="C1472" s="23" t="str">
        <f>TEXT('Working Sheet'!$B1472,"mmm")</f>
        <v>Mar</v>
      </c>
      <c r="D1472" s="23" t="s">
        <v>25</v>
      </c>
      <c r="E1472" s="23" t="s">
        <v>26</v>
      </c>
      <c r="F1472" s="23" t="s">
        <v>13</v>
      </c>
      <c r="G1472" s="23" t="s">
        <v>20</v>
      </c>
      <c r="H1472" s="23" t="s">
        <v>41</v>
      </c>
      <c r="I1472" s="23" t="s">
        <v>22</v>
      </c>
      <c r="J1472" s="24">
        <v>220000</v>
      </c>
      <c r="K1472" s="23">
        <v>3</v>
      </c>
      <c r="L1472" s="23" t="s">
        <v>17</v>
      </c>
      <c r="M1472" s="25">
        <f t="shared" si="45"/>
        <v>176000</v>
      </c>
      <c r="N1472" s="25">
        <f>'Working Sheet'!$J1472*'Working Sheet'!$K1472</f>
        <v>660000</v>
      </c>
      <c r="O1472" s="26">
        <f>'Working Sheet'!$M1472*'Working Sheet'!$K1472</f>
        <v>528000</v>
      </c>
      <c r="P1472" s="25">
        <f>'Working Sheet'!$N1472-'Working Sheet'!$O1472</f>
        <v>132000</v>
      </c>
    </row>
    <row r="1473" spans="1:16" ht="14.25" customHeight="1" x14ac:dyDescent="0.25">
      <c r="A1473" s="18" t="str">
        <f t="shared" ca="1" si="44"/>
        <v>ID_463</v>
      </c>
      <c r="B1473" s="17">
        <v>45723</v>
      </c>
      <c r="C1473" s="18" t="str">
        <f>TEXT('Working Sheet'!$B1473,"mmm")</f>
        <v>Mar</v>
      </c>
      <c r="D1473" s="18" t="s">
        <v>29</v>
      </c>
      <c r="E1473" s="18" t="s">
        <v>32</v>
      </c>
      <c r="F1473" s="18" t="s">
        <v>13</v>
      </c>
      <c r="G1473" s="18" t="s">
        <v>20</v>
      </c>
      <c r="H1473" s="18" t="s">
        <v>34</v>
      </c>
      <c r="I1473" s="18" t="s">
        <v>16</v>
      </c>
      <c r="J1473" s="19">
        <v>320000</v>
      </c>
      <c r="K1473" s="18">
        <v>2</v>
      </c>
      <c r="L1473" s="18" t="s">
        <v>28</v>
      </c>
      <c r="M1473" s="20">
        <f t="shared" si="45"/>
        <v>256000</v>
      </c>
      <c r="N1473" s="20">
        <f>'Working Sheet'!$J1473*'Working Sheet'!$K1473</f>
        <v>640000</v>
      </c>
      <c r="O1473" s="21">
        <f>'Working Sheet'!$M1473*'Working Sheet'!$K1473</f>
        <v>512000</v>
      </c>
      <c r="P1473" s="20">
        <f>'Working Sheet'!$N1473-'Working Sheet'!$O1473</f>
        <v>128000</v>
      </c>
    </row>
    <row r="1474" spans="1:16" ht="14.25" customHeight="1" x14ac:dyDescent="0.25">
      <c r="A1474" s="23" t="str">
        <f t="shared" ref="A1474:A1537" ca="1" si="46">"ID_"&amp; RANDBETWEEN(1,2098)</f>
        <v>ID_649</v>
      </c>
      <c r="B1474" s="22">
        <v>45751</v>
      </c>
      <c r="C1474" s="23" t="str">
        <f>TEXT('Working Sheet'!$B1474,"mmm")</f>
        <v>Apr</v>
      </c>
      <c r="D1474" s="23" t="s">
        <v>11</v>
      </c>
      <c r="E1474" s="23" t="s">
        <v>32</v>
      </c>
      <c r="F1474" s="23" t="s">
        <v>23</v>
      </c>
      <c r="G1474" s="23" t="s">
        <v>20</v>
      </c>
      <c r="H1474" s="23" t="s">
        <v>34</v>
      </c>
      <c r="I1474" s="23" t="s">
        <v>16</v>
      </c>
      <c r="J1474" s="24">
        <v>320000</v>
      </c>
      <c r="K1474" s="23">
        <v>9</v>
      </c>
      <c r="L1474" s="23" t="s">
        <v>39</v>
      </c>
      <c r="M1474" s="25">
        <f t="shared" ref="M1474:M1537" si="47">J1474-J1474*0.2</f>
        <v>256000</v>
      </c>
      <c r="N1474" s="25">
        <f>'Working Sheet'!$J1474*'Working Sheet'!$K1474</f>
        <v>2880000</v>
      </c>
      <c r="O1474" s="26">
        <f>'Working Sheet'!$M1474*'Working Sheet'!$K1474</f>
        <v>2304000</v>
      </c>
      <c r="P1474" s="25">
        <f>'Working Sheet'!$N1474-'Working Sheet'!$O1474</f>
        <v>576000</v>
      </c>
    </row>
    <row r="1475" spans="1:16" ht="14.25" customHeight="1" x14ac:dyDescent="0.25">
      <c r="A1475" s="18" t="str">
        <f t="shared" ca="1" si="46"/>
        <v>ID_846</v>
      </c>
      <c r="B1475" s="17">
        <v>45715</v>
      </c>
      <c r="C1475" s="18" t="str">
        <f>TEXT('Working Sheet'!$B1475,"mmm")</f>
        <v>Feb</v>
      </c>
      <c r="D1475" s="18" t="s">
        <v>29</v>
      </c>
      <c r="E1475" s="18" t="s">
        <v>19</v>
      </c>
      <c r="F1475" s="18" t="s">
        <v>13</v>
      </c>
      <c r="G1475" s="18" t="s">
        <v>20</v>
      </c>
      <c r="H1475" s="18" t="s">
        <v>41</v>
      </c>
      <c r="I1475" s="18" t="s">
        <v>22</v>
      </c>
      <c r="J1475" s="19">
        <v>220000</v>
      </c>
      <c r="K1475" s="18">
        <v>10</v>
      </c>
      <c r="L1475" s="18" t="s">
        <v>24</v>
      </c>
      <c r="M1475" s="20">
        <f t="shared" si="47"/>
        <v>176000</v>
      </c>
      <c r="N1475" s="20">
        <f>'Working Sheet'!$J1475*'Working Sheet'!$K1475</f>
        <v>2200000</v>
      </c>
      <c r="O1475" s="21">
        <f>'Working Sheet'!$M1475*'Working Sheet'!$K1475</f>
        <v>1760000</v>
      </c>
      <c r="P1475" s="20">
        <f>'Working Sheet'!$N1475-'Working Sheet'!$O1475</f>
        <v>440000</v>
      </c>
    </row>
    <row r="1476" spans="1:16" ht="14.25" customHeight="1" x14ac:dyDescent="0.25">
      <c r="A1476" s="23" t="str">
        <f t="shared" ca="1" si="46"/>
        <v>ID_903</v>
      </c>
      <c r="B1476" s="22">
        <v>45718</v>
      </c>
      <c r="C1476" s="23" t="str">
        <f>TEXT('Working Sheet'!$B1476,"mmm")</f>
        <v>Mar</v>
      </c>
      <c r="D1476" s="23" t="s">
        <v>25</v>
      </c>
      <c r="E1476" s="23" t="s">
        <v>12</v>
      </c>
      <c r="F1476" s="23" t="s">
        <v>13</v>
      </c>
      <c r="G1476" s="23" t="s">
        <v>20</v>
      </c>
      <c r="H1476" s="23" t="s">
        <v>15</v>
      </c>
      <c r="I1476" s="23" t="s">
        <v>16</v>
      </c>
      <c r="J1476" s="24">
        <v>85000</v>
      </c>
      <c r="K1476" s="23">
        <v>1</v>
      </c>
      <c r="L1476" s="23" t="s">
        <v>28</v>
      </c>
      <c r="M1476" s="25">
        <f t="shared" si="47"/>
        <v>68000</v>
      </c>
      <c r="N1476" s="25">
        <f>'Working Sheet'!$J1476*'Working Sheet'!$K1476</f>
        <v>85000</v>
      </c>
      <c r="O1476" s="26">
        <f>'Working Sheet'!$M1476*'Working Sheet'!$K1476</f>
        <v>68000</v>
      </c>
      <c r="P1476" s="25">
        <f>'Working Sheet'!$N1476-'Working Sheet'!$O1476</f>
        <v>17000</v>
      </c>
    </row>
    <row r="1477" spans="1:16" ht="14.25" customHeight="1" x14ac:dyDescent="0.25">
      <c r="A1477" s="18" t="str">
        <f t="shared" ca="1" si="46"/>
        <v>ID_1823</v>
      </c>
      <c r="B1477" s="17">
        <v>45674</v>
      </c>
      <c r="C1477" s="18" t="str">
        <f>TEXT('Working Sheet'!$B1477,"mmm")</f>
        <v>Jan</v>
      </c>
      <c r="D1477" s="18" t="s">
        <v>25</v>
      </c>
      <c r="E1477" s="18" t="s">
        <v>32</v>
      </c>
      <c r="F1477" s="18" t="s">
        <v>13</v>
      </c>
      <c r="G1477" s="18" t="s">
        <v>14</v>
      </c>
      <c r="H1477" s="18" t="s">
        <v>30</v>
      </c>
      <c r="I1477" s="18" t="s">
        <v>31</v>
      </c>
      <c r="J1477" s="19">
        <v>300000</v>
      </c>
      <c r="K1477" s="18">
        <v>4</v>
      </c>
      <c r="L1477" s="18" t="s">
        <v>28</v>
      </c>
      <c r="M1477" s="20">
        <f t="shared" si="47"/>
        <v>240000</v>
      </c>
      <c r="N1477" s="20">
        <f>'Working Sheet'!$J1477*'Working Sheet'!$K1477</f>
        <v>1200000</v>
      </c>
      <c r="O1477" s="21">
        <f>'Working Sheet'!$M1477*'Working Sheet'!$K1477</f>
        <v>960000</v>
      </c>
      <c r="P1477" s="20">
        <f>'Working Sheet'!$N1477-'Working Sheet'!$O1477</f>
        <v>240000</v>
      </c>
    </row>
    <row r="1478" spans="1:16" ht="14.25" customHeight="1" x14ac:dyDescent="0.25">
      <c r="A1478" s="23" t="str">
        <f t="shared" ca="1" si="46"/>
        <v>ID_854</v>
      </c>
      <c r="B1478" s="22">
        <v>45715</v>
      </c>
      <c r="C1478" s="23" t="str">
        <f>TEXT('Working Sheet'!$B1478,"mmm")</f>
        <v>Feb</v>
      </c>
      <c r="D1478" s="23" t="s">
        <v>25</v>
      </c>
      <c r="E1478" s="23" t="s">
        <v>32</v>
      </c>
      <c r="F1478" s="23" t="s">
        <v>23</v>
      </c>
      <c r="G1478" s="23" t="s">
        <v>20</v>
      </c>
      <c r="H1478" s="23" t="s">
        <v>15</v>
      </c>
      <c r="I1478" s="23" t="s">
        <v>16</v>
      </c>
      <c r="J1478" s="24">
        <v>85000</v>
      </c>
      <c r="K1478" s="23">
        <v>5</v>
      </c>
      <c r="L1478" s="23" t="s">
        <v>24</v>
      </c>
      <c r="M1478" s="25">
        <f t="shared" si="47"/>
        <v>68000</v>
      </c>
      <c r="N1478" s="25">
        <f>'Working Sheet'!$J1478*'Working Sheet'!$K1478</f>
        <v>425000</v>
      </c>
      <c r="O1478" s="26">
        <f>'Working Sheet'!$M1478*'Working Sheet'!$K1478</f>
        <v>340000</v>
      </c>
      <c r="P1478" s="25">
        <f>'Working Sheet'!$N1478-'Working Sheet'!$O1478</f>
        <v>85000</v>
      </c>
    </row>
    <row r="1479" spans="1:16" ht="14.25" customHeight="1" x14ac:dyDescent="0.25">
      <c r="A1479" s="18" t="str">
        <f t="shared" ca="1" si="46"/>
        <v>ID_1840</v>
      </c>
      <c r="B1479" s="17">
        <v>45767</v>
      </c>
      <c r="C1479" s="18" t="str">
        <f>TEXT('Working Sheet'!$B1479,"mmm")</f>
        <v>Apr</v>
      </c>
      <c r="D1479" s="18" t="s">
        <v>25</v>
      </c>
      <c r="E1479" s="18" t="s">
        <v>32</v>
      </c>
      <c r="F1479" s="18" t="s">
        <v>23</v>
      </c>
      <c r="G1479" s="18" t="s">
        <v>14</v>
      </c>
      <c r="H1479" s="18" t="s">
        <v>30</v>
      </c>
      <c r="I1479" s="18" t="s">
        <v>31</v>
      </c>
      <c r="J1479" s="19">
        <v>300000</v>
      </c>
      <c r="K1479" s="18">
        <v>5</v>
      </c>
      <c r="L1479" s="18" t="s">
        <v>39</v>
      </c>
      <c r="M1479" s="20">
        <f t="shared" si="47"/>
        <v>240000</v>
      </c>
      <c r="N1479" s="20">
        <f>'Working Sheet'!$J1479*'Working Sheet'!$K1479</f>
        <v>1500000</v>
      </c>
      <c r="O1479" s="21">
        <f>'Working Sheet'!$M1479*'Working Sheet'!$K1479</f>
        <v>1200000</v>
      </c>
      <c r="P1479" s="20">
        <f>'Working Sheet'!$N1479-'Working Sheet'!$O1479</f>
        <v>300000</v>
      </c>
    </row>
    <row r="1480" spans="1:16" ht="14.25" customHeight="1" x14ac:dyDescent="0.25">
      <c r="A1480" s="23" t="str">
        <f t="shared" ca="1" si="46"/>
        <v>ID_1682</v>
      </c>
      <c r="B1480" s="22">
        <v>45666</v>
      </c>
      <c r="C1480" s="23" t="str">
        <f>TEXT('Working Sheet'!$B1480,"mmm")</f>
        <v>Jan</v>
      </c>
      <c r="D1480" s="23" t="s">
        <v>25</v>
      </c>
      <c r="E1480" s="23" t="s">
        <v>32</v>
      </c>
      <c r="F1480" s="23" t="s">
        <v>13</v>
      </c>
      <c r="G1480" s="23" t="s">
        <v>20</v>
      </c>
      <c r="H1480" s="23" t="s">
        <v>30</v>
      </c>
      <c r="I1480" s="23" t="s">
        <v>31</v>
      </c>
      <c r="J1480" s="24">
        <v>300000</v>
      </c>
      <c r="K1480" s="23">
        <v>5</v>
      </c>
      <c r="L1480" s="23" t="s">
        <v>17</v>
      </c>
      <c r="M1480" s="25">
        <f t="shared" si="47"/>
        <v>240000</v>
      </c>
      <c r="N1480" s="25">
        <f>'Working Sheet'!$J1480*'Working Sheet'!$K1480</f>
        <v>1500000</v>
      </c>
      <c r="O1480" s="26">
        <f>'Working Sheet'!$M1480*'Working Sheet'!$K1480</f>
        <v>1200000</v>
      </c>
      <c r="P1480" s="25">
        <f>'Working Sheet'!$N1480-'Working Sheet'!$O1480</f>
        <v>300000</v>
      </c>
    </row>
    <row r="1481" spans="1:16" ht="14.25" customHeight="1" x14ac:dyDescent="0.25">
      <c r="A1481" s="18" t="str">
        <f t="shared" ca="1" si="46"/>
        <v>ID_1769</v>
      </c>
      <c r="B1481" s="17">
        <v>45749</v>
      </c>
      <c r="C1481" s="18" t="str">
        <f>TEXT('Working Sheet'!$B1481,"mmm")</f>
        <v>Apr</v>
      </c>
      <c r="D1481" s="18" t="s">
        <v>11</v>
      </c>
      <c r="E1481" s="18" t="s">
        <v>19</v>
      </c>
      <c r="F1481" s="18" t="s">
        <v>23</v>
      </c>
      <c r="G1481" s="18" t="s">
        <v>20</v>
      </c>
      <c r="H1481" s="18" t="s">
        <v>21</v>
      </c>
      <c r="I1481" s="18" t="s">
        <v>22</v>
      </c>
      <c r="J1481" s="19">
        <v>30000</v>
      </c>
      <c r="K1481" s="18">
        <v>10</v>
      </c>
      <c r="L1481" s="18" t="s">
        <v>17</v>
      </c>
      <c r="M1481" s="20">
        <f t="shared" si="47"/>
        <v>24000</v>
      </c>
      <c r="N1481" s="20">
        <f>'Working Sheet'!$J1481*'Working Sheet'!$K1481</f>
        <v>300000</v>
      </c>
      <c r="O1481" s="21">
        <f>'Working Sheet'!$M1481*'Working Sheet'!$K1481</f>
        <v>240000</v>
      </c>
      <c r="P1481" s="20">
        <f>'Working Sheet'!$N1481-'Working Sheet'!$O1481</f>
        <v>60000</v>
      </c>
    </row>
    <row r="1482" spans="1:16" ht="14.25" customHeight="1" x14ac:dyDescent="0.25">
      <c r="A1482" s="23" t="str">
        <f t="shared" ca="1" si="46"/>
        <v>ID_141</v>
      </c>
      <c r="B1482" s="22">
        <v>45702</v>
      </c>
      <c r="C1482" s="23" t="str">
        <f>TEXT('Working Sheet'!$B1482,"mmm")</f>
        <v>Feb</v>
      </c>
      <c r="D1482" s="23" t="s">
        <v>25</v>
      </c>
      <c r="E1482" s="23" t="s">
        <v>26</v>
      </c>
      <c r="F1482" s="23" t="s">
        <v>13</v>
      </c>
      <c r="G1482" s="23" t="s">
        <v>14</v>
      </c>
      <c r="H1482" s="23" t="s">
        <v>41</v>
      </c>
      <c r="I1482" s="23" t="s">
        <v>22</v>
      </c>
      <c r="J1482" s="24">
        <v>220000</v>
      </c>
      <c r="K1482" s="23">
        <v>6</v>
      </c>
      <c r="L1482" s="23" t="s">
        <v>35</v>
      </c>
      <c r="M1482" s="25">
        <f t="shared" si="47"/>
        <v>176000</v>
      </c>
      <c r="N1482" s="25">
        <f>'Working Sheet'!$J1482*'Working Sheet'!$K1482</f>
        <v>1320000</v>
      </c>
      <c r="O1482" s="26">
        <f>'Working Sheet'!$M1482*'Working Sheet'!$K1482</f>
        <v>1056000</v>
      </c>
      <c r="P1482" s="25">
        <f>'Working Sheet'!$N1482-'Working Sheet'!$O1482</f>
        <v>264000</v>
      </c>
    </row>
    <row r="1483" spans="1:16" ht="14.25" customHeight="1" x14ac:dyDescent="0.25">
      <c r="A1483" s="18" t="str">
        <f t="shared" ca="1" si="46"/>
        <v>ID_1130</v>
      </c>
      <c r="B1483" s="17">
        <v>45754</v>
      </c>
      <c r="C1483" s="18" t="str">
        <f>TEXT('Working Sheet'!$B1483,"mmm")</f>
        <v>Apr</v>
      </c>
      <c r="D1483" s="18" t="s">
        <v>11</v>
      </c>
      <c r="E1483" s="18" t="s">
        <v>32</v>
      </c>
      <c r="F1483" s="18" t="s">
        <v>23</v>
      </c>
      <c r="G1483" s="18" t="s">
        <v>14</v>
      </c>
      <c r="H1483" s="18" t="s">
        <v>15</v>
      </c>
      <c r="I1483" s="18" t="s">
        <v>16</v>
      </c>
      <c r="J1483" s="19">
        <v>85000</v>
      </c>
      <c r="K1483" s="18">
        <v>9</v>
      </c>
      <c r="L1483" s="18" t="s">
        <v>24</v>
      </c>
      <c r="M1483" s="20">
        <f t="shared" si="47"/>
        <v>68000</v>
      </c>
      <c r="N1483" s="20">
        <f>'Working Sheet'!$J1483*'Working Sheet'!$K1483</f>
        <v>765000</v>
      </c>
      <c r="O1483" s="21">
        <f>'Working Sheet'!$M1483*'Working Sheet'!$K1483</f>
        <v>612000</v>
      </c>
      <c r="P1483" s="20">
        <f>'Working Sheet'!$N1483-'Working Sheet'!$O1483</f>
        <v>153000</v>
      </c>
    </row>
    <row r="1484" spans="1:16" ht="14.25" customHeight="1" x14ac:dyDescent="0.25">
      <c r="A1484" s="23" t="str">
        <f t="shared" ca="1" si="46"/>
        <v>ID_329</v>
      </c>
      <c r="B1484" s="22">
        <v>45678</v>
      </c>
      <c r="C1484" s="23" t="str">
        <f>TEXT('Working Sheet'!$B1484,"mmm")</f>
        <v>Jan</v>
      </c>
      <c r="D1484" s="23" t="s">
        <v>18</v>
      </c>
      <c r="E1484" s="23" t="s">
        <v>32</v>
      </c>
      <c r="F1484" s="23" t="s">
        <v>13</v>
      </c>
      <c r="G1484" s="23" t="s">
        <v>14</v>
      </c>
      <c r="H1484" s="23" t="s">
        <v>38</v>
      </c>
      <c r="I1484" s="23" t="s">
        <v>31</v>
      </c>
      <c r="J1484" s="24">
        <v>420000</v>
      </c>
      <c r="K1484" s="23">
        <v>10</v>
      </c>
      <c r="L1484" s="23" t="s">
        <v>28</v>
      </c>
      <c r="M1484" s="25">
        <f t="shared" si="47"/>
        <v>336000</v>
      </c>
      <c r="N1484" s="25">
        <f>'Working Sheet'!$J1484*'Working Sheet'!$K1484</f>
        <v>4200000</v>
      </c>
      <c r="O1484" s="26">
        <f>'Working Sheet'!$M1484*'Working Sheet'!$K1484</f>
        <v>3360000</v>
      </c>
      <c r="P1484" s="25">
        <f>'Working Sheet'!$N1484-'Working Sheet'!$O1484</f>
        <v>840000</v>
      </c>
    </row>
    <row r="1485" spans="1:16" ht="14.25" customHeight="1" x14ac:dyDescent="0.25">
      <c r="A1485" s="18" t="str">
        <f t="shared" ca="1" si="46"/>
        <v>ID_1888</v>
      </c>
      <c r="B1485" s="17">
        <v>45699</v>
      </c>
      <c r="C1485" s="18" t="str">
        <f>TEXT('Working Sheet'!$B1485,"mmm")</f>
        <v>Feb</v>
      </c>
      <c r="D1485" s="18" t="s">
        <v>29</v>
      </c>
      <c r="E1485" s="18" t="s">
        <v>12</v>
      </c>
      <c r="F1485" s="18" t="s">
        <v>23</v>
      </c>
      <c r="G1485" s="18" t="s">
        <v>20</v>
      </c>
      <c r="H1485" s="18" t="s">
        <v>38</v>
      </c>
      <c r="I1485" s="18" t="s">
        <v>31</v>
      </c>
      <c r="J1485" s="19">
        <v>420000</v>
      </c>
      <c r="K1485" s="18">
        <v>1</v>
      </c>
      <c r="L1485" s="18" t="s">
        <v>35</v>
      </c>
      <c r="M1485" s="20">
        <f t="shared" si="47"/>
        <v>336000</v>
      </c>
      <c r="N1485" s="20">
        <f>'Working Sheet'!$J1485*'Working Sheet'!$K1485</f>
        <v>420000</v>
      </c>
      <c r="O1485" s="21">
        <f>'Working Sheet'!$M1485*'Working Sheet'!$K1485</f>
        <v>336000</v>
      </c>
      <c r="P1485" s="20">
        <f>'Working Sheet'!$N1485-'Working Sheet'!$O1485</f>
        <v>84000</v>
      </c>
    </row>
    <row r="1486" spans="1:16" ht="14.25" customHeight="1" x14ac:dyDescent="0.25">
      <c r="A1486" s="23" t="str">
        <f t="shared" ca="1" si="46"/>
        <v>ID_125</v>
      </c>
      <c r="B1486" s="22">
        <v>45774</v>
      </c>
      <c r="C1486" s="23" t="str">
        <f>TEXT('Working Sheet'!$B1486,"mmm")</f>
        <v>Apr</v>
      </c>
      <c r="D1486" s="23" t="s">
        <v>11</v>
      </c>
      <c r="E1486" s="23" t="s">
        <v>19</v>
      </c>
      <c r="F1486" s="23" t="s">
        <v>13</v>
      </c>
      <c r="G1486" s="23" t="s">
        <v>20</v>
      </c>
      <c r="H1486" s="23" t="s">
        <v>27</v>
      </c>
      <c r="I1486" s="23" t="s">
        <v>22</v>
      </c>
      <c r="J1486" s="24">
        <v>60000</v>
      </c>
      <c r="K1486" s="23">
        <v>6</v>
      </c>
      <c r="L1486" s="23" t="s">
        <v>28</v>
      </c>
      <c r="M1486" s="25">
        <f t="shared" si="47"/>
        <v>48000</v>
      </c>
      <c r="N1486" s="25">
        <f>'Working Sheet'!$J1486*'Working Sheet'!$K1486</f>
        <v>360000</v>
      </c>
      <c r="O1486" s="26">
        <f>'Working Sheet'!$M1486*'Working Sheet'!$K1486</f>
        <v>288000</v>
      </c>
      <c r="P1486" s="25">
        <f>'Working Sheet'!$N1486-'Working Sheet'!$O1486</f>
        <v>72000</v>
      </c>
    </row>
    <row r="1487" spans="1:16" ht="14.25" customHeight="1" x14ac:dyDescent="0.25">
      <c r="A1487" s="18" t="str">
        <f t="shared" ca="1" si="46"/>
        <v>ID_347</v>
      </c>
      <c r="B1487" s="17">
        <v>45730</v>
      </c>
      <c r="C1487" s="18" t="str">
        <f>TEXT('Working Sheet'!$B1487,"mmm")</f>
        <v>Mar</v>
      </c>
      <c r="D1487" s="18" t="s">
        <v>25</v>
      </c>
      <c r="E1487" s="18" t="s">
        <v>32</v>
      </c>
      <c r="F1487" s="18" t="s">
        <v>13</v>
      </c>
      <c r="G1487" s="18" t="s">
        <v>20</v>
      </c>
      <c r="H1487" s="18" t="s">
        <v>36</v>
      </c>
      <c r="I1487" s="18" t="s">
        <v>31</v>
      </c>
      <c r="J1487" s="19">
        <v>150000</v>
      </c>
      <c r="K1487" s="18">
        <v>1</v>
      </c>
      <c r="L1487" s="18" t="s">
        <v>28</v>
      </c>
      <c r="M1487" s="20">
        <f t="shared" si="47"/>
        <v>120000</v>
      </c>
      <c r="N1487" s="20">
        <f>'Working Sheet'!$J1487*'Working Sheet'!$K1487</f>
        <v>150000</v>
      </c>
      <c r="O1487" s="21">
        <f>'Working Sheet'!$M1487*'Working Sheet'!$K1487</f>
        <v>120000</v>
      </c>
      <c r="P1487" s="20">
        <f>'Working Sheet'!$N1487-'Working Sheet'!$O1487</f>
        <v>30000</v>
      </c>
    </row>
    <row r="1488" spans="1:16" ht="14.25" customHeight="1" x14ac:dyDescent="0.25">
      <c r="A1488" s="23" t="str">
        <f t="shared" ca="1" si="46"/>
        <v>ID_1162</v>
      </c>
      <c r="B1488" s="22">
        <v>45709</v>
      </c>
      <c r="C1488" s="23" t="str">
        <f>TEXT('Working Sheet'!$B1488,"mmm")</f>
        <v>Feb</v>
      </c>
      <c r="D1488" s="23" t="s">
        <v>29</v>
      </c>
      <c r="E1488" s="23" t="s">
        <v>26</v>
      </c>
      <c r="F1488" s="23" t="s">
        <v>13</v>
      </c>
      <c r="G1488" s="23" t="s">
        <v>14</v>
      </c>
      <c r="H1488" s="23" t="s">
        <v>40</v>
      </c>
      <c r="I1488" s="23" t="s">
        <v>31</v>
      </c>
      <c r="J1488" s="24">
        <v>250000</v>
      </c>
      <c r="K1488" s="23">
        <v>5</v>
      </c>
      <c r="L1488" s="23" t="s">
        <v>28</v>
      </c>
      <c r="M1488" s="25">
        <f t="shared" si="47"/>
        <v>200000</v>
      </c>
      <c r="N1488" s="25">
        <f>'Working Sheet'!$J1488*'Working Sheet'!$K1488</f>
        <v>1250000</v>
      </c>
      <c r="O1488" s="26">
        <f>'Working Sheet'!$M1488*'Working Sheet'!$K1488</f>
        <v>1000000</v>
      </c>
      <c r="P1488" s="25">
        <f>'Working Sheet'!$N1488-'Working Sheet'!$O1488</f>
        <v>250000</v>
      </c>
    </row>
    <row r="1489" spans="1:16" ht="14.25" customHeight="1" x14ac:dyDescent="0.25">
      <c r="A1489" s="18" t="str">
        <f t="shared" ca="1" si="46"/>
        <v>ID_1688</v>
      </c>
      <c r="B1489" s="17">
        <v>45777</v>
      </c>
      <c r="C1489" s="18" t="str">
        <f>TEXT('Working Sheet'!$B1489,"mmm")</f>
        <v>Apr</v>
      </c>
      <c r="D1489" s="18" t="s">
        <v>18</v>
      </c>
      <c r="E1489" s="18" t="s">
        <v>32</v>
      </c>
      <c r="F1489" s="18" t="s">
        <v>13</v>
      </c>
      <c r="G1489" s="18" t="s">
        <v>20</v>
      </c>
      <c r="H1489" s="18" t="s">
        <v>41</v>
      </c>
      <c r="I1489" s="18" t="s">
        <v>22</v>
      </c>
      <c r="J1489" s="19">
        <v>220000</v>
      </c>
      <c r="K1489" s="18">
        <v>5</v>
      </c>
      <c r="L1489" s="18" t="s">
        <v>28</v>
      </c>
      <c r="M1489" s="20">
        <f t="shared" si="47"/>
        <v>176000</v>
      </c>
      <c r="N1489" s="20">
        <f>'Working Sheet'!$J1489*'Working Sheet'!$K1489</f>
        <v>1100000</v>
      </c>
      <c r="O1489" s="21">
        <f>'Working Sheet'!$M1489*'Working Sheet'!$K1489</f>
        <v>880000</v>
      </c>
      <c r="P1489" s="20">
        <f>'Working Sheet'!$N1489-'Working Sheet'!$O1489</f>
        <v>220000</v>
      </c>
    </row>
    <row r="1490" spans="1:16" ht="14.25" customHeight="1" x14ac:dyDescent="0.25">
      <c r="A1490" s="23" t="str">
        <f t="shared" ca="1" si="46"/>
        <v>ID_684</v>
      </c>
      <c r="B1490" s="22">
        <v>45772</v>
      </c>
      <c r="C1490" s="23" t="str">
        <f>TEXT('Working Sheet'!$B1490,"mmm")</f>
        <v>Apr</v>
      </c>
      <c r="D1490" s="23" t="s">
        <v>11</v>
      </c>
      <c r="E1490" s="23" t="s">
        <v>19</v>
      </c>
      <c r="F1490" s="23" t="s">
        <v>23</v>
      </c>
      <c r="G1490" s="23" t="s">
        <v>20</v>
      </c>
      <c r="H1490" s="23" t="s">
        <v>27</v>
      </c>
      <c r="I1490" s="23" t="s">
        <v>22</v>
      </c>
      <c r="J1490" s="24">
        <v>60000</v>
      </c>
      <c r="K1490" s="23">
        <v>2</v>
      </c>
      <c r="L1490" s="23" t="s">
        <v>28</v>
      </c>
      <c r="M1490" s="25">
        <f t="shared" si="47"/>
        <v>48000</v>
      </c>
      <c r="N1490" s="25">
        <f>'Working Sheet'!$J1490*'Working Sheet'!$K1490</f>
        <v>120000</v>
      </c>
      <c r="O1490" s="26">
        <f>'Working Sheet'!$M1490*'Working Sheet'!$K1490</f>
        <v>96000</v>
      </c>
      <c r="P1490" s="25">
        <f>'Working Sheet'!$N1490-'Working Sheet'!$O1490</f>
        <v>24000</v>
      </c>
    </row>
    <row r="1491" spans="1:16" ht="14.25" customHeight="1" x14ac:dyDescent="0.25">
      <c r="A1491" s="18" t="str">
        <f t="shared" ca="1" si="46"/>
        <v>ID_766</v>
      </c>
      <c r="B1491" s="17">
        <v>45724</v>
      </c>
      <c r="C1491" s="18" t="str">
        <f>TEXT('Working Sheet'!$B1491,"mmm")</f>
        <v>Mar</v>
      </c>
      <c r="D1491" s="18" t="s">
        <v>18</v>
      </c>
      <c r="E1491" s="18" t="s">
        <v>32</v>
      </c>
      <c r="F1491" s="18" t="s">
        <v>23</v>
      </c>
      <c r="G1491" s="18" t="s">
        <v>20</v>
      </c>
      <c r="H1491" s="18" t="s">
        <v>36</v>
      </c>
      <c r="I1491" s="18" t="s">
        <v>31</v>
      </c>
      <c r="J1491" s="19">
        <v>150000</v>
      </c>
      <c r="K1491" s="18">
        <v>3</v>
      </c>
      <c r="L1491" s="18" t="s">
        <v>39</v>
      </c>
      <c r="M1491" s="20">
        <f t="shared" si="47"/>
        <v>120000</v>
      </c>
      <c r="N1491" s="20">
        <f>'Working Sheet'!$J1491*'Working Sheet'!$K1491</f>
        <v>450000</v>
      </c>
      <c r="O1491" s="21">
        <f>'Working Sheet'!$M1491*'Working Sheet'!$K1491</f>
        <v>360000</v>
      </c>
      <c r="P1491" s="20">
        <f>'Working Sheet'!$N1491-'Working Sheet'!$O1491</f>
        <v>90000</v>
      </c>
    </row>
    <row r="1492" spans="1:16" ht="14.25" customHeight="1" x14ac:dyDescent="0.25">
      <c r="A1492" s="23" t="str">
        <f t="shared" ca="1" si="46"/>
        <v>ID_1227</v>
      </c>
      <c r="B1492" s="22">
        <v>45715</v>
      </c>
      <c r="C1492" s="23" t="str">
        <f>TEXT('Working Sheet'!$B1492,"mmm")</f>
        <v>Feb</v>
      </c>
      <c r="D1492" s="23" t="s">
        <v>25</v>
      </c>
      <c r="E1492" s="23" t="s">
        <v>19</v>
      </c>
      <c r="F1492" s="23" t="s">
        <v>23</v>
      </c>
      <c r="G1492" s="23" t="s">
        <v>20</v>
      </c>
      <c r="H1492" s="23" t="s">
        <v>15</v>
      </c>
      <c r="I1492" s="23" t="s">
        <v>16</v>
      </c>
      <c r="J1492" s="24">
        <v>85000</v>
      </c>
      <c r="K1492" s="23">
        <v>3</v>
      </c>
      <c r="L1492" s="23" t="s">
        <v>37</v>
      </c>
      <c r="M1492" s="25">
        <f t="shared" si="47"/>
        <v>68000</v>
      </c>
      <c r="N1492" s="25">
        <f>'Working Sheet'!$J1492*'Working Sheet'!$K1492</f>
        <v>255000</v>
      </c>
      <c r="O1492" s="26">
        <f>'Working Sheet'!$M1492*'Working Sheet'!$K1492</f>
        <v>204000</v>
      </c>
      <c r="P1492" s="25">
        <f>'Working Sheet'!$N1492-'Working Sheet'!$O1492</f>
        <v>51000</v>
      </c>
    </row>
    <row r="1493" spans="1:16" ht="14.25" customHeight="1" x14ac:dyDescent="0.25">
      <c r="A1493" s="18" t="str">
        <f t="shared" ca="1" si="46"/>
        <v>ID_1734</v>
      </c>
      <c r="B1493" s="17">
        <v>45662</v>
      </c>
      <c r="C1493" s="18" t="str">
        <f>TEXT('Working Sheet'!$B1493,"mmm")</f>
        <v>Jan</v>
      </c>
      <c r="D1493" s="18" t="s">
        <v>29</v>
      </c>
      <c r="E1493" s="18" t="s">
        <v>32</v>
      </c>
      <c r="F1493" s="18" t="s">
        <v>13</v>
      </c>
      <c r="G1493" s="18" t="s">
        <v>20</v>
      </c>
      <c r="H1493" s="18" t="s">
        <v>33</v>
      </c>
      <c r="I1493" s="18" t="s">
        <v>22</v>
      </c>
      <c r="J1493" s="19">
        <v>180000</v>
      </c>
      <c r="K1493" s="18">
        <v>7</v>
      </c>
      <c r="L1493" s="18" t="s">
        <v>39</v>
      </c>
      <c r="M1493" s="20">
        <f t="shared" si="47"/>
        <v>144000</v>
      </c>
      <c r="N1493" s="20">
        <f>'Working Sheet'!$J1493*'Working Sheet'!$K1493</f>
        <v>1260000</v>
      </c>
      <c r="O1493" s="21">
        <f>'Working Sheet'!$M1493*'Working Sheet'!$K1493</f>
        <v>1008000</v>
      </c>
      <c r="P1493" s="20">
        <f>'Working Sheet'!$N1493-'Working Sheet'!$O1493</f>
        <v>252000</v>
      </c>
    </row>
    <row r="1494" spans="1:16" ht="14.25" customHeight="1" x14ac:dyDescent="0.25">
      <c r="A1494" s="23" t="str">
        <f t="shared" ca="1" si="46"/>
        <v>ID_110</v>
      </c>
      <c r="B1494" s="22">
        <v>45740</v>
      </c>
      <c r="C1494" s="23" t="str">
        <f>TEXT('Working Sheet'!$B1494,"mmm")</f>
        <v>Mar</v>
      </c>
      <c r="D1494" s="23" t="s">
        <v>29</v>
      </c>
      <c r="E1494" s="23" t="s">
        <v>19</v>
      </c>
      <c r="F1494" s="23" t="s">
        <v>23</v>
      </c>
      <c r="G1494" s="23" t="s">
        <v>14</v>
      </c>
      <c r="H1494" s="23" t="s">
        <v>33</v>
      </c>
      <c r="I1494" s="23" t="s">
        <v>22</v>
      </c>
      <c r="J1494" s="24">
        <v>180000</v>
      </c>
      <c r="K1494" s="23">
        <v>10</v>
      </c>
      <c r="L1494" s="23" t="s">
        <v>37</v>
      </c>
      <c r="M1494" s="25">
        <f t="shared" si="47"/>
        <v>144000</v>
      </c>
      <c r="N1494" s="25">
        <f>'Working Sheet'!$J1494*'Working Sheet'!$K1494</f>
        <v>1800000</v>
      </c>
      <c r="O1494" s="26">
        <f>'Working Sheet'!$M1494*'Working Sheet'!$K1494</f>
        <v>1440000</v>
      </c>
      <c r="P1494" s="25">
        <f>'Working Sheet'!$N1494-'Working Sheet'!$O1494</f>
        <v>360000</v>
      </c>
    </row>
    <row r="1495" spans="1:16" ht="14.25" customHeight="1" x14ac:dyDescent="0.25">
      <c r="A1495" s="18" t="str">
        <f t="shared" ca="1" si="46"/>
        <v>ID_987</v>
      </c>
      <c r="B1495" s="17">
        <v>45776</v>
      </c>
      <c r="C1495" s="18" t="str">
        <f>TEXT('Working Sheet'!$B1495,"mmm")</f>
        <v>Apr</v>
      </c>
      <c r="D1495" s="18" t="s">
        <v>29</v>
      </c>
      <c r="E1495" s="18" t="s">
        <v>12</v>
      </c>
      <c r="F1495" s="18" t="s">
        <v>23</v>
      </c>
      <c r="G1495" s="18" t="s">
        <v>20</v>
      </c>
      <c r="H1495" s="18" t="s">
        <v>33</v>
      </c>
      <c r="I1495" s="18" t="s">
        <v>22</v>
      </c>
      <c r="J1495" s="19">
        <v>180000</v>
      </c>
      <c r="K1495" s="18">
        <v>1</v>
      </c>
      <c r="L1495" s="18" t="s">
        <v>28</v>
      </c>
      <c r="M1495" s="20">
        <f t="shared" si="47"/>
        <v>144000</v>
      </c>
      <c r="N1495" s="20">
        <f>'Working Sheet'!$J1495*'Working Sheet'!$K1495</f>
        <v>180000</v>
      </c>
      <c r="O1495" s="21">
        <f>'Working Sheet'!$M1495*'Working Sheet'!$K1495</f>
        <v>144000</v>
      </c>
      <c r="P1495" s="20">
        <f>'Working Sheet'!$N1495-'Working Sheet'!$O1495</f>
        <v>36000</v>
      </c>
    </row>
    <row r="1496" spans="1:16" ht="14.25" customHeight="1" x14ac:dyDescent="0.25">
      <c r="A1496" s="23" t="str">
        <f t="shared" ca="1" si="46"/>
        <v>ID_1365</v>
      </c>
      <c r="B1496" s="22">
        <v>45671</v>
      </c>
      <c r="C1496" s="23" t="str">
        <f>TEXT('Working Sheet'!$B1496,"mmm")</f>
        <v>Jan</v>
      </c>
      <c r="D1496" s="23" t="s">
        <v>11</v>
      </c>
      <c r="E1496" s="23" t="s">
        <v>32</v>
      </c>
      <c r="F1496" s="23" t="s">
        <v>13</v>
      </c>
      <c r="G1496" s="23" t="s">
        <v>14</v>
      </c>
      <c r="H1496" s="23" t="s">
        <v>34</v>
      </c>
      <c r="I1496" s="23" t="s">
        <v>16</v>
      </c>
      <c r="J1496" s="24">
        <v>320000</v>
      </c>
      <c r="K1496" s="23">
        <v>5</v>
      </c>
      <c r="L1496" s="23" t="s">
        <v>28</v>
      </c>
      <c r="M1496" s="25">
        <f t="shared" si="47"/>
        <v>256000</v>
      </c>
      <c r="N1496" s="25">
        <f>'Working Sheet'!$J1496*'Working Sheet'!$K1496</f>
        <v>1600000</v>
      </c>
      <c r="O1496" s="26">
        <f>'Working Sheet'!$M1496*'Working Sheet'!$K1496</f>
        <v>1280000</v>
      </c>
      <c r="P1496" s="25">
        <f>'Working Sheet'!$N1496-'Working Sheet'!$O1496</f>
        <v>320000</v>
      </c>
    </row>
    <row r="1497" spans="1:16" ht="14.25" customHeight="1" x14ac:dyDescent="0.25">
      <c r="A1497" s="18" t="str">
        <f t="shared" ca="1" si="46"/>
        <v>ID_1157</v>
      </c>
      <c r="B1497" s="17">
        <v>45730</v>
      </c>
      <c r="C1497" s="18" t="str">
        <f>TEXT('Working Sheet'!$B1497,"mmm")</f>
        <v>Mar</v>
      </c>
      <c r="D1497" s="18" t="s">
        <v>18</v>
      </c>
      <c r="E1497" s="18" t="s">
        <v>19</v>
      </c>
      <c r="F1497" s="18" t="s">
        <v>13</v>
      </c>
      <c r="G1497" s="18" t="s">
        <v>20</v>
      </c>
      <c r="H1497" s="18" t="s">
        <v>38</v>
      </c>
      <c r="I1497" s="18" t="s">
        <v>31</v>
      </c>
      <c r="J1497" s="19">
        <v>420000</v>
      </c>
      <c r="K1497" s="18">
        <v>5</v>
      </c>
      <c r="L1497" s="18" t="s">
        <v>35</v>
      </c>
      <c r="M1497" s="20">
        <f t="shared" si="47"/>
        <v>336000</v>
      </c>
      <c r="N1497" s="20">
        <f>'Working Sheet'!$J1497*'Working Sheet'!$K1497</f>
        <v>2100000</v>
      </c>
      <c r="O1497" s="21">
        <f>'Working Sheet'!$M1497*'Working Sheet'!$K1497</f>
        <v>1680000</v>
      </c>
      <c r="P1497" s="20">
        <f>'Working Sheet'!$N1497-'Working Sheet'!$O1497</f>
        <v>420000</v>
      </c>
    </row>
    <row r="1498" spans="1:16" ht="14.25" customHeight="1" x14ac:dyDescent="0.25">
      <c r="A1498" s="23" t="str">
        <f t="shared" ca="1" si="46"/>
        <v>ID_14</v>
      </c>
      <c r="B1498" s="22">
        <v>45719</v>
      </c>
      <c r="C1498" s="23" t="str">
        <f>TEXT('Working Sheet'!$B1498,"mmm")</f>
        <v>Mar</v>
      </c>
      <c r="D1498" s="23" t="s">
        <v>11</v>
      </c>
      <c r="E1498" s="23" t="s">
        <v>26</v>
      </c>
      <c r="F1498" s="23" t="s">
        <v>23</v>
      </c>
      <c r="G1498" s="23" t="s">
        <v>14</v>
      </c>
      <c r="H1498" s="23" t="s">
        <v>33</v>
      </c>
      <c r="I1498" s="23" t="s">
        <v>22</v>
      </c>
      <c r="J1498" s="24">
        <v>180000</v>
      </c>
      <c r="K1498" s="23">
        <v>2</v>
      </c>
      <c r="L1498" s="23" t="s">
        <v>17</v>
      </c>
      <c r="M1498" s="25">
        <f t="shared" si="47"/>
        <v>144000</v>
      </c>
      <c r="N1498" s="25">
        <f>'Working Sheet'!$J1498*'Working Sheet'!$K1498</f>
        <v>360000</v>
      </c>
      <c r="O1498" s="26">
        <f>'Working Sheet'!$M1498*'Working Sheet'!$K1498</f>
        <v>288000</v>
      </c>
      <c r="P1498" s="25">
        <f>'Working Sheet'!$N1498-'Working Sheet'!$O1498</f>
        <v>72000</v>
      </c>
    </row>
    <row r="1499" spans="1:16" ht="14.25" customHeight="1" x14ac:dyDescent="0.25">
      <c r="A1499" s="18" t="str">
        <f t="shared" ca="1" si="46"/>
        <v>ID_1363</v>
      </c>
      <c r="B1499" s="17">
        <v>45766</v>
      </c>
      <c r="C1499" s="18" t="str">
        <f>TEXT('Working Sheet'!$B1499,"mmm")</f>
        <v>Apr</v>
      </c>
      <c r="D1499" s="18" t="s">
        <v>25</v>
      </c>
      <c r="E1499" s="18" t="s">
        <v>26</v>
      </c>
      <c r="F1499" s="18" t="s">
        <v>13</v>
      </c>
      <c r="G1499" s="18" t="s">
        <v>20</v>
      </c>
      <c r="H1499" s="18" t="s">
        <v>41</v>
      </c>
      <c r="I1499" s="18" t="s">
        <v>22</v>
      </c>
      <c r="J1499" s="19">
        <v>220000</v>
      </c>
      <c r="K1499" s="18">
        <v>1</v>
      </c>
      <c r="L1499" s="18" t="s">
        <v>24</v>
      </c>
      <c r="M1499" s="20">
        <f t="shared" si="47"/>
        <v>176000</v>
      </c>
      <c r="N1499" s="20">
        <f>'Working Sheet'!$J1499*'Working Sheet'!$K1499</f>
        <v>220000</v>
      </c>
      <c r="O1499" s="21">
        <f>'Working Sheet'!$M1499*'Working Sheet'!$K1499</f>
        <v>176000</v>
      </c>
      <c r="P1499" s="20">
        <f>'Working Sheet'!$N1499-'Working Sheet'!$O1499</f>
        <v>44000</v>
      </c>
    </row>
    <row r="1500" spans="1:16" ht="14.25" customHeight="1" x14ac:dyDescent="0.25">
      <c r="A1500" s="23" t="str">
        <f t="shared" ca="1" si="46"/>
        <v>ID_1171</v>
      </c>
      <c r="B1500" s="22">
        <v>45760</v>
      </c>
      <c r="C1500" s="23" t="str">
        <f>TEXT('Working Sheet'!$B1500,"mmm")</f>
        <v>Apr</v>
      </c>
      <c r="D1500" s="23" t="s">
        <v>11</v>
      </c>
      <c r="E1500" s="23" t="s">
        <v>26</v>
      </c>
      <c r="F1500" s="23" t="s">
        <v>23</v>
      </c>
      <c r="G1500" s="23" t="s">
        <v>14</v>
      </c>
      <c r="H1500" s="23" t="s">
        <v>34</v>
      </c>
      <c r="I1500" s="23" t="s">
        <v>16</v>
      </c>
      <c r="J1500" s="24">
        <v>320000</v>
      </c>
      <c r="K1500" s="23">
        <v>4</v>
      </c>
      <c r="L1500" s="23" t="s">
        <v>37</v>
      </c>
      <c r="M1500" s="25">
        <f t="shared" si="47"/>
        <v>256000</v>
      </c>
      <c r="N1500" s="25">
        <f>'Working Sheet'!$J1500*'Working Sheet'!$K1500</f>
        <v>1280000</v>
      </c>
      <c r="O1500" s="26">
        <f>'Working Sheet'!$M1500*'Working Sheet'!$K1500</f>
        <v>1024000</v>
      </c>
      <c r="P1500" s="25">
        <f>'Working Sheet'!$N1500-'Working Sheet'!$O1500</f>
        <v>256000</v>
      </c>
    </row>
    <row r="1501" spans="1:16" ht="14.25" customHeight="1" x14ac:dyDescent="0.25">
      <c r="A1501" s="18" t="str">
        <f t="shared" ca="1" si="46"/>
        <v>ID_1811</v>
      </c>
      <c r="B1501" s="17">
        <v>45740</v>
      </c>
      <c r="C1501" s="18" t="str">
        <f>TEXT('Working Sheet'!$B1501,"mmm")</f>
        <v>Mar</v>
      </c>
      <c r="D1501" s="18" t="s">
        <v>25</v>
      </c>
      <c r="E1501" s="18" t="s">
        <v>26</v>
      </c>
      <c r="F1501" s="18" t="s">
        <v>13</v>
      </c>
      <c r="G1501" s="18" t="s">
        <v>14</v>
      </c>
      <c r="H1501" s="18" t="s">
        <v>40</v>
      </c>
      <c r="I1501" s="18" t="s">
        <v>31</v>
      </c>
      <c r="J1501" s="19">
        <v>250000</v>
      </c>
      <c r="K1501" s="18">
        <v>4</v>
      </c>
      <c r="L1501" s="18" t="s">
        <v>24</v>
      </c>
      <c r="M1501" s="20">
        <f t="shared" si="47"/>
        <v>200000</v>
      </c>
      <c r="N1501" s="20">
        <f>'Working Sheet'!$J1501*'Working Sheet'!$K1501</f>
        <v>1000000</v>
      </c>
      <c r="O1501" s="21">
        <f>'Working Sheet'!$M1501*'Working Sheet'!$K1501</f>
        <v>800000</v>
      </c>
      <c r="P1501" s="20">
        <f>'Working Sheet'!$N1501-'Working Sheet'!$O1501</f>
        <v>200000</v>
      </c>
    </row>
    <row r="1502" spans="1:16" ht="14.25" customHeight="1" x14ac:dyDescent="0.25">
      <c r="A1502" s="23" t="str">
        <f t="shared" ca="1" si="46"/>
        <v>ID_1155</v>
      </c>
      <c r="B1502" s="22">
        <v>45715</v>
      </c>
      <c r="C1502" s="23" t="str">
        <f>TEXT('Working Sheet'!$B1502,"mmm")</f>
        <v>Feb</v>
      </c>
      <c r="D1502" s="23" t="s">
        <v>25</v>
      </c>
      <c r="E1502" s="23" t="s">
        <v>12</v>
      </c>
      <c r="F1502" s="23" t="s">
        <v>13</v>
      </c>
      <c r="G1502" s="23" t="s">
        <v>20</v>
      </c>
      <c r="H1502" s="23" t="s">
        <v>27</v>
      </c>
      <c r="I1502" s="23" t="s">
        <v>22</v>
      </c>
      <c r="J1502" s="24">
        <v>60000</v>
      </c>
      <c r="K1502" s="23">
        <v>10</v>
      </c>
      <c r="L1502" s="23" t="s">
        <v>39</v>
      </c>
      <c r="M1502" s="25">
        <f t="shared" si="47"/>
        <v>48000</v>
      </c>
      <c r="N1502" s="25">
        <f>'Working Sheet'!$J1502*'Working Sheet'!$K1502</f>
        <v>600000</v>
      </c>
      <c r="O1502" s="26">
        <f>'Working Sheet'!$M1502*'Working Sheet'!$K1502</f>
        <v>480000</v>
      </c>
      <c r="P1502" s="25">
        <f>'Working Sheet'!$N1502-'Working Sheet'!$O1502</f>
        <v>120000</v>
      </c>
    </row>
    <row r="1503" spans="1:16" ht="14.25" customHeight="1" x14ac:dyDescent="0.25">
      <c r="A1503" s="18" t="str">
        <f t="shared" ca="1" si="46"/>
        <v>ID_970</v>
      </c>
      <c r="B1503" s="17">
        <v>45679</v>
      </c>
      <c r="C1503" s="18" t="str">
        <f>TEXT('Working Sheet'!$B1503,"mmm")</f>
        <v>Jan</v>
      </c>
      <c r="D1503" s="18" t="s">
        <v>18</v>
      </c>
      <c r="E1503" s="18" t="s">
        <v>32</v>
      </c>
      <c r="F1503" s="18" t="s">
        <v>23</v>
      </c>
      <c r="G1503" s="18" t="s">
        <v>14</v>
      </c>
      <c r="H1503" s="18" t="s">
        <v>33</v>
      </c>
      <c r="I1503" s="18" t="s">
        <v>22</v>
      </c>
      <c r="J1503" s="19">
        <v>180000</v>
      </c>
      <c r="K1503" s="18">
        <v>10</v>
      </c>
      <c r="L1503" s="18" t="s">
        <v>37</v>
      </c>
      <c r="M1503" s="20">
        <f t="shared" si="47"/>
        <v>144000</v>
      </c>
      <c r="N1503" s="20">
        <f>'Working Sheet'!$J1503*'Working Sheet'!$K1503</f>
        <v>1800000</v>
      </c>
      <c r="O1503" s="21">
        <f>'Working Sheet'!$M1503*'Working Sheet'!$K1503</f>
        <v>1440000</v>
      </c>
      <c r="P1503" s="20">
        <f>'Working Sheet'!$N1503-'Working Sheet'!$O1503</f>
        <v>360000</v>
      </c>
    </row>
    <row r="1504" spans="1:16" ht="14.25" customHeight="1" x14ac:dyDescent="0.25">
      <c r="A1504" s="23" t="str">
        <f t="shared" ca="1" si="46"/>
        <v>ID_405</v>
      </c>
      <c r="B1504" s="22">
        <v>45692</v>
      </c>
      <c r="C1504" s="23" t="str">
        <f>TEXT('Working Sheet'!$B1504,"mmm")</f>
        <v>Feb</v>
      </c>
      <c r="D1504" s="23" t="s">
        <v>18</v>
      </c>
      <c r="E1504" s="23" t="s">
        <v>26</v>
      </c>
      <c r="F1504" s="23" t="s">
        <v>23</v>
      </c>
      <c r="G1504" s="23" t="s">
        <v>20</v>
      </c>
      <c r="H1504" s="23" t="s">
        <v>30</v>
      </c>
      <c r="I1504" s="23" t="s">
        <v>31</v>
      </c>
      <c r="J1504" s="24">
        <v>300000</v>
      </c>
      <c r="K1504" s="23">
        <v>5</v>
      </c>
      <c r="L1504" s="23" t="s">
        <v>35</v>
      </c>
      <c r="M1504" s="25">
        <f t="shared" si="47"/>
        <v>240000</v>
      </c>
      <c r="N1504" s="25">
        <f>'Working Sheet'!$J1504*'Working Sheet'!$K1504</f>
        <v>1500000</v>
      </c>
      <c r="O1504" s="26">
        <f>'Working Sheet'!$M1504*'Working Sheet'!$K1504</f>
        <v>1200000</v>
      </c>
      <c r="P1504" s="25">
        <f>'Working Sheet'!$N1504-'Working Sheet'!$O1504</f>
        <v>300000</v>
      </c>
    </row>
    <row r="1505" spans="1:16" ht="14.25" customHeight="1" x14ac:dyDescent="0.25">
      <c r="A1505" s="18" t="str">
        <f t="shared" ca="1" si="46"/>
        <v>ID_1687</v>
      </c>
      <c r="B1505" s="17">
        <v>45770</v>
      </c>
      <c r="C1505" s="18" t="str">
        <f>TEXT('Working Sheet'!$B1505,"mmm")</f>
        <v>Apr</v>
      </c>
      <c r="D1505" s="18" t="s">
        <v>18</v>
      </c>
      <c r="E1505" s="18" t="s">
        <v>32</v>
      </c>
      <c r="F1505" s="18" t="s">
        <v>13</v>
      </c>
      <c r="G1505" s="18" t="s">
        <v>20</v>
      </c>
      <c r="H1505" s="18" t="s">
        <v>15</v>
      </c>
      <c r="I1505" s="18" t="s">
        <v>16</v>
      </c>
      <c r="J1505" s="19">
        <v>85000</v>
      </c>
      <c r="K1505" s="18">
        <v>7</v>
      </c>
      <c r="L1505" s="18" t="s">
        <v>37</v>
      </c>
      <c r="M1505" s="20">
        <f t="shared" si="47"/>
        <v>68000</v>
      </c>
      <c r="N1505" s="20">
        <f>'Working Sheet'!$J1505*'Working Sheet'!$K1505</f>
        <v>595000</v>
      </c>
      <c r="O1505" s="21">
        <f>'Working Sheet'!$M1505*'Working Sheet'!$K1505</f>
        <v>476000</v>
      </c>
      <c r="P1505" s="20">
        <f>'Working Sheet'!$N1505-'Working Sheet'!$O1505</f>
        <v>119000</v>
      </c>
    </row>
    <row r="1506" spans="1:16" ht="14.25" customHeight="1" x14ac:dyDescent="0.25">
      <c r="A1506" s="23" t="str">
        <f t="shared" ca="1" si="46"/>
        <v>ID_1405</v>
      </c>
      <c r="B1506" s="22">
        <v>45751</v>
      </c>
      <c r="C1506" s="23" t="str">
        <f>TEXT('Working Sheet'!$B1506,"mmm")</f>
        <v>Apr</v>
      </c>
      <c r="D1506" s="23" t="s">
        <v>18</v>
      </c>
      <c r="E1506" s="23" t="s">
        <v>12</v>
      </c>
      <c r="F1506" s="23" t="s">
        <v>13</v>
      </c>
      <c r="G1506" s="23" t="s">
        <v>14</v>
      </c>
      <c r="H1506" s="23" t="s">
        <v>33</v>
      </c>
      <c r="I1506" s="23" t="s">
        <v>22</v>
      </c>
      <c r="J1506" s="24">
        <v>180000</v>
      </c>
      <c r="K1506" s="23">
        <v>5</v>
      </c>
      <c r="L1506" s="23" t="s">
        <v>28</v>
      </c>
      <c r="M1506" s="25">
        <f t="shared" si="47"/>
        <v>144000</v>
      </c>
      <c r="N1506" s="25">
        <f>'Working Sheet'!$J1506*'Working Sheet'!$K1506</f>
        <v>900000</v>
      </c>
      <c r="O1506" s="26">
        <f>'Working Sheet'!$M1506*'Working Sheet'!$K1506</f>
        <v>720000</v>
      </c>
      <c r="P1506" s="25">
        <f>'Working Sheet'!$N1506-'Working Sheet'!$O1506</f>
        <v>180000</v>
      </c>
    </row>
    <row r="1507" spans="1:16" ht="14.25" customHeight="1" x14ac:dyDescent="0.25">
      <c r="A1507" s="18" t="str">
        <f t="shared" ca="1" si="46"/>
        <v>ID_960</v>
      </c>
      <c r="B1507" s="17">
        <v>45680</v>
      </c>
      <c r="C1507" s="18" t="str">
        <f>TEXT('Working Sheet'!$B1507,"mmm")</f>
        <v>Jan</v>
      </c>
      <c r="D1507" s="18" t="s">
        <v>18</v>
      </c>
      <c r="E1507" s="18" t="s">
        <v>26</v>
      </c>
      <c r="F1507" s="18" t="s">
        <v>23</v>
      </c>
      <c r="G1507" s="18" t="s">
        <v>20</v>
      </c>
      <c r="H1507" s="18" t="s">
        <v>34</v>
      </c>
      <c r="I1507" s="18" t="s">
        <v>16</v>
      </c>
      <c r="J1507" s="19">
        <v>320000</v>
      </c>
      <c r="K1507" s="18">
        <v>4</v>
      </c>
      <c r="L1507" s="18" t="s">
        <v>24</v>
      </c>
      <c r="M1507" s="20">
        <f t="shared" si="47"/>
        <v>256000</v>
      </c>
      <c r="N1507" s="20">
        <f>'Working Sheet'!$J1507*'Working Sheet'!$K1507</f>
        <v>1280000</v>
      </c>
      <c r="O1507" s="21">
        <f>'Working Sheet'!$M1507*'Working Sheet'!$K1507</f>
        <v>1024000</v>
      </c>
      <c r="P1507" s="20">
        <f>'Working Sheet'!$N1507-'Working Sheet'!$O1507</f>
        <v>256000</v>
      </c>
    </row>
    <row r="1508" spans="1:16" ht="14.25" customHeight="1" x14ac:dyDescent="0.25">
      <c r="A1508" s="23" t="str">
        <f t="shared" ca="1" si="46"/>
        <v>ID_613</v>
      </c>
      <c r="B1508" s="22">
        <v>45730</v>
      </c>
      <c r="C1508" s="23" t="str">
        <f>TEXT('Working Sheet'!$B1508,"mmm")</f>
        <v>Mar</v>
      </c>
      <c r="D1508" s="23" t="s">
        <v>11</v>
      </c>
      <c r="E1508" s="23" t="s">
        <v>12</v>
      </c>
      <c r="F1508" s="23" t="s">
        <v>23</v>
      </c>
      <c r="G1508" s="23" t="s">
        <v>14</v>
      </c>
      <c r="H1508" s="23" t="s">
        <v>33</v>
      </c>
      <c r="I1508" s="23" t="s">
        <v>22</v>
      </c>
      <c r="J1508" s="24">
        <v>180000</v>
      </c>
      <c r="K1508" s="23">
        <v>8</v>
      </c>
      <c r="L1508" s="23" t="s">
        <v>28</v>
      </c>
      <c r="M1508" s="25">
        <f t="shared" si="47"/>
        <v>144000</v>
      </c>
      <c r="N1508" s="25">
        <f>'Working Sheet'!$J1508*'Working Sheet'!$K1508</f>
        <v>1440000</v>
      </c>
      <c r="O1508" s="26">
        <f>'Working Sheet'!$M1508*'Working Sheet'!$K1508</f>
        <v>1152000</v>
      </c>
      <c r="P1508" s="25">
        <f>'Working Sheet'!$N1508-'Working Sheet'!$O1508</f>
        <v>288000</v>
      </c>
    </row>
    <row r="1509" spans="1:16" ht="14.25" customHeight="1" x14ac:dyDescent="0.25">
      <c r="A1509" s="18" t="str">
        <f t="shared" ca="1" si="46"/>
        <v>ID_272</v>
      </c>
      <c r="B1509" s="17">
        <v>45675</v>
      </c>
      <c r="C1509" s="18" t="str">
        <f>TEXT('Working Sheet'!$B1509,"mmm")</f>
        <v>Jan</v>
      </c>
      <c r="D1509" s="18" t="s">
        <v>29</v>
      </c>
      <c r="E1509" s="18" t="s">
        <v>26</v>
      </c>
      <c r="F1509" s="18" t="s">
        <v>13</v>
      </c>
      <c r="G1509" s="18" t="s">
        <v>14</v>
      </c>
      <c r="H1509" s="18" t="s">
        <v>21</v>
      </c>
      <c r="I1509" s="18" t="s">
        <v>22</v>
      </c>
      <c r="J1509" s="19">
        <v>30000</v>
      </c>
      <c r="K1509" s="18">
        <v>3</v>
      </c>
      <c r="L1509" s="18" t="s">
        <v>37</v>
      </c>
      <c r="M1509" s="20">
        <f t="shared" si="47"/>
        <v>24000</v>
      </c>
      <c r="N1509" s="20">
        <f>'Working Sheet'!$J1509*'Working Sheet'!$K1509</f>
        <v>90000</v>
      </c>
      <c r="O1509" s="21">
        <f>'Working Sheet'!$M1509*'Working Sheet'!$K1509</f>
        <v>72000</v>
      </c>
      <c r="P1509" s="20">
        <f>'Working Sheet'!$N1509-'Working Sheet'!$O1509</f>
        <v>18000</v>
      </c>
    </row>
    <row r="1510" spans="1:16" ht="14.25" customHeight="1" x14ac:dyDescent="0.25">
      <c r="A1510" s="23" t="str">
        <f t="shared" ca="1" si="46"/>
        <v>ID_1006</v>
      </c>
      <c r="B1510" s="22">
        <v>45772</v>
      </c>
      <c r="C1510" s="23" t="str">
        <f>TEXT('Working Sheet'!$B1510,"mmm")</f>
        <v>Apr</v>
      </c>
      <c r="D1510" s="23" t="s">
        <v>29</v>
      </c>
      <c r="E1510" s="23" t="s">
        <v>32</v>
      </c>
      <c r="F1510" s="23" t="s">
        <v>23</v>
      </c>
      <c r="G1510" s="23" t="s">
        <v>20</v>
      </c>
      <c r="H1510" s="23" t="s">
        <v>41</v>
      </c>
      <c r="I1510" s="23" t="s">
        <v>22</v>
      </c>
      <c r="J1510" s="24">
        <v>220000</v>
      </c>
      <c r="K1510" s="23">
        <v>3</v>
      </c>
      <c r="L1510" s="23" t="s">
        <v>24</v>
      </c>
      <c r="M1510" s="25">
        <f t="shared" si="47"/>
        <v>176000</v>
      </c>
      <c r="N1510" s="25">
        <f>'Working Sheet'!$J1510*'Working Sheet'!$K1510</f>
        <v>660000</v>
      </c>
      <c r="O1510" s="26">
        <f>'Working Sheet'!$M1510*'Working Sheet'!$K1510</f>
        <v>528000</v>
      </c>
      <c r="P1510" s="25">
        <f>'Working Sheet'!$N1510-'Working Sheet'!$O1510</f>
        <v>132000</v>
      </c>
    </row>
    <row r="1511" spans="1:16" ht="14.25" customHeight="1" x14ac:dyDescent="0.25">
      <c r="A1511" s="18" t="str">
        <f t="shared" ca="1" si="46"/>
        <v>ID_692</v>
      </c>
      <c r="B1511" s="17">
        <v>45769</v>
      </c>
      <c r="C1511" s="18" t="str">
        <f>TEXT('Working Sheet'!$B1511,"mmm")</f>
        <v>Apr</v>
      </c>
      <c r="D1511" s="18" t="s">
        <v>18</v>
      </c>
      <c r="E1511" s="18" t="s">
        <v>26</v>
      </c>
      <c r="F1511" s="18" t="s">
        <v>13</v>
      </c>
      <c r="G1511" s="18" t="s">
        <v>14</v>
      </c>
      <c r="H1511" s="18" t="s">
        <v>15</v>
      </c>
      <c r="I1511" s="18" t="s">
        <v>16</v>
      </c>
      <c r="J1511" s="19">
        <v>85000</v>
      </c>
      <c r="K1511" s="18">
        <v>4</v>
      </c>
      <c r="L1511" s="18" t="s">
        <v>24</v>
      </c>
      <c r="M1511" s="20">
        <f t="shared" si="47"/>
        <v>68000</v>
      </c>
      <c r="N1511" s="20">
        <f>'Working Sheet'!$J1511*'Working Sheet'!$K1511</f>
        <v>340000</v>
      </c>
      <c r="O1511" s="21">
        <f>'Working Sheet'!$M1511*'Working Sheet'!$K1511</f>
        <v>272000</v>
      </c>
      <c r="P1511" s="20">
        <f>'Working Sheet'!$N1511-'Working Sheet'!$O1511</f>
        <v>68000</v>
      </c>
    </row>
    <row r="1512" spans="1:16" ht="14.25" customHeight="1" x14ac:dyDescent="0.25">
      <c r="A1512" s="23" t="str">
        <f t="shared" ca="1" si="46"/>
        <v>ID_1931</v>
      </c>
      <c r="B1512" s="22">
        <v>45703</v>
      </c>
      <c r="C1512" s="23" t="str">
        <f>TEXT('Working Sheet'!$B1512,"mmm")</f>
        <v>Feb</v>
      </c>
      <c r="D1512" s="23" t="s">
        <v>29</v>
      </c>
      <c r="E1512" s="23" t="s">
        <v>19</v>
      </c>
      <c r="F1512" s="23" t="s">
        <v>13</v>
      </c>
      <c r="G1512" s="23" t="s">
        <v>14</v>
      </c>
      <c r="H1512" s="23" t="s">
        <v>33</v>
      </c>
      <c r="I1512" s="23" t="s">
        <v>22</v>
      </c>
      <c r="J1512" s="24">
        <v>180000</v>
      </c>
      <c r="K1512" s="23">
        <v>6</v>
      </c>
      <c r="L1512" s="23" t="s">
        <v>24</v>
      </c>
      <c r="M1512" s="25">
        <f t="shared" si="47"/>
        <v>144000</v>
      </c>
      <c r="N1512" s="25">
        <f>'Working Sheet'!$J1512*'Working Sheet'!$K1512</f>
        <v>1080000</v>
      </c>
      <c r="O1512" s="26">
        <f>'Working Sheet'!$M1512*'Working Sheet'!$K1512</f>
        <v>864000</v>
      </c>
      <c r="P1512" s="25">
        <f>'Working Sheet'!$N1512-'Working Sheet'!$O1512</f>
        <v>216000</v>
      </c>
    </row>
    <row r="1513" spans="1:16" ht="14.25" customHeight="1" x14ac:dyDescent="0.25">
      <c r="A1513" s="18" t="str">
        <f t="shared" ca="1" si="46"/>
        <v>ID_1510</v>
      </c>
      <c r="B1513" s="17">
        <v>45674</v>
      </c>
      <c r="C1513" s="18" t="str">
        <f>TEXT('Working Sheet'!$B1513,"mmm")</f>
        <v>Jan</v>
      </c>
      <c r="D1513" s="18" t="s">
        <v>29</v>
      </c>
      <c r="E1513" s="18" t="s">
        <v>26</v>
      </c>
      <c r="F1513" s="18" t="s">
        <v>23</v>
      </c>
      <c r="G1513" s="18" t="s">
        <v>20</v>
      </c>
      <c r="H1513" s="18" t="s">
        <v>41</v>
      </c>
      <c r="I1513" s="18" t="s">
        <v>22</v>
      </c>
      <c r="J1513" s="19">
        <v>220000</v>
      </c>
      <c r="K1513" s="18">
        <v>8</v>
      </c>
      <c r="L1513" s="18" t="s">
        <v>17</v>
      </c>
      <c r="M1513" s="20">
        <f t="shared" si="47"/>
        <v>176000</v>
      </c>
      <c r="N1513" s="20">
        <f>'Working Sheet'!$J1513*'Working Sheet'!$K1513</f>
        <v>1760000</v>
      </c>
      <c r="O1513" s="21">
        <f>'Working Sheet'!$M1513*'Working Sheet'!$K1513</f>
        <v>1408000</v>
      </c>
      <c r="P1513" s="20">
        <f>'Working Sheet'!$N1513-'Working Sheet'!$O1513</f>
        <v>352000</v>
      </c>
    </row>
    <row r="1514" spans="1:16" ht="14.25" customHeight="1" x14ac:dyDescent="0.25">
      <c r="A1514" s="23" t="str">
        <f t="shared" ca="1" si="46"/>
        <v>ID_1338</v>
      </c>
      <c r="B1514" s="22">
        <v>45689</v>
      </c>
      <c r="C1514" s="23" t="str">
        <f>TEXT('Working Sheet'!$B1514,"mmm")</f>
        <v>Feb</v>
      </c>
      <c r="D1514" s="23" t="s">
        <v>25</v>
      </c>
      <c r="E1514" s="23" t="s">
        <v>19</v>
      </c>
      <c r="F1514" s="23" t="s">
        <v>13</v>
      </c>
      <c r="G1514" s="23" t="s">
        <v>20</v>
      </c>
      <c r="H1514" s="23" t="s">
        <v>36</v>
      </c>
      <c r="I1514" s="23" t="s">
        <v>31</v>
      </c>
      <c r="J1514" s="24">
        <v>150000</v>
      </c>
      <c r="K1514" s="23">
        <v>1</v>
      </c>
      <c r="L1514" s="23" t="s">
        <v>39</v>
      </c>
      <c r="M1514" s="25">
        <f t="shared" si="47"/>
        <v>120000</v>
      </c>
      <c r="N1514" s="25">
        <f>'Working Sheet'!$J1514*'Working Sheet'!$K1514</f>
        <v>150000</v>
      </c>
      <c r="O1514" s="26">
        <f>'Working Sheet'!$M1514*'Working Sheet'!$K1514</f>
        <v>120000</v>
      </c>
      <c r="P1514" s="25">
        <f>'Working Sheet'!$N1514-'Working Sheet'!$O1514</f>
        <v>30000</v>
      </c>
    </row>
    <row r="1515" spans="1:16" ht="14.25" customHeight="1" x14ac:dyDescent="0.25">
      <c r="A1515" s="18" t="str">
        <f t="shared" ca="1" si="46"/>
        <v>ID_1278</v>
      </c>
      <c r="B1515" s="17">
        <v>45718</v>
      </c>
      <c r="C1515" s="18" t="str">
        <f>TEXT('Working Sheet'!$B1515,"mmm")</f>
        <v>Mar</v>
      </c>
      <c r="D1515" s="18" t="s">
        <v>29</v>
      </c>
      <c r="E1515" s="18" t="s">
        <v>26</v>
      </c>
      <c r="F1515" s="18" t="s">
        <v>23</v>
      </c>
      <c r="G1515" s="18" t="s">
        <v>14</v>
      </c>
      <c r="H1515" s="18" t="s">
        <v>33</v>
      </c>
      <c r="I1515" s="18" t="s">
        <v>22</v>
      </c>
      <c r="J1515" s="19">
        <v>180000</v>
      </c>
      <c r="K1515" s="18">
        <v>9</v>
      </c>
      <c r="L1515" s="18" t="s">
        <v>35</v>
      </c>
      <c r="M1515" s="20">
        <f t="shared" si="47"/>
        <v>144000</v>
      </c>
      <c r="N1515" s="20">
        <f>'Working Sheet'!$J1515*'Working Sheet'!$K1515</f>
        <v>1620000</v>
      </c>
      <c r="O1515" s="21">
        <f>'Working Sheet'!$M1515*'Working Sheet'!$K1515</f>
        <v>1296000</v>
      </c>
      <c r="P1515" s="20">
        <f>'Working Sheet'!$N1515-'Working Sheet'!$O1515</f>
        <v>324000</v>
      </c>
    </row>
    <row r="1516" spans="1:16" ht="14.25" customHeight="1" x14ac:dyDescent="0.25">
      <c r="A1516" s="23" t="str">
        <f t="shared" ca="1" si="46"/>
        <v>ID_1880</v>
      </c>
      <c r="B1516" s="22">
        <v>45777</v>
      </c>
      <c r="C1516" s="23" t="str">
        <f>TEXT('Working Sheet'!$B1516,"mmm")</f>
        <v>Apr</v>
      </c>
      <c r="D1516" s="23" t="s">
        <v>29</v>
      </c>
      <c r="E1516" s="23" t="s">
        <v>26</v>
      </c>
      <c r="F1516" s="23" t="s">
        <v>23</v>
      </c>
      <c r="G1516" s="23" t="s">
        <v>20</v>
      </c>
      <c r="H1516" s="23" t="s">
        <v>38</v>
      </c>
      <c r="I1516" s="23" t="s">
        <v>31</v>
      </c>
      <c r="J1516" s="24">
        <v>420000</v>
      </c>
      <c r="K1516" s="23">
        <v>10</v>
      </c>
      <c r="L1516" s="23" t="s">
        <v>17</v>
      </c>
      <c r="M1516" s="25">
        <f t="shared" si="47"/>
        <v>336000</v>
      </c>
      <c r="N1516" s="25">
        <f>'Working Sheet'!$J1516*'Working Sheet'!$K1516</f>
        <v>4200000</v>
      </c>
      <c r="O1516" s="26">
        <f>'Working Sheet'!$M1516*'Working Sheet'!$K1516</f>
        <v>3360000</v>
      </c>
      <c r="P1516" s="25">
        <f>'Working Sheet'!$N1516-'Working Sheet'!$O1516</f>
        <v>840000</v>
      </c>
    </row>
    <row r="1517" spans="1:16" ht="14.25" customHeight="1" x14ac:dyDescent="0.25">
      <c r="A1517" s="18" t="str">
        <f t="shared" ca="1" si="46"/>
        <v>ID_1819</v>
      </c>
      <c r="B1517" s="17">
        <v>45740</v>
      </c>
      <c r="C1517" s="18" t="str">
        <f>TEXT('Working Sheet'!$B1517,"mmm")</f>
        <v>Mar</v>
      </c>
      <c r="D1517" s="18" t="s">
        <v>11</v>
      </c>
      <c r="E1517" s="18" t="s">
        <v>32</v>
      </c>
      <c r="F1517" s="18" t="s">
        <v>13</v>
      </c>
      <c r="G1517" s="18" t="s">
        <v>14</v>
      </c>
      <c r="H1517" s="18" t="s">
        <v>40</v>
      </c>
      <c r="I1517" s="18" t="s">
        <v>31</v>
      </c>
      <c r="J1517" s="19">
        <v>250000</v>
      </c>
      <c r="K1517" s="18">
        <v>10</v>
      </c>
      <c r="L1517" s="18" t="s">
        <v>17</v>
      </c>
      <c r="M1517" s="20">
        <f t="shared" si="47"/>
        <v>200000</v>
      </c>
      <c r="N1517" s="20">
        <f>'Working Sheet'!$J1517*'Working Sheet'!$K1517</f>
        <v>2500000</v>
      </c>
      <c r="O1517" s="21">
        <f>'Working Sheet'!$M1517*'Working Sheet'!$K1517</f>
        <v>2000000</v>
      </c>
      <c r="P1517" s="20">
        <f>'Working Sheet'!$N1517-'Working Sheet'!$O1517</f>
        <v>500000</v>
      </c>
    </row>
    <row r="1518" spans="1:16" ht="14.25" customHeight="1" x14ac:dyDescent="0.25">
      <c r="A1518" s="23" t="str">
        <f t="shared" ca="1" si="46"/>
        <v>ID_1539</v>
      </c>
      <c r="B1518" s="22">
        <v>45762</v>
      </c>
      <c r="C1518" s="23" t="str">
        <f>TEXT('Working Sheet'!$B1518,"mmm")</f>
        <v>Apr</v>
      </c>
      <c r="D1518" s="23" t="s">
        <v>18</v>
      </c>
      <c r="E1518" s="23" t="s">
        <v>26</v>
      </c>
      <c r="F1518" s="23" t="s">
        <v>13</v>
      </c>
      <c r="G1518" s="23" t="s">
        <v>20</v>
      </c>
      <c r="H1518" s="23" t="s">
        <v>41</v>
      </c>
      <c r="I1518" s="23" t="s">
        <v>22</v>
      </c>
      <c r="J1518" s="24">
        <v>220000</v>
      </c>
      <c r="K1518" s="23">
        <v>3</v>
      </c>
      <c r="L1518" s="23" t="s">
        <v>24</v>
      </c>
      <c r="M1518" s="25">
        <f t="shared" si="47"/>
        <v>176000</v>
      </c>
      <c r="N1518" s="25">
        <f>'Working Sheet'!$J1518*'Working Sheet'!$K1518</f>
        <v>660000</v>
      </c>
      <c r="O1518" s="26">
        <f>'Working Sheet'!$M1518*'Working Sheet'!$K1518</f>
        <v>528000</v>
      </c>
      <c r="P1518" s="25">
        <f>'Working Sheet'!$N1518-'Working Sheet'!$O1518</f>
        <v>132000</v>
      </c>
    </row>
    <row r="1519" spans="1:16" ht="14.25" customHeight="1" x14ac:dyDescent="0.25">
      <c r="A1519" s="18" t="str">
        <f t="shared" ca="1" si="46"/>
        <v>ID_1854</v>
      </c>
      <c r="B1519" s="17">
        <v>45684</v>
      </c>
      <c r="C1519" s="18" t="str">
        <f>TEXT('Working Sheet'!$B1519,"mmm")</f>
        <v>Jan</v>
      </c>
      <c r="D1519" s="18" t="s">
        <v>29</v>
      </c>
      <c r="E1519" s="18" t="s">
        <v>32</v>
      </c>
      <c r="F1519" s="18" t="s">
        <v>13</v>
      </c>
      <c r="G1519" s="18" t="s">
        <v>14</v>
      </c>
      <c r="H1519" s="18" t="s">
        <v>21</v>
      </c>
      <c r="I1519" s="18" t="s">
        <v>22</v>
      </c>
      <c r="J1519" s="19">
        <v>30000</v>
      </c>
      <c r="K1519" s="18">
        <v>4</v>
      </c>
      <c r="L1519" s="18" t="s">
        <v>35</v>
      </c>
      <c r="M1519" s="20">
        <f t="shared" si="47"/>
        <v>24000</v>
      </c>
      <c r="N1519" s="20">
        <f>'Working Sheet'!$J1519*'Working Sheet'!$K1519</f>
        <v>120000</v>
      </c>
      <c r="O1519" s="21">
        <f>'Working Sheet'!$M1519*'Working Sheet'!$K1519</f>
        <v>96000</v>
      </c>
      <c r="P1519" s="20">
        <f>'Working Sheet'!$N1519-'Working Sheet'!$O1519</f>
        <v>24000</v>
      </c>
    </row>
    <row r="1520" spans="1:16" ht="14.25" customHeight="1" x14ac:dyDescent="0.25">
      <c r="A1520" s="23" t="str">
        <f t="shared" ca="1" si="46"/>
        <v>ID_369</v>
      </c>
      <c r="B1520" s="22">
        <v>45755</v>
      </c>
      <c r="C1520" s="23" t="str">
        <f>TEXT('Working Sheet'!$B1520,"mmm")</f>
        <v>Apr</v>
      </c>
      <c r="D1520" s="23" t="s">
        <v>18</v>
      </c>
      <c r="E1520" s="23" t="s">
        <v>32</v>
      </c>
      <c r="F1520" s="23" t="s">
        <v>13</v>
      </c>
      <c r="G1520" s="23" t="s">
        <v>20</v>
      </c>
      <c r="H1520" s="23" t="s">
        <v>33</v>
      </c>
      <c r="I1520" s="23" t="s">
        <v>22</v>
      </c>
      <c r="J1520" s="24">
        <v>180000</v>
      </c>
      <c r="K1520" s="23">
        <v>9</v>
      </c>
      <c r="L1520" s="23" t="s">
        <v>35</v>
      </c>
      <c r="M1520" s="25">
        <f t="shared" si="47"/>
        <v>144000</v>
      </c>
      <c r="N1520" s="25">
        <f>'Working Sheet'!$J1520*'Working Sheet'!$K1520</f>
        <v>1620000</v>
      </c>
      <c r="O1520" s="26">
        <f>'Working Sheet'!$M1520*'Working Sheet'!$K1520</f>
        <v>1296000</v>
      </c>
      <c r="P1520" s="25">
        <f>'Working Sheet'!$N1520-'Working Sheet'!$O1520</f>
        <v>324000</v>
      </c>
    </row>
    <row r="1521" spans="1:16" ht="14.25" customHeight="1" x14ac:dyDescent="0.25">
      <c r="A1521" s="18" t="str">
        <f t="shared" ca="1" si="46"/>
        <v>ID_827</v>
      </c>
      <c r="B1521" s="17">
        <v>45716</v>
      </c>
      <c r="C1521" s="18" t="str">
        <f>TEXT('Working Sheet'!$B1521,"mmm")</f>
        <v>Feb</v>
      </c>
      <c r="D1521" s="18" t="s">
        <v>11</v>
      </c>
      <c r="E1521" s="18" t="s">
        <v>26</v>
      </c>
      <c r="F1521" s="18" t="s">
        <v>13</v>
      </c>
      <c r="G1521" s="18" t="s">
        <v>20</v>
      </c>
      <c r="H1521" s="18" t="s">
        <v>33</v>
      </c>
      <c r="I1521" s="18" t="s">
        <v>22</v>
      </c>
      <c r="J1521" s="19">
        <v>180000</v>
      </c>
      <c r="K1521" s="18">
        <v>7</v>
      </c>
      <c r="L1521" s="18" t="s">
        <v>35</v>
      </c>
      <c r="M1521" s="20">
        <f t="shared" si="47"/>
        <v>144000</v>
      </c>
      <c r="N1521" s="20">
        <f>'Working Sheet'!$J1521*'Working Sheet'!$K1521</f>
        <v>1260000</v>
      </c>
      <c r="O1521" s="21">
        <f>'Working Sheet'!$M1521*'Working Sheet'!$K1521</f>
        <v>1008000</v>
      </c>
      <c r="P1521" s="20">
        <f>'Working Sheet'!$N1521-'Working Sheet'!$O1521</f>
        <v>252000</v>
      </c>
    </row>
    <row r="1522" spans="1:16" ht="14.25" customHeight="1" x14ac:dyDescent="0.25">
      <c r="A1522" s="23" t="str">
        <f t="shared" ca="1" si="46"/>
        <v>ID_1453</v>
      </c>
      <c r="B1522" s="22">
        <v>45706</v>
      </c>
      <c r="C1522" s="23" t="str">
        <f>TEXT('Working Sheet'!$B1522,"mmm")</f>
        <v>Feb</v>
      </c>
      <c r="D1522" s="23" t="s">
        <v>18</v>
      </c>
      <c r="E1522" s="23" t="s">
        <v>12</v>
      </c>
      <c r="F1522" s="23" t="s">
        <v>23</v>
      </c>
      <c r="G1522" s="23" t="s">
        <v>20</v>
      </c>
      <c r="H1522" s="23" t="s">
        <v>36</v>
      </c>
      <c r="I1522" s="23" t="s">
        <v>31</v>
      </c>
      <c r="J1522" s="24">
        <v>150000</v>
      </c>
      <c r="K1522" s="23">
        <v>7</v>
      </c>
      <c r="L1522" s="23" t="s">
        <v>17</v>
      </c>
      <c r="M1522" s="25">
        <f t="shared" si="47"/>
        <v>120000</v>
      </c>
      <c r="N1522" s="25">
        <f>'Working Sheet'!$J1522*'Working Sheet'!$K1522</f>
        <v>1050000</v>
      </c>
      <c r="O1522" s="26">
        <f>'Working Sheet'!$M1522*'Working Sheet'!$K1522</f>
        <v>840000</v>
      </c>
      <c r="P1522" s="25">
        <f>'Working Sheet'!$N1522-'Working Sheet'!$O1522</f>
        <v>210000</v>
      </c>
    </row>
    <row r="1523" spans="1:16" ht="14.25" customHeight="1" x14ac:dyDescent="0.25">
      <c r="A1523" s="18" t="str">
        <f t="shared" ca="1" si="46"/>
        <v>ID_1609</v>
      </c>
      <c r="B1523" s="17">
        <v>45674</v>
      </c>
      <c r="C1523" s="18" t="str">
        <f>TEXT('Working Sheet'!$B1523,"mmm")</f>
        <v>Jan</v>
      </c>
      <c r="D1523" s="18" t="s">
        <v>18</v>
      </c>
      <c r="E1523" s="18" t="s">
        <v>32</v>
      </c>
      <c r="F1523" s="18" t="s">
        <v>13</v>
      </c>
      <c r="G1523" s="18" t="s">
        <v>14</v>
      </c>
      <c r="H1523" s="18" t="s">
        <v>21</v>
      </c>
      <c r="I1523" s="18" t="s">
        <v>22</v>
      </c>
      <c r="J1523" s="19">
        <v>30000</v>
      </c>
      <c r="K1523" s="18">
        <v>4</v>
      </c>
      <c r="L1523" s="18" t="s">
        <v>28</v>
      </c>
      <c r="M1523" s="20">
        <f t="shared" si="47"/>
        <v>24000</v>
      </c>
      <c r="N1523" s="20">
        <f>'Working Sheet'!$J1523*'Working Sheet'!$K1523</f>
        <v>120000</v>
      </c>
      <c r="O1523" s="21">
        <f>'Working Sheet'!$M1523*'Working Sheet'!$K1523</f>
        <v>96000</v>
      </c>
      <c r="P1523" s="20">
        <f>'Working Sheet'!$N1523-'Working Sheet'!$O1523</f>
        <v>24000</v>
      </c>
    </row>
    <row r="1524" spans="1:16" ht="14.25" customHeight="1" x14ac:dyDescent="0.25">
      <c r="A1524" s="23" t="str">
        <f t="shared" ca="1" si="46"/>
        <v>ID_1582</v>
      </c>
      <c r="B1524" s="22">
        <v>45687</v>
      </c>
      <c r="C1524" s="23" t="str">
        <f>TEXT('Working Sheet'!$B1524,"mmm")</f>
        <v>Jan</v>
      </c>
      <c r="D1524" s="23" t="s">
        <v>18</v>
      </c>
      <c r="E1524" s="23" t="s">
        <v>19</v>
      </c>
      <c r="F1524" s="23" t="s">
        <v>13</v>
      </c>
      <c r="G1524" s="23" t="s">
        <v>14</v>
      </c>
      <c r="H1524" s="23" t="s">
        <v>34</v>
      </c>
      <c r="I1524" s="23" t="s">
        <v>16</v>
      </c>
      <c r="J1524" s="24">
        <v>320000</v>
      </c>
      <c r="K1524" s="23">
        <v>2</v>
      </c>
      <c r="L1524" s="23" t="s">
        <v>35</v>
      </c>
      <c r="M1524" s="25">
        <f t="shared" si="47"/>
        <v>256000</v>
      </c>
      <c r="N1524" s="25">
        <f>'Working Sheet'!$J1524*'Working Sheet'!$K1524</f>
        <v>640000</v>
      </c>
      <c r="O1524" s="26">
        <f>'Working Sheet'!$M1524*'Working Sheet'!$K1524</f>
        <v>512000</v>
      </c>
      <c r="P1524" s="25">
        <f>'Working Sheet'!$N1524-'Working Sheet'!$O1524</f>
        <v>128000</v>
      </c>
    </row>
    <row r="1525" spans="1:16" ht="14.25" customHeight="1" x14ac:dyDescent="0.25">
      <c r="A1525" s="18" t="str">
        <f t="shared" ca="1" si="46"/>
        <v>ID_1643</v>
      </c>
      <c r="B1525" s="17">
        <v>45749</v>
      </c>
      <c r="C1525" s="18" t="str">
        <f>TEXT('Working Sheet'!$B1525,"mmm")</f>
        <v>Apr</v>
      </c>
      <c r="D1525" s="18" t="s">
        <v>18</v>
      </c>
      <c r="E1525" s="18" t="s">
        <v>19</v>
      </c>
      <c r="F1525" s="18" t="s">
        <v>23</v>
      </c>
      <c r="G1525" s="18" t="s">
        <v>20</v>
      </c>
      <c r="H1525" s="18" t="s">
        <v>34</v>
      </c>
      <c r="I1525" s="18" t="s">
        <v>16</v>
      </c>
      <c r="J1525" s="19">
        <v>320000</v>
      </c>
      <c r="K1525" s="18">
        <v>6</v>
      </c>
      <c r="L1525" s="18" t="s">
        <v>37</v>
      </c>
      <c r="M1525" s="20">
        <f t="shared" si="47"/>
        <v>256000</v>
      </c>
      <c r="N1525" s="20">
        <f>'Working Sheet'!$J1525*'Working Sheet'!$K1525</f>
        <v>1920000</v>
      </c>
      <c r="O1525" s="21">
        <f>'Working Sheet'!$M1525*'Working Sheet'!$K1525</f>
        <v>1536000</v>
      </c>
      <c r="P1525" s="20">
        <f>'Working Sheet'!$N1525-'Working Sheet'!$O1525</f>
        <v>384000</v>
      </c>
    </row>
    <row r="1526" spans="1:16" ht="14.25" customHeight="1" x14ac:dyDescent="0.25">
      <c r="A1526" s="23" t="str">
        <f t="shared" ca="1" si="46"/>
        <v>ID_1289</v>
      </c>
      <c r="B1526" s="22">
        <v>45762</v>
      </c>
      <c r="C1526" s="23" t="str">
        <f>TEXT('Working Sheet'!$B1526,"mmm")</f>
        <v>Apr</v>
      </c>
      <c r="D1526" s="23" t="s">
        <v>18</v>
      </c>
      <c r="E1526" s="23" t="s">
        <v>26</v>
      </c>
      <c r="F1526" s="23" t="s">
        <v>23</v>
      </c>
      <c r="G1526" s="23" t="s">
        <v>20</v>
      </c>
      <c r="H1526" s="23" t="s">
        <v>38</v>
      </c>
      <c r="I1526" s="23" t="s">
        <v>31</v>
      </c>
      <c r="J1526" s="24">
        <v>420000</v>
      </c>
      <c r="K1526" s="23">
        <v>10</v>
      </c>
      <c r="L1526" s="23" t="s">
        <v>24</v>
      </c>
      <c r="M1526" s="25">
        <f t="shared" si="47"/>
        <v>336000</v>
      </c>
      <c r="N1526" s="25">
        <f>'Working Sheet'!$J1526*'Working Sheet'!$K1526</f>
        <v>4200000</v>
      </c>
      <c r="O1526" s="26">
        <f>'Working Sheet'!$M1526*'Working Sheet'!$K1526</f>
        <v>3360000</v>
      </c>
      <c r="P1526" s="25">
        <f>'Working Sheet'!$N1526-'Working Sheet'!$O1526</f>
        <v>840000</v>
      </c>
    </row>
    <row r="1527" spans="1:16" ht="14.25" customHeight="1" x14ac:dyDescent="0.25">
      <c r="A1527" s="18" t="str">
        <f t="shared" ca="1" si="46"/>
        <v>ID_1419</v>
      </c>
      <c r="B1527" s="17">
        <v>45761</v>
      </c>
      <c r="C1527" s="18" t="str">
        <f>TEXT('Working Sheet'!$B1527,"mmm")</f>
        <v>Apr</v>
      </c>
      <c r="D1527" s="18" t="s">
        <v>25</v>
      </c>
      <c r="E1527" s="18" t="s">
        <v>32</v>
      </c>
      <c r="F1527" s="18" t="s">
        <v>13</v>
      </c>
      <c r="G1527" s="18" t="s">
        <v>14</v>
      </c>
      <c r="H1527" s="18" t="s">
        <v>41</v>
      </c>
      <c r="I1527" s="18" t="s">
        <v>22</v>
      </c>
      <c r="J1527" s="19">
        <v>220000</v>
      </c>
      <c r="K1527" s="18">
        <v>8</v>
      </c>
      <c r="L1527" s="18" t="s">
        <v>17</v>
      </c>
      <c r="M1527" s="20">
        <f t="shared" si="47"/>
        <v>176000</v>
      </c>
      <c r="N1527" s="20">
        <f>'Working Sheet'!$J1527*'Working Sheet'!$K1527</f>
        <v>1760000</v>
      </c>
      <c r="O1527" s="21">
        <f>'Working Sheet'!$M1527*'Working Sheet'!$K1527</f>
        <v>1408000</v>
      </c>
      <c r="P1527" s="20">
        <f>'Working Sheet'!$N1527-'Working Sheet'!$O1527</f>
        <v>352000</v>
      </c>
    </row>
    <row r="1528" spans="1:16" ht="14.25" customHeight="1" x14ac:dyDescent="0.25">
      <c r="A1528" s="23" t="str">
        <f t="shared" ca="1" si="46"/>
        <v>ID_847</v>
      </c>
      <c r="B1528" s="22">
        <v>45737</v>
      </c>
      <c r="C1528" s="23" t="str">
        <f>TEXT('Working Sheet'!$B1528,"mmm")</f>
        <v>Mar</v>
      </c>
      <c r="D1528" s="23" t="s">
        <v>18</v>
      </c>
      <c r="E1528" s="23" t="s">
        <v>12</v>
      </c>
      <c r="F1528" s="23" t="s">
        <v>13</v>
      </c>
      <c r="G1528" s="23" t="s">
        <v>14</v>
      </c>
      <c r="H1528" s="23" t="s">
        <v>30</v>
      </c>
      <c r="I1528" s="23" t="s">
        <v>31</v>
      </c>
      <c r="J1528" s="24">
        <v>300000</v>
      </c>
      <c r="K1528" s="23">
        <v>10</v>
      </c>
      <c r="L1528" s="23" t="s">
        <v>17</v>
      </c>
      <c r="M1528" s="25">
        <f t="shared" si="47"/>
        <v>240000</v>
      </c>
      <c r="N1528" s="25">
        <f>'Working Sheet'!$J1528*'Working Sheet'!$K1528</f>
        <v>3000000</v>
      </c>
      <c r="O1528" s="26">
        <f>'Working Sheet'!$M1528*'Working Sheet'!$K1528</f>
        <v>2400000</v>
      </c>
      <c r="P1528" s="25">
        <f>'Working Sheet'!$N1528-'Working Sheet'!$O1528</f>
        <v>600000</v>
      </c>
    </row>
    <row r="1529" spans="1:16" ht="14.25" customHeight="1" x14ac:dyDescent="0.25">
      <c r="A1529" s="18" t="str">
        <f t="shared" ca="1" si="46"/>
        <v>ID_116</v>
      </c>
      <c r="B1529" s="17">
        <v>45677</v>
      </c>
      <c r="C1529" s="18" t="str">
        <f>TEXT('Working Sheet'!$B1529,"mmm")</f>
        <v>Jan</v>
      </c>
      <c r="D1529" s="18" t="s">
        <v>25</v>
      </c>
      <c r="E1529" s="18" t="s">
        <v>32</v>
      </c>
      <c r="F1529" s="18" t="s">
        <v>23</v>
      </c>
      <c r="G1529" s="18" t="s">
        <v>20</v>
      </c>
      <c r="H1529" s="18" t="s">
        <v>30</v>
      </c>
      <c r="I1529" s="18" t="s">
        <v>31</v>
      </c>
      <c r="J1529" s="19">
        <v>300000</v>
      </c>
      <c r="K1529" s="18">
        <v>3</v>
      </c>
      <c r="L1529" s="18" t="s">
        <v>28</v>
      </c>
      <c r="M1529" s="20">
        <f t="shared" si="47"/>
        <v>240000</v>
      </c>
      <c r="N1529" s="20">
        <f>'Working Sheet'!$J1529*'Working Sheet'!$K1529</f>
        <v>900000</v>
      </c>
      <c r="O1529" s="21">
        <f>'Working Sheet'!$M1529*'Working Sheet'!$K1529</f>
        <v>720000</v>
      </c>
      <c r="P1529" s="20">
        <f>'Working Sheet'!$N1529-'Working Sheet'!$O1529</f>
        <v>180000</v>
      </c>
    </row>
    <row r="1530" spans="1:16" ht="14.25" customHeight="1" x14ac:dyDescent="0.25">
      <c r="A1530" s="23" t="str">
        <f t="shared" ca="1" si="46"/>
        <v>ID_1599</v>
      </c>
      <c r="B1530" s="22">
        <v>45699</v>
      </c>
      <c r="C1530" s="23" t="str">
        <f>TEXT('Working Sheet'!$B1530,"mmm")</f>
        <v>Feb</v>
      </c>
      <c r="D1530" s="23" t="s">
        <v>29</v>
      </c>
      <c r="E1530" s="23" t="s">
        <v>12</v>
      </c>
      <c r="F1530" s="23" t="s">
        <v>13</v>
      </c>
      <c r="G1530" s="23" t="s">
        <v>14</v>
      </c>
      <c r="H1530" s="23" t="s">
        <v>34</v>
      </c>
      <c r="I1530" s="23" t="s">
        <v>16</v>
      </c>
      <c r="J1530" s="24">
        <v>320000</v>
      </c>
      <c r="K1530" s="23">
        <v>5</v>
      </c>
      <c r="L1530" s="23" t="s">
        <v>37</v>
      </c>
      <c r="M1530" s="25">
        <f t="shared" si="47"/>
        <v>256000</v>
      </c>
      <c r="N1530" s="25">
        <f>'Working Sheet'!$J1530*'Working Sheet'!$K1530</f>
        <v>1600000</v>
      </c>
      <c r="O1530" s="26">
        <f>'Working Sheet'!$M1530*'Working Sheet'!$K1530</f>
        <v>1280000</v>
      </c>
      <c r="P1530" s="25">
        <f>'Working Sheet'!$N1530-'Working Sheet'!$O1530</f>
        <v>320000</v>
      </c>
    </row>
    <row r="1531" spans="1:16" ht="14.25" customHeight="1" x14ac:dyDescent="0.25">
      <c r="A1531" s="18" t="str">
        <f t="shared" ca="1" si="46"/>
        <v>ID_632</v>
      </c>
      <c r="B1531" s="17">
        <v>45701</v>
      </c>
      <c r="C1531" s="18" t="str">
        <f>TEXT('Working Sheet'!$B1531,"mmm")</f>
        <v>Feb</v>
      </c>
      <c r="D1531" s="18" t="s">
        <v>18</v>
      </c>
      <c r="E1531" s="18" t="s">
        <v>32</v>
      </c>
      <c r="F1531" s="18" t="s">
        <v>13</v>
      </c>
      <c r="G1531" s="18" t="s">
        <v>14</v>
      </c>
      <c r="H1531" s="18" t="s">
        <v>15</v>
      </c>
      <c r="I1531" s="18" t="s">
        <v>16</v>
      </c>
      <c r="J1531" s="19">
        <v>85000</v>
      </c>
      <c r="K1531" s="18">
        <v>7</v>
      </c>
      <c r="L1531" s="18" t="s">
        <v>17</v>
      </c>
      <c r="M1531" s="20">
        <f t="shared" si="47"/>
        <v>68000</v>
      </c>
      <c r="N1531" s="20">
        <f>'Working Sheet'!$J1531*'Working Sheet'!$K1531</f>
        <v>595000</v>
      </c>
      <c r="O1531" s="21">
        <f>'Working Sheet'!$M1531*'Working Sheet'!$K1531</f>
        <v>476000</v>
      </c>
      <c r="P1531" s="20">
        <f>'Working Sheet'!$N1531-'Working Sheet'!$O1531</f>
        <v>119000</v>
      </c>
    </row>
    <row r="1532" spans="1:16" ht="14.25" customHeight="1" x14ac:dyDescent="0.25">
      <c r="A1532" s="23" t="str">
        <f t="shared" ca="1" si="46"/>
        <v>ID_1847</v>
      </c>
      <c r="B1532" s="22">
        <v>45702</v>
      </c>
      <c r="C1532" s="23" t="str">
        <f>TEXT('Working Sheet'!$B1532,"mmm")</f>
        <v>Feb</v>
      </c>
      <c r="D1532" s="23" t="s">
        <v>11</v>
      </c>
      <c r="E1532" s="23" t="s">
        <v>26</v>
      </c>
      <c r="F1532" s="23" t="s">
        <v>13</v>
      </c>
      <c r="G1532" s="23" t="s">
        <v>20</v>
      </c>
      <c r="H1532" s="23" t="s">
        <v>41</v>
      </c>
      <c r="I1532" s="23" t="s">
        <v>22</v>
      </c>
      <c r="J1532" s="24">
        <v>220000</v>
      </c>
      <c r="K1532" s="23">
        <v>2</v>
      </c>
      <c r="L1532" s="23" t="s">
        <v>37</v>
      </c>
      <c r="M1532" s="25">
        <f t="shared" si="47"/>
        <v>176000</v>
      </c>
      <c r="N1532" s="25">
        <f>'Working Sheet'!$J1532*'Working Sheet'!$K1532</f>
        <v>440000</v>
      </c>
      <c r="O1532" s="26">
        <f>'Working Sheet'!$M1532*'Working Sheet'!$K1532</f>
        <v>352000</v>
      </c>
      <c r="P1532" s="25">
        <f>'Working Sheet'!$N1532-'Working Sheet'!$O1532</f>
        <v>88000</v>
      </c>
    </row>
    <row r="1533" spans="1:16" ht="14.25" customHeight="1" x14ac:dyDescent="0.25">
      <c r="A1533" s="18" t="str">
        <f t="shared" ca="1" si="46"/>
        <v>ID_237</v>
      </c>
      <c r="B1533" s="17">
        <v>45739</v>
      </c>
      <c r="C1533" s="18" t="str">
        <f>TEXT('Working Sheet'!$B1533,"mmm")</f>
        <v>Mar</v>
      </c>
      <c r="D1533" s="18" t="s">
        <v>29</v>
      </c>
      <c r="E1533" s="18" t="s">
        <v>32</v>
      </c>
      <c r="F1533" s="18" t="s">
        <v>13</v>
      </c>
      <c r="G1533" s="18" t="s">
        <v>20</v>
      </c>
      <c r="H1533" s="18" t="s">
        <v>30</v>
      </c>
      <c r="I1533" s="18" t="s">
        <v>31</v>
      </c>
      <c r="J1533" s="19">
        <v>300000</v>
      </c>
      <c r="K1533" s="18">
        <v>2</v>
      </c>
      <c r="L1533" s="18" t="s">
        <v>28</v>
      </c>
      <c r="M1533" s="20">
        <f t="shared" si="47"/>
        <v>240000</v>
      </c>
      <c r="N1533" s="20">
        <f>'Working Sheet'!$J1533*'Working Sheet'!$K1533</f>
        <v>600000</v>
      </c>
      <c r="O1533" s="21">
        <f>'Working Sheet'!$M1533*'Working Sheet'!$K1533</f>
        <v>480000</v>
      </c>
      <c r="P1533" s="20">
        <f>'Working Sheet'!$N1533-'Working Sheet'!$O1533</f>
        <v>120000</v>
      </c>
    </row>
    <row r="1534" spans="1:16" ht="14.25" customHeight="1" x14ac:dyDescent="0.25">
      <c r="A1534" s="23" t="str">
        <f t="shared" ca="1" si="46"/>
        <v>ID_1996</v>
      </c>
      <c r="B1534" s="22">
        <v>45702</v>
      </c>
      <c r="C1534" s="23" t="str">
        <f>TEXT('Working Sheet'!$B1534,"mmm")</f>
        <v>Feb</v>
      </c>
      <c r="D1534" s="23" t="s">
        <v>25</v>
      </c>
      <c r="E1534" s="23" t="s">
        <v>19</v>
      </c>
      <c r="F1534" s="23" t="s">
        <v>23</v>
      </c>
      <c r="G1534" s="23" t="s">
        <v>14</v>
      </c>
      <c r="H1534" s="23" t="s">
        <v>15</v>
      </c>
      <c r="I1534" s="23" t="s">
        <v>16</v>
      </c>
      <c r="J1534" s="24">
        <v>85000</v>
      </c>
      <c r="K1534" s="23">
        <v>3</v>
      </c>
      <c r="L1534" s="23" t="s">
        <v>24</v>
      </c>
      <c r="M1534" s="25">
        <f t="shared" si="47"/>
        <v>68000</v>
      </c>
      <c r="N1534" s="25">
        <f>'Working Sheet'!$J1534*'Working Sheet'!$K1534</f>
        <v>255000</v>
      </c>
      <c r="O1534" s="26">
        <f>'Working Sheet'!$M1534*'Working Sheet'!$K1534</f>
        <v>204000</v>
      </c>
      <c r="P1534" s="25">
        <f>'Working Sheet'!$N1534-'Working Sheet'!$O1534</f>
        <v>51000</v>
      </c>
    </row>
    <row r="1535" spans="1:16" ht="14.25" customHeight="1" x14ac:dyDescent="0.25">
      <c r="A1535" s="18" t="str">
        <f t="shared" ca="1" si="46"/>
        <v>ID_851</v>
      </c>
      <c r="B1535" s="17">
        <v>45676</v>
      </c>
      <c r="C1535" s="18" t="str">
        <f>TEXT('Working Sheet'!$B1535,"mmm")</f>
        <v>Jan</v>
      </c>
      <c r="D1535" s="18" t="s">
        <v>29</v>
      </c>
      <c r="E1535" s="18" t="s">
        <v>32</v>
      </c>
      <c r="F1535" s="18" t="s">
        <v>13</v>
      </c>
      <c r="G1535" s="18" t="s">
        <v>20</v>
      </c>
      <c r="H1535" s="18" t="s">
        <v>41</v>
      </c>
      <c r="I1535" s="18" t="s">
        <v>22</v>
      </c>
      <c r="J1535" s="19">
        <v>220000</v>
      </c>
      <c r="K1535" s="18">
        <v>7</v>
      </c>
      <c r="L1535" s="18" t="s">
        <v>37</v>
      </c>
      <c r="M1535" s="20">
        <f t="shared" si="47"/>
        <v>176000</v>
      </c>
      <c r="N1535" s="20">
        <f>'Working Sheet'!$J1535*'Working Sheet'!$K1535</f>
        <v>1540000</v>
      </c>
      <c r="O1535" s="21">
        <f>'Working Sheet'!$M1535*'Working Sheet'!$K1535</f>
        <v>1232000</v>
      </c>
      <c r="P1535" s="20">
        <f>'Working Sheet'!$N1535-'Working Sheet'!$O1535</f>
        <v>308000</v>
      </c>
    </row>
    <row r="1536" spans="1:16" ht="14.25" customHeight="1" x14ac:dyDescent="0.25">
      <c r="A1536" s="23" t="str">
        <f t="shared" ca="1" si="46"/>
        <v>ID_693</v>
      </c>
      <c r="B1536" s="22">
        <v>45743</v>
      </c>
      <c r="C1536" s="23" t="str">
        <f>TEXT('Working Sheet'!$B1536,"mmm")</f>
        <v>Mar</v>
      </c>
      <c r="D1536" s="23" t="s">
        <v>18</v>
      </c>
      <c r="E1536" s="23" t="s">
        <v>26</v>
      </c>
      <c r="F1536" s="23" t="s">
        <v>23</v>
      </c>
      <c r="G1536" s="23" t="s">
        <v>14</v>
      </c>
      <c r="H1536" s="23" t="s">
        <v>36</v>
      </c>
      <c r="I1536" s="23" t="s">
        <v>31</v>
      </c>
      <c r="J1536" s="24">
        <v>150000</v>
      </c>
      <c r="K1536" s="23">
        <v>3</v>
      </c>
      <c r="L1536" s="23" t="s">
        <v>28</v>
      </c>
      <c r="M1536" s="25">
        <f t="shared" si="47"/>
        <v>120000</v>
      </c>
      <c r="N1536" s="25">
        <f>'Working Sheet'!$J1536*'Working Sheet'!$K1536</f>
        <v>450000</v>
      </c>
      <c r="O1536" s="26">
        <f>'Working Sheet'!$M1536*'Working Sheet'!$K1536</f>
        <v>360000</v>
      </c>
      <c r="P1536" s="25">
        <f>'Working Sheet'!$N1536-'Working Sheet'!$O1536</f>
        <v>90000</v>
      </c>
    </row>
    <row r="1537" spans="1:16" ht="14.25" customHeight="1" x14ac:dyDescent="0.25">
      <c r="A1537" s="18" t="str">
        <f t="shared" ca="1" si="46"/>
        <v>ID_747</v>
      </c>
      <c r="B1537" s="17">
        <v>45682</v>
      </c>
      <c r="C1537" s="18" t="str">
        <f>TEXT('Working Sheet'!$B1537,"mmm")</f>
        <v>Jan</v>
      </c>
      <c r="D1537" s="18" t="s">
        <v>18</v>
      </c>
      <c r="E1537" s="18" t="s">
        <v>19</v>
      </c>
      <c r="F1537" s="18" t="s">
        <v>13</v>
      </c>
      <c r="G1537" s="18" t="s">
        <v>20</v>
      </c>
      <c r="H1537" s="18" t="s">
        <v>38</v>
      </c>
      <c r="I1537" s="18" t="s">
        <v>31</v>
      </c>
      <c r="J1537" s="19">
        <v>420000</v>
      </c>
      <c r="K1537" s="18">
        <v>10</v>
      </c>
      <c r="L1537" s="18" t="s">
        <v>37</v>
      </c>
      <c r="M1537" s="20">
        <f t="shared" si="47"/>
        <v>336000</v>
      </c>
      <c r="N1537" s="20">
        <f>'Working Sheet'!$J1537*'Working Sheet'!$K1537</f>
        <v>4200000</v>
      </c>
      <c r="O1537" s="21">
        <f>'Working Sheet'!$M1537*'Working Sheet'!$K1537</f>
        <v>3360000</v>
      </c>
      <c r="P1537" s="20">
        <f>'Working Sheet'!$N1537-'Working Sheet'!$O1537</f>
        <v>840000</v>
      </c>
    </row>
    <row r="1538" spans="1:16" ht="14.25" customHeight="1" x14ac:dyDescent="0.25">
      <c r="A1538" s="23" t="str">
        <f t="shared" ref="A1538:A1601" ca="1" si="48">"ID_"&amp; RANDBETWEEN(1,2098)</f>
        <v>ID_2027</v>
      </c>
      <c r="B1538" s="22">
        <v>45695</v>
      </c>
      <c r="C1538" s="23" t="str">
        <f>TEXT('Working Sheet'!$B1538,"mmm")</f>
        <v>Feb</v>
      </c>
      <c r="D1538" s="23" t="s">
        <v>29</v>
      </c>
      <c r="E1538" s="23" t="s">
        <v>19</v>
      </c>
      <c r="F1538" s="23" t="s">
        <v>13</v>
      </c>
      <c r="G1538" s="23" t="s">
        <v>20</v>
      </c>
      <c r="H1538" s="23" t="s">
        <v>27</v>
      </c>
      <c r="I1538" s="23" t="s">
        <v>22</v>
      </c>
      <c r="J1538" s="24">
        <v>60000</v>
      </c>
      <c r="K1538" s="23">
        <v>3</v>
      </c>
      <c r="L1538" s="23" t="s">
        <v>35</v>
      </c>
      <c r="M1538" s="25">
        <f t="shared" ref="M1538:M1601" si="49">J1538-J1538*0.2</f>
        <v>48000</v>
      </c>
      <c r="N1538" s="25">
        <f>'Working Sheet'!$J1538*'Working Sheet'!$K1538</f>
        <v>180000</v>
      </c>
      <c r="O1538" s="26">
        <f>'Working Sheet'!$M1538*'Working Sheet'!$K1538</f>
        <v>144000</v>
      </c>
      <c r="P1538" s="25">
        <f>'Working Sheet'!$N1538-'Working Sheet'!$O1538</f>
        <v>36000</v>
      </c>
    </row>
    <row r="1539" spans="1:16" ht="14.25" customHeight="1" x14ac:dyDescent="0.25">
      <c r="A1539" s="18" t="str">
        <f t="shared" ca="1" si="48"/>
        <v>ID_399</v>
      </c>
      <c r="B1539" s="17">
        <v>45678</v>
      </c>
      <c r="C1539" s="18" t="str">
        <f>TEXT('Working Sheet'!$B1539,"mmm")</f>
        <v>Jan</v>
      </c>
      <c r="D1539" s="18" t="s">
        <v>18</v>
      </c>
      <c r="E1539" s="18" t="s">
        <v>19</v>
      </c>
      <c r="F1539" s="18" t="s">
        <v>23</v>
      </c>
      <c r="G1539" s="18" t="s">
        <v>14</v>
      </c>
      <c r="H1539" s="18" t="s">
        <v>30</v>
      </c>
      <c r="I1539" s="18" t="s">
        <v>31</v>
      </c>
      <c r="J1539" s="19">
        <v>300000</v>
      </c>
      <c r="K1539" s="18">
        <v>9</v>
      </c>
      <c r="L1539" s="18" t="s">
        <v>24</v>
      </c>
      <c r="M1539" s="20">
        <f t="shared" si="49"/>
        <v>240000</v>
      </c>
      <c r="N1539" s="20">
        <f>'Working Sheet'!$J1539*'Working Sheet'!$K1539</f>
        <v>2700000</v>
      </c>
      <c r="O1539" s="21">
        <f>'Working Sheet'!$M1539*'Working Sheet'!$K1539</f>
        <v>2160000</v>
      </c>
      <c r="P1539" s="20">
        <f>'Working Sheet'!$N1539-'Working Sheet'!$O1539</f>
        <v>540000</v>
      </c>
    </row>
    <row r="1540" spans="1:16" ht="14.25" customHeight="1" x14ac:dyDescent="0.25">
      <c r="A1540" s="23" t="str">
        <f t="shared" ca="1" si="48"/>
        <v>ID_2040</v>
      </c>
      <c r="B1540" s="22">
        <v>45698</v>
      </c>
      <c r="C1540" s="23" t="str">
        <f>TEXT('Working Sheet'!$B1540,"mmm")</f>
        <v>Feb</v>
      </c>
      <c r="D1540" s="23" t="s">
        <v>25</v>
      </c>
      <c r="E1540" s="23" t="s">
        <v>19</v>
      </c>
      <c r="F1540" s="23" t="s">
        <v>23</v>
      </c>
      <c r="G1540" s="23" t="s">
        <v>14</v>
      </c>
      <c r="H1540" s="23" t="s">
        <v>27</v>
      </c>
      <c r="I1540" s="23" t="s">
        <v>22</v>
      </c>
      <c r="J1540" s="24">
        <v>60000</v>
      </c>
      <c r="K1540" s="23">
        <v>7</v>
      </c>
      <c r="L1540" s="23" t="s">
        <v>17</v>
      </c>
      <c r="M1540" s="25">
        <f t="shared" si="49"/>
        <v>48000</v>
      </c>
      <c r="N1540" s="25">
        <f>'Working Sheet'!$J1540*'Working Sheet'!$K1540</f>
        <v>420000</v>
      </c>
      <c r="O1540" s="26">
        <f>'Working Sheet'!$M1540*'Working Sheet'!$K1540</f>
        <v>336000</v>
      </c>
      <c r="P1540" s="25">
        <f>'Working Sheet'!$N1540-'Working Sheet'!$O1540</f>
        <v>84000</v>
      </c>
    </row>
    <row r="1541" spans="1:16" ht="14.25" customHeight="1" x14ac:dyDescent="0.25">
      <c r="A1541" s="18" t="str">
        <f t="shared" ca="1" si="48"/>
        <v>ID_528</v>
      </c>
      <c r="B1541" s="17">
        <v>45735</v>
      </c>
      <c r="C1541" s="18" t="str">
        <f>TEXT('Working Sheet'!$B1541,"mmm")</f>
        <v>Mar</v>
      </c>
      <c r="D1541" s="18" t="s">
        <v>11</v>
      </c>
      <c r="E1541" s="18" t="s">
        <v>12</v>
      </c>
      <c r="F1541" s="18" t="s">
        <v>13</v>
      </c>
      <c r="G1541" s="18" t="s">
        <v>14</v>
      </c>
      <c r="H1541" s="18" t="s">
        <v>34</v>
      </c>
      <c r="I1541" s="18" t="s">
        <v>16</v>
      </c>
      <c r="J1541" s="19">
        <v>320000</v>
      </c>
      <c r="K1541" s="18">
        <v>3</v>
      </c>
      <c r="L1541" s="18" t="s">
        <v>28</v>
      </c>
      <c r="M1541" s="20">
        <f t="shared" si="49"/>
        <v>256000</v>
      </c>
      <c r="N1541" s="20">
        <f>'Working Sheet'!$J1541*'Working Sheet'!$K1541</f>
        <v>960000</v>
      </c>
      <c r="O1541" s="21">
        <f>'Working Sheet'!$M1541*'Working Sheet'!$K1541</f>
        <v>768000</v>
      </c>
      <c r="P1541" s="20">
        <f>'Working Sheet'!$N1541-'Working Sheet'!$O1541</f>
        <v>192000</v>
      </c>
    </row>
    <row r="1542" spans="1:16" ht="14.25" customHeight="1" x14ac:dyDescent="0.25">
      <c r="A1542" s="23" t="str">
        <f t="shared" ca="1" si="48"/>
        <v>ID_1014</v>
      </c>
      <c r="B1542" s="22">
        <v>45699</v>
      </c>
      <c r="C1542" s="23" t="str">
        <f>TEXT('Working Sheet'!$B1542,"mmm")</f>
        <v>Feb</v>
      </c>
      <c r="D1542" s="23" t="s">
        <v>29</v>
      </c>
      <c r="E1542" s="23" t="s">
        <v>19</v>
      </c>
      <c r="F1542" s="23" t="s">
        <v>23</v>
      </c>
      <c r="G1542" s="23" t="s">
        <v>14</v>
      </c>
      <c r="H1542" s="23" t="s">
        <v>41</v>
      </c>
      <c r="I1542" s="23" t="s">
        <v>22</v>
      </c>
      <c r="J1542" s="24">
        <v>220000</v>
      </c>
      <c r="K1542" s="23">
        <v>5</v>
      </c>
      <c r="L1542" s="23" t="s">
        <v>17</v>
      </c>
      <c r="M1542" s="25">
        <f t="shared" si="49"/>
        <v>176000</v>
      </c>
      <c r="N1542" s="25">
        <f>'Working Sheet'!$J1542*'Working Sheet'!$K1542</f>
        <v>1100000</v>
      </c>
      <c r="O1542" s="26">
        <f>'Working Sheet'!$M1542*'Working Sheet'!$K1542</f>
        <v>880000</v>
      </c>
      <c r="P1542" s="25">
        <f>'Working Sheet'!$N1542-'Working Sheet'!$O1542</f>
        <v>220000</v>
      </c>
    </row>
    <row r="1543" spans="1:16" ht="14.25" customHeight="1" x14ac:dyDescent="0.25">
      <c r="A1543" s="18" t="str">
        <f t="shared" ca="1" si="48"/>
        <v>ID_1959</v>
      </c>
      <c r="B1543" s="17">
        <v>45703</v>
      </c>
      <c r="C1543" s="18" t="str">
        <f>TEXT('Working Sheet'!$B1543,"mmm")</f>
        <v>Feb</v>
      </c>
      <c r="D1543" s="18" t="s">
        <v>18</v>
      </c>
      <c r="E1543" s="18" t="s">
        <v>19</v>
      </c>
      <c r="F1543" s="18" t="s">
        <v>23</v>
      </c>
      <c r="G1543" s="18" t="s">
        <v>14</v>
      </c>
      <c r="H1543" s="18" t="s">
        <v>41</v>
      </c>
      <c r="I1543" s="18" t="s">
        <v>22</v>
      </c>
      <c r="J1543" s="19">
        <v>220000</v>
      </c>
      <c r="K1543" s="18">
        <v>2</v>
      </c>
      <c r="L1543" s="18" t="s">
        <v>17</v>
      </c>
      <c r="M1543" s="20">
        <f t="shared" si="49"/>
        <v>176000</v>
      </c>
      <c r="N1543" s="20">
        <f>'Working Sheet'!$J1543*'Working Sheet'!$K1543</f>
        <v>440000</v>
      </c>
      <c r="O1543" s="21">
        <f>'Working Sheet'!$M1543*'Working Sheet'!$K1543</f>
        <v>352000</v>
      </c>
      <c r="P1543" s="20">
        <f>'Working Sheet'!$N1543-'Working Sheet'!$O1543</f>
        <v>88000</v>
      </c>
    </row>
    <row r="1544" spans="1:16" ht="14.25" customHeight="1" x14ac:dyDescent="0.25">
      <c r="A1544" s="23" t="str">
        <f t="shared" ca="1" si="48"/>
        <v>ID_1200</v>
      </c>
      <c r="B1544" s="22">
        <v>45673</v>
      </c>
      <c r="C1544" s="23" t="str">
        <f>TEXT('Working Sheet'!$B1544,"mmm")</f>
        <v>Jan</v>
      </c>
      <c r="D1544" s="23" t="s">
        <v>11</v>
      </c>
      <c r="E1544" s="23" t="s">
        <v>12</v>
      </c>
      <c r="F1544" s="23" t="s">
        <v>13</v>
      </c>
      <c r="G1544" s="23" t="s">
        <v>20</v>
      </c>
      <c r="H1544" s="23" t="s">
        <v>36</v>
      </c>
      <c r="I1544" s="23" t="s">
        <v>31</v>
      </c>
      <c r="J1544" s="24">
        <v>150000</v>
      </c>
      <c r="K1544" s="23">
        <v>10</v>
      </c>
      <c r="L1544" s="23" t="s">
        <v>24</v>
      </c>
      <c r="M1544" s="25">
        <f t="shared" si="49"/>
        <v>120000</v>
      </c>
      <c r="N1544" s="25">
        <f>'Working Sheet'!$J1544*'Working Sheet'!$K1544</f>
        <v>1500000</v>
      </c>
      <c r="O1544" s="26">
        <f>'Working Sheet'!$M1544*'Working Sheet'!$K1544</f>
        <v>1200000</v>
      </c>
      <c r="P1544" s="25">
        <f>'Working Sheet'!$N1544-'Working Sheet'!$O1544</f>
        <v>300000</v>
      </c>
    </row>
    <row r="1545" spans="1:16" ht="14.25" customHeight="1" x14ac:dyDescent="0.25">
      <c r="A1545" s="18" t="str">
        <f t="shared" ca="1" si="48"/>
        <v>ID_1587</v>
      </c>
      <c r="B1545" s="17">
        <v>45761</v>
      </c>
      <c r="C1545" s="18" t="str">
        <f>TEXT('Working Sheet'!$B1545,"mmm")</f>
        <v>Apr</v>
      </c>
      <c r="D1545" s="18" t="s">
        <v>29</v>
      </c>
      <c r="E1545" s="18" t="s">
        <v>26</v>
      </c>
      <c r="F1545" s="18" t="s">
        <v>13</v>
      </c>
      <c r="G1545" s="18" t="s">
        <v>20</v>
      </c>
      <c r="H1545" s="18" t="s">
        <v>21</v>
      </c>
      <c r="I1545" s="18" t="s">
        <v>22</v>
      </c>
      <c r="J1545" s="19">
        <v>30000</v>
      </c>
      <c r="K1545" s="18">
        <v>8</v>
      </c>
      <c r="L1545" s="18" t="s">
        <v>39</v>
      </c>
      <c r="M1545" s="20">
        <f t="shared" si="49"/>
        <v>24000</v>
      </c>
      <c r="N1545" s="20">
        <f>'Working Sheet'!$J1545*'Working Sheet'!$K1545</f>
        <v>240000</v>
      </c>
      <c r="O1545" s="21">
        <f>'Working Sheet'!$M1545*'Working Sheet'!$K1545</f>
        <v>192000</v>
      </c>
      <c r="P1545" s="20">
        <f>'Working Sheet'!$N1545-'Working Sheet'!$O1545</f>
        <v>48000</v>
      </c>
    </row>
    <row r="1546" spans="1:16" ht="14.25" customHeight="1" x14ac:dyDescent="0.25">
      <c r="A1546" s="23" t="str">
        <f t="shared" ca="1" si="48"/>
        <v>ID_1750</v>
      </c>
      <c r="B1546" s="22">
        <v>45761</v>
      </c>
      <c r="C1546" s="23" t="str">
        <f>TEXT('Working Sheet'!$B1546,"mmm")</f>
        <v>Apr</v>
      </c>
      <c r="D1546" s="23" t="s">
        <v>18</v>
      </c>
      <c r="E1546" s="23" t="s">
        <v>19</v>
      </c>
      <c r="F1546" s="23" t="s">
        <v>13</v>
      </c>
      <c r="G1546" s="23" t="s">
        <v>20</v>
      </c>
      <c r="H1546" s="23" t="s">
        <v>21</v>
      </c>
      <c r="I1546" s="23" t="s">
        <v>22</v>
      </c>
      <c r="J1546" s="24">
        <v>30000</v>
      </c>
      <c r="K1546" s="23">
        <v>9</v>
      </c>
      <c r="L1546" s="23" t="s">
        <v>35</v>
      </c>
      <c r="M1546" s="25">
        <f t="shared" si="49"/>
        <v>24000</v>
      </c>
      <c r="N1546" s="25">
        <f>'Working Sheet'!$J1546*'Working Sheet'!$K1546</f>
        <v>270000</v>
      </c>
      <c r="O1546" s="26">
        <f>'Working Sheet'!$M1546*'Working Sheet'!$K1546</f>
        <v>216000</v>
      </c>
      <c r="P1546" s="25">
        <f>'Working Sheet'!$N1546-'Working Sheet'!$O1546</f>
        <v>54000</v>
      </c>
    </row>
    <row r="1547" spans="1:16" ht="14.25" customHeight="1" x14ac:dyDescent="0.25">
      <c r="A1547" s="18" t="str">
        <f t="shared" ca="1" si="48"/>
        <v>ID_946</v>
      </c>
      <c r="B1547" s="17">
        <v>45753</v>
      </c>
      <c r="C1547" s="18" t="str">
        <f>TEXT('Working Sheet'!$B1547,"mmm")</f>
        <v>Apr</v>
      </c>
      <c r="D1547" s="18" t="s">
        <v>18</v>
      </c>
      <c r="E1547" s="18" t="s">
        <v>12</v>
      </c>
      <c r="F1547" s="18" t="s">
        <v>13</v>
      </c>
      <c r="G1547" s="18" t="s">
        <v>20</v>
      </c>
      <c r="H1547" s="18" t="s">
        <v>36</v>
      </c>
      <c r="I1547" s="18" t="s">
        <v>31</v>
      </c>
      <c r="J1547" s="19">
        <v>150000</v>
      </c>
      <c r="K1547" s="18">
        <v>3</v>
      </c>
      <c r="L1547" s="18" t="s">
        <v>24</v>
      </c>
      <c r="M1547" s="20">
        <f t="shared" si="49"/>
        <v>120000</v>
      </c>
      <c r="N1547" s="20">
        <f>'Working Sheet'!$J1547*'Working Sheet'!$K1547</f>
        <v>450000</v>
      </c>
      <c r="O1547" s="21">
        <f>'Working Sheet'!$M1547*'Working Sheet'!$K1547</f>
        <v>360000</v>
      </c>
      <c r="P1547" s="20">
        <f>'Working Sheet'!$N1547-'Working Sheet'!$O1547</f>
        <v>90000</v>
      </c>
    </row>
    <row r="1548" spans="1:16" ht="14.25" customHeight="1" x14ac:dyDescent="0.25">
      <c r="A1548" s="23" t="str">
        <f t="shared" ca="1" si="48"/>
        <v>ID_1325</v>
      </c>
      <c r="B1548" s="22">
        <v>45699</v>
      </c>
      <c r="C1548" s="23" t="str">
        <f>TEXT('Working Sheet'!$B1548,"mmm")</f>
        <v>Feb</v>
      </c>
      <c r="D1548" s="23" t="s">
        <v>18</v>
      </c>
      <c r="E1548" s="23" t="s">
        <v>12</v>
      </c>
      <c r="F1548" s="23" t="s">
        <v>23</v>
      </c>
      <c r="G1548" s="23" t="s">
        <v>14</v>
      </c>
      <c r="H1548" s="23" t="s">
        <v>27</v>
      </c>
      <c r="I1548" s="23" t="s">
        <v>22</v>
      </c>
      <c r="J1548" s="24">
        <v>60000</v>
      </c>
      <c r="K1548" s="23">
        <v>6</v>
      </c>
      <c r="L1548" s="23" t="s">
        <v>28</v>
      </c>
      <c r="M1548" s="25">
        <f t="shared" si="49"/>
        <v>48000</v>
      </c>
      <c r="N1548" s="25">
        <f>'Working Sheet'!$J1548*'Working Sheet'!$K1548</f>
        <v>360000</v>
      </c>
      <c r="O1548" s="26">
        <f>'Working Sheet'!$M1548*'Working Sheet'!$K1548</f>
        <v>288000</v>
      </c>
      <c r="P1548" s="25">
        <f>'Working Sheet'!$N1548-'Working Sheet'!$O1548</f>
        <v>72000</v>
      </c>
    </row>
    <row r="1549" spans="1:16" ht="14.25" customHeight="1" x14ac:dyDescent="0.25">
      <c r="A1549" s="18" t="str">
        <f t="shared" ca="1" si="48"/>
        <v>ID_1773</v>
      </c>
      <c r="B1549" s="17">
        <v>45702</v>
      </c>
      <c r="C1549" s="18" t="str">
        <f>TEXT('Working Sheet'!$B1549,"mmm")</f>
        <v>Feb</v>
      </c>
      <c r="D1549" s="18" t="s">
        <v>18</v>
      </c>
      <c r="E1549" s="18" t="s">
        <v>12</v>
      </c>
      <c r="F1549" s="18" t="s">
        <v>23</v>
      </c>
      <c r="G1549" s="18" t="s">
        <v>20</v>
      </c>
      <c r="H1549" s="18" t="s">
        <v>40</v>
      </c>
      <c r="I1549" s="18" t="s">
        <v>31</v>
      </c>
      <c r="J1549" s="19">
        <v>250000</v>
      </c>
      <c r="K1549" s="18">
        <v>1</v>
      </c>
      <c r="L1549" s="18" t="s">
        <v>28</v>
      </c>
      <c r="M1549" s="20">
        <f t="shared" si="49"/>
        <v>200000</v>
      </c>
      <c r="N1549" s="20">
        <f>'Working Sheet'!$J1549*'Working Sheet'!$K1549</f>
        <v>250000</v>
      </c>
      <c r="O1549" s="21">
        <f>'Working Sheet'!$M1549*'Working Sheet'!$K1549</f>
        <v>200000</v>
      </c>
      <c r="P1549" s="20">
        <f>'Working Sheet'!$N1549-'Working Sheet'!$O1549</f>
        <v>50000</v>
      </c>
    </row>
    <row r="1550" spans="1:16" ht="14.25" customHeight="1" x14ac:dyDescent="0.25">
      <c r="A1550" s="23" t="str">
        <f t="shared" ca="1" si="48"/>
        <v>ID_1640</v>
      </c>
      <c r="B1550" s="22">
        <v>45772</v>
      </c>
      <c r="C1550" s="23" t="str">
        <f>TEXT('Working Sheet'!$B1550,"mmm")</f>
        <v>Apr</v>
      </c>
      <c r="D1550" s="23" t="s">
        <v>11</v>
      </c>
      <c r="E1550" s="23" t="s">
        <v>26</v>
      </c>
      <c r="F1550" s="23" t="s">
        <v>13</v>
      </c>
      <c r="G1550" s="23" t="s">
        <v>20</v>
      </c>
      <c r="H1550" s="23" t="s">
        <v>15</v>
      </c>
      <c r="I1550" s="23" t="s">
        <v>16</v>
      </c>
      <c r="J1550" s="24">
        <v>85000</v>
      </c>
      <c r="K1550" s="23">
        <v>8</v>
      </c>
      <c r="L1550" s="23" t="s">
        <v>28</v>
      </c>
      <c r="M1550" s="25">
        <f t="shared" si="49"/>
        <v>68000</v>
      </c>
      <c r="N1550" s="25">
        <f>'Working Sheet'!$J1550*'Working Sheet'!$K1550</f>
        <v>680000</v>
      </c>
      <c r="O1550" s="26">
        <f>'Working Sheet'!$M1550*'Working Sheet'!$K1550</f>
        <v>544000</v>
      </c>
      <c r="P1550" s="25">
        <f>'Working Sheet'!$N1550-'Working Sheet'!$O1550</f>
        <v>136000</v>
      </c>
    </row>
    <row r="1551" spans="1:16" ht="14.25" customHeight="1" x14ac:dyDescent="0.25">
      <c r="A1551" s="18" t="str">
        <f t="shared" ca="1" si="48"/>
        <v>ID_1239</v>
      </c>
      <c r="B1551" s="17">
        <v>45697</v>
      </c>
      <c r="C1551" s="18" t="str">
        <f>TEXT('Working Sheet'!$B1551,"mmm")</f>
        <v>Feb</v>
      </c>
      <c r="D1551" s="18" t="s">
        <v>29</v>
      </c>
      <c r="E1551" s="18" t="s">
        <v>12</v>
      </c>
      <c r="F1551" s="18" t="s">
        <v>13</v>
      </c>
      <c r="G1551" s="18" t="s">
        <v>20</v>
      </c>
      <c r="H1551" s="18" t="s">
        <v>33</v>
      </c>
      <c r="I1551" s="18" t="s">
        <v>22</v>
      </c>
      <c r="J1551" s="19">
        <v>180000</v>
      </c>
      <c r="K1551" s="18">
        <v>8</v>
      </c>
      <c r="L1551" s="18" t="s">
        <v>28</v>
      </c>
      <c r="M1551" s="20">
        <f t="shared" si="49"/>
        <v>144000</v>
      </c>
      <c r="N1551" s="20">
        <f>'Working Sheet'!$J1551*'Working Sheet'!$K1551</f>
        <v>1440000</v>
      </c>
      <c r="O1551" s="21">
        <f>'Working Sheet'!$M1551*'Working Sheet'!$K1551</f>
        <v>1152000</v>
      </c>
      <c r="P1551" s="20">
        <f>'Working Sheet'!$N1551-'Working Sheet'!$O1551</f>
        <v>288000</v>
      </c>
    </row>
    <row r="1552" spans="1:16" ht="14.25" customHeight="1" x14ac:dyDescent="0.25">
      <c r="A1552" s="23" t="str">
        <f t="shared" ca="1" si="48"/>
        <v>ID_393</v>
      </c>
      <c r="B1552" s="22">
        <v>45729</v>
      </c>
      <c r="C1552" s="23" t="str">
        <f>TEXT('Working Sheet'!$B1552,"mmm")</f>
        <v>Mar</v>
      </c>
      <c r="D1552" s="23" t="s">
        <v>18</v>
      </c>
      <c r="E1552" s="23" t="s">
        <v>32</v>
      </c>
      <c r="F1552" s="23" t="s">
        <v>23</v>
      </c>
      <c r="G1552" s="23" t="s">
        <v>20</v>
      </c>
      <c r="H1552" s="23" t="s">
        <v>41</v>
      </c>
      <c r="I1552" s="23" t="s">
        <v>22</v>
      </c>
      <c r="J1552" s="24">
        <v>220000</v>
      </c>
      <c r="K1552" s="23">
        <v>9</v>
      </c>
      <c r="L1552" s="23" t="s">
        <v>37</v>
      </c>
      <c r="M1552" s="25">
        <f t="shared" si="49"/>
        <v>176000</v>
      </c>
      <c r="N1552" s="25">
        <f>'Working Sheet'!$J1552*'Working Sheet'!$K1552</f>
        <v>1980000</v>
      </c>
      <c r="O1552" s="26">
        <f>'Working Sheet'!$M1552*'Working Sheet'!$K1552</f>
        <v>1584000</v>
      </c>
      <c r="P1552" s="25">
        <f>'Working Sheet'!$N1552-'Working Sheet'!$O1552</f>
        <v>396000</v>
      </c>
    </row>
    <row r="1553" spans="1:16" ht="14.25" customHeight="1" x14ac:dyDescent="0.25">
      <c r="A1553" s="18" t="str">
        <f t="shared" ca="1" si="48"/>
        <v>ID_1540</v>
      </c>
      <c r="B1553" s="17">
        <v>45661</v>
      </c>
      <c r="C1553" s="18" t="str">
        <f>TEXT('Working Sheet'!$B1553,"mmm")</f>
        <v>Jan</v>
      </c>
      <c r="D1553" s="18" t="s">
        <v>11</v>
      </c>
      <c r="E1553" s="18" t="s">
        <v>12</v>
      </c>
      <c r="F1553" s="18" t="s">
        <v>13</v>
      </c>
      <c r="G1553" s="18" t="s">
        <v>20</v>
      </c>
      <c r="H1553" s="18" t="s">
        <v>40</v>
      </c>
      <c r="I1553" s="18" t="s">
        <v>31</v>
      </c>
      <c r="J1553" s="19">
        <v>250000</v>
      </c>
      <c r="K1553" s="18">
        <v>3</v>
      </c>
      <c r="L1553" s="18" t="s">
        <v>28</v>
      </c>
      <c r="M1553" s="20">
        <f t="shared" si="49"/>
        <v>200000</v>
      </c>
      <c r="N1553" s="20">
        <f>'Working Sheet'!$J1553*'Working Sheet'!$K1553</f>
        <v>750000</v>
      </c>
      <c r="O1553" s="21">
        <f>'Working Sheet'!$M1553*'Working Sheet'!$K1553</f>
        <v>600000</v>
      </c>
      <c r="P1553" s="20">
        <f>'Working Sheet'!$N1553-'Working Sheet'!$O1553</f>
        <v>150000</v>
      </c>
    </row>
    <row r="1554" spans="1:16" ht="14.25" customHeight="1" x14ac:dyDescent="0.25">
      <c r="A1554" s="23" t="str">
        <f t="shared" ca="1" si="48"/>
        <v>ID_200</v>
      </c>
      <c r="B1554" s="22">
        <v>45715</v>
      </c>
      <c r="C1554" s="23" t="str">
        <f>TEXT('Working Sheet'!$B1554,"mmm")</f>
        <v>Feb</v>
      </c>
      <c r="D1554" s="23" t="s">
        <v>29</v>
      </c>
      <c r="E1554" s="23" t="s">
        <v>32</v>
      </c>
      <c r="F1554" s="23" t="s">
        <v>13</v>
      </c>
      <c r="G1554" s="23" t="s">
        <v>14</v>
      </c>
      <c r="H1554" s="23" t="s">
        <v>38</v>
      </c>
      <c r="I1554" s="23" t="s">
        <v>31</v>
      </c>
      <c r="J1554" s="24">
        <v>420000</v>
      </c>
      <c r="K1554" s="23">
        <v>6</v>
      </c>
      <c r="L1554" s="23" t="s">
        <v>39</v>
      </c>
      <c r="M1554" s="25">
        <f t="shared" si="49"/>
        <v>336000</v>
      </c>
      <c r="N1554" s="25">
        <f>'Working Sheet'!$J1554*'Working Sheet'!$K1554</f>
        <v>2520000</v>
      </c>
      <c r="O1554" s="26">
        <f>'Working Sheet'!$M1554*'Working Sheet'!$K1554</f>
        <v>2016000</v>
      </c>
      <c r="P1554" s="25">
        <f>'Working Sheet'!$N1554-'Working Sheet'!$O1554</f>
        <v>504000</v>
      </c>
    </row>
    <row r="1555" spans="1:16" ht="14.25" customHeight="1" x14ac:dyDescent="0.25">
      <c r="A1555" s="18" t="str">
        <f t="shared" ca="1" si="48"/>
        <v>ID_865</v>
      </c>
      <c r="B1555" s="17">
        <v>45693</v>
      </c>
      <c r="C1555" s="18" t="str">
        <f>TEXT('Working Sheet'!$B1555,"mmm")</f>
        <v>Feb</v>
      </c>
      <c r="D1555" s="18" t="s">
        <v>18</v>
      </c>
      <c r="E1555" s="18" t="s">
        <v>19</v>
      </c>
      <c r="F1555" s="18" t="s">
        <v>23</v>
      </c>
      <c r="G1555" s="18" t="s">
        <v>20</v>
      </c>
      <c r="H1555" s="18" t="s">
        <v>33</v>
      </c>
      <c r="I1555" s="18" t="s">
        <v>22</v>
      </c>
      <c r="J1555" s="19">
        <v>180000</v>
      </c>
      <c r="K1555" s="18">
        <v>3</v>
      </c>
      <c r="L1555" s="18" t="s">
        <v>17</v>
      </c>
      <c r="M1555" s="20">
        <f t="shared" si="49"/>
        <v>144000</v>
      </c>
      <c r="N1555" s="20">
        <f>'Working Sheet'!$J1555*'Working Sheet'!$K1555</f>
        <v>540000</v>
      </c>
      <c r="O1555" s="21">
        <f>'Working Sheet'!$M1555*'Working Sheet'!$K1555</f>
        <v>432000</v>
      </c>
      <c r="P1555" s="20">
        <f>'Working Sheet'!$N1555-'Working Sheet'!$O1555</f>
        <v>108000</v>
      </c>
    </row>
    <row r="1556" spans="1:16" ht="14.25" customHeight="1" x14ac:dyDescent="0.25">
      <c r="A1556" s="23" t="str">
        <f t="shared" ca="1" si="48"/>
        <v>ID_989</v>
      </c>
      <c r="B1556" s="22">
        <v>45716</v>
      </c>
      <c r="C1556" s="23" t="str">
        <f>TEXT('Working Sheet'!$B1556,"mmm")</f>
        <v>Feb</v>
      </c>
      <c r="D1556" s="23" t="s">
        <v>25</v>
      </c>
      <c r="E1556" s="23" t="s">
        <v>26</v>
      </c>
      <c r="F1556" s="23" t="s">
        <v>23</v>
      </c>
      <c r="G1556" s="23" t="s">
        <v>20</v>
      </c>
      <c r="H1556" s="23" t="s">
        <v>33</v>
      </c>
      <c r="I1556" s="23" t="s">
        <v>22</v>
      </c>
      <c r="J1556" s="24">
        <v>180000</v>
      </c>
      <c r="K1556" s="23">
        <v>9</v>
      </c>
      <c r="L1556" s="23" t="s">
        <v>17</v>
      </c>
      <c r="M1556" s="25">
        <f t="shared" si="49"/>
        <v>144000</v>
      </c>
      <c r="N1556" s="25">
        <f>'Working Sheet'!$J1556*'Working Sheet'!$K1556</f>
        <v>1620000</v>
      </c>
      <c r="O1556" s="26">
        <f>'Working Sheet'!$M1556*'Working Sheet'!$K1556</f>
        <v>1296000</v>
      </c>
      <c r="P1556" s="25">
        <f>'Working Sheet'!$N1556-'Working Sheet'!$O1556</f>
        <v>324000</v>
      </c>
    </row>
    <row r="1557" spans="1:16" ht="14.25" customHeight="1" x14ac:dyDescent="0.25">
      <c r="A1557" s="18" t="str">
        <f t="shared" ca="1" si="48"/>
        <v>ID_20</v>
      </c>
      <c r="B1557" s="17">
        <v>45676</v>
      </c>
      <c r="C1557" s="18" t="str">
        <f>TEXT('Working Sheet'!$B1557,"mmm")</f>
        <v>Jan</v>
      </c>
      <c r="D1557" s="18" t="s">
        <v>18</v>
      </c>
      <c r="E1557" s="18" t="s">
        <v>26</v>
      </c>
      <c r="F1557" s="18" t="s">
        <v>13</v>
      </c>
      <c r="G1557" s="18" t="s">
        <v>14</v>
      </c>
      <c r="H1557" s="18" t="s">
        <v>38</v>
      </c>
      <c r="I1557" s="18" t="s">
        <v>31</v>
      </c>
      <c r="J1557" s="19">
        <v>420000</v>
      </c>
      <c r="K1557" s="18">
        <v>5</v>
      </c>
      <c r="L1557" s="18" t="s">
        <v>17</v>
      </c>
      <c r="M1557" s="20">
        <f t="shared" si="49"/>
        <v>336000</v>
      </c>
      <c r="N1557" s="20">
        <f>'Working Sheet'!$J1557*'Working Sheet'!$K1557</f>
        <v>2100000</v>
      </c>
      <c r="O1557" s="21">
        <f>'Working Sheet'!$M1557*'Working Sheet'!$K1557</f>
        <v>1680000</v>
      </c>
      <c r="P1557" s="20">
        <f>'Working Sheet'!$N1557-'Working Sheet'!$O1557</f>
        <v>420000</v>
      </c>
    </row>
    <row r="1558" spans="1:16" ht="14.25" customHeight="1" x14ac:dyDescent="0.25">
      <c r="A1558" s="23" t="str">
        <f t="shared" ca="1" si="48"/>
        <v>ID_552</v>
      </c>
      <c r="B1558" s="22">
        <v>45699</v>
      </c>
      <c r="C1558" s="23" t="str">
        <f>TEXT('Working Sheet'!$B1558,"mmm")</f>
        <v>Feb</v>
      </c>
      <c r="D1558" s="23" t="s">
        <v>29</v>
      </c>
      <c r="E1558" s="23" t="s">
        <v>26</v>
      </c>
      <c r="F1558" s="23" t="s">
        <v>13</v>
      </c>
      <c r="G1558" s="23" t="s">
        <v>20</v>
      </c>
      <c r="H1558" s="23" t="s">
        <v>33</v>
      </c>
      <c r="I1558" s="23" t="s">
        <v>22</v>
      </c>
      <c r="J1558" s="24">
        <v>180000</v>
      </c>
      <c r="K1558" s="23">
        <v>6</v>
      </c>
      <c r="L1558" s="23" t="s">
        <v>39</v>
      </c>
      <c r="M1558" s="25">
        <f t="shared" si="49"/>
        <v>144000</v>
      </c>
      <c r="N1558" s="25">
        <f>'Working Sheet'!$J1558*'Working Sheet'!$K1558</f>
        <v>1080000</v>
      </c>
      <c r="O1558" s="26">
        <f>'Working Sheet'!$M1558*'Working Sheet'!$K1558</f>
        <v>864000</v>
      </c>
      <c r="P1558" s="25">
        <f>'Working Sheet'!$N1558-'Working Sheet'!$O1558</f>
        <v>216000</v>
      </c>
    </row>
    <row r="1559" spans="1:16" ht="14.25" customHeight="1" x14ac:dyDescent="0.25">
      <c r="A1559" s="18" t="str">
        <f t="shared" ca="1" si="48"/>
        <v>ID_1205</v>
      </c>
      <c r="B1559" s="17">
        <v>45707</v>
      </c>
      <c r="C1559" s="18" t="str">
        <f>TEXT('Working Sheet'!$B1559,"mmm")</f>
        <v>Feb</v>
      </c>
      <c r="D1559" s="18" t="s">
        <v>18</v>
      </c>
      <c r="E1559" s="18" t="s">
        <v>26</v>
      </c>
      <c r="F1559" s="18" t="s">
        <v>23</v>
      </c>
      <c r="G1559" s="18" t="s">
        <v>14</v>
      </c>
      <c r="H1559" s="18" t="s">
        <v>30</v>
      </c>
      <c r="I1559" s="18" t="s">
        <v>31</v>
      </c>
      <c r="J1559" s="19">
        <v>300000</v>
      </c>
      <c r="K1559" s="18">
        <v>3</v>
      </c>
      <c r="L1559" s="18" t="s">
        <v>28</v>
      </c>
      <c r="M1559" s="20">
        <f t="shared" si="49"/>
        <v>240000</v>
      </c>
      <c r="N1559" s="20">
        <f>'Working Sheet'!$J1559*'Working Sheet'!$K1559</f>
        <v>900000</v>
      </c>
      <c r="O1559" s="21">
        <f>'Working Sheet'!$M1559*'Working Sheet'!$K1559</f>
        <v>720000</v>
      </c>
      <c r="P1559" s="20">
        <f>'Working Sheet'!$N1559-'Working Sheet'!$O1559</f>
        <v>180000</v>
      </c>
    </row>
    <row r="1560" spans="1:16" ht="14.25" customHeight="1" x14ac:dyDescent="0.25">
      <c r="A1560" s="23" t="str">
        <f t="shared" ca="1" si="48"/>
        <v>ID_1862</v>
      </c>
      <c r="B1560" s="22">
        <v>45727</v>
      </c>
      <c r="C1560" s="23" t="str">
        <f>TEXT('Working Sheet'!$B1560,"mmm")</f>
        <v>Mar</v>
      </c>
      <c r="D1560" s="23" t="s">
        <v>11</v>
      </c>
      <c r="E1560" s="23" t="s">
        <v>26</v>
      </c>
      <c r="F1560" s="23" t="s">
        <v>13</v>
      </c>
      <c r="G1560" s="23" t="s">
        <v>14</v>
      </c>
      <c r="H1560" s="23" t="s">
        <v>41</v>
      </c>
      <c r="I1560" s="23" t="s">
        <v>22</v>
      </c>
      <c r="J1560" s="24">
        <v>220000</v>
      </c>
      <c r="K1560" s="23">
        <v>7</v>
      </c>
      <c r="L1560" s="23" t="s">
        <v>17</v>
      </c>
      <c r="M1560" s="25">
        <f t="shared" si="49"/>
        <v>176000</v>
      </c>
      <c r="N1560" s="25">
        <f>'Working Sheet'!$J1560*'Working Sheet'!$K1560</f>
        <v>1540000</v>
      </c>
      <c r="O1560" s="26">
        <f>'Working Sheet'!$M1560*'Working Sheet'!$K1560</f>
        <v>1232000</v>
      </c>
      <c r="P1560" s="25">
        <f>'Working Sheet'!$N1560-'Working Sheet'!$O1560</f>
        <v>308000</v>
      </c>
    </row>
    <row r="1561" spans="1:16" ht="14.25" customHeight="1" x14ac:dyDescent="0.25">
      <c r="A1561" s="18" t="str">
        <f t="shared" ca="1" si="48"/>
        <v>ID_1143</v>
      </c>
      <c r="B1561" s="17">
        <v>45777</v>
      </c>
      <c r="C1561" s="18" t="str">
        <f>TEXT('Working Sheet'!$B1561,"mmm")</f>
        <v>Apr</v>
      </c>
      <c r="D1561" s="18" t="s">
        <v>25</v>
      </c>
      <c r="E1561" s="18" t="s">
        <v>19</v>
      </c>
      <c r="F1561" s="18" t="s">
        <v>13</v>
      </c>
      <c r="G1561" s="18" t="s">
        <v>14</v>
      </c>
      <c r="H1561" s="18" t="s">
        <v>27</v>
      </c>
      <c r="I1561" s="18" t="s">
        <v>22</v>
      </c>
      <c r="J1561" s="19">
        <v>60000</v>
      </c>
      <c r="K1561" s="18">
        <v>2</v>
      </c>
      <c r="L1561" s="18" t="s">
        <v>17</v>
      </c>
      <c r="M1561" s="20">
        <f t="shared" si="49"/>
        <v>48000</v>
      </c>
      <c r="N1561" s="20">
        <f>'Working Sheet'!$J1561*'Working Sheet'!$K1561</f>
        <v>120000</v>
      </c>
      <c r="O1561" s="21">
        <f>'Working Sheet'!$M1561*'Working Sheet'!$K1561</f>
        <v>96000</v>
      </c>
      <c r="P1561" s="20">
        <f>'Working Sheet'!$N1561-'Working Sheet'!$O1561</f>
        <v>24000</v>
      </c>
    </row>
    <row r="1562" spans="1:16" ht="14.25" customHeight="1" x14ac:dyDescent="0.25">
      <c r="A1562" s="23" t="str">
        <f t="shared" ca="1" si="48"/>
        <v>ID_515</v>
      </c>
      <c r="B1562" s="22">
        <v>45699</v>
      </c>
      <c r="C1562" s="23" t="str">
        <f>TEXT('Working Sheet'!$B1562,"mmm")</f>
        <v>Feb</v>
      </c>
      <c r="D1562" s="23" t="s">
        <v>25</v>
      </c>
      <c r="E1562" s="23" t="s">
        <v>19</v>
      </c>
      <c r="F1562" s="23" t="s">
        <v>23</v>
      </c>
      <c r="G1562" s="23" t="s">
        <v>14</v>
      </c>
      <c r="H1562" s="23" t="s">
        <v>21</v>
      </c>
      <c r="I1562" s="23" t="s">
        <v>22</v>
      </c>
      <c r="J1562" s="24">
        <v>30000</v>
      </c>
      <c r="K1562" s="23">
        <v>4</v>
      </c>
      <c r="L1562" s="23" t="s">
        <v>35</v>
      </c>
      <c r="M1562" s="25">
        <f t="shared" si="49"/>
        <v>24000</v>
      </c>
      <c r="N1562" s="25">
        <f>'Working Sheet'!$J1562*'Working Sheet'!$K1562</f>
        <v>120000</v>
      </c>
      <c r="O1562" s="26">
        <f>'Working Sheet'!$M1562*'Working Sheet'!$K1562</f>
        <v>96000</v>
      </c>
      <c r="P1562" s="25">
        <f>'Working Sheet'!$N1562-'Working Sheet'!$O1562</f>
        <v>24000</v>
      </c>
    </row>
    <row r="1563" spans="1:16" ht="14.25" customHeight="1" x14ac:dyDescent="0.25">
      <c r="A1563" s="18" t="str">
        <f t="shared" ca="1" si="48"/>
        <v>ID_817</v>
      </c>
      <c r="B1563" s="17">
        <v>45684</v>
      </c>
      <c r="C1563" s="18" t="str">
        <f>TEXT('Working Sheet'!$B1563,"mmm")</f>
        <v>Jan</v>
      </c>
      <c r="D1563" s="18" t="s">
        <v>11</v>
      </c>
      <c r="E1563" s="18" t="s">
        <v>19</v>
      </c>
      <c r="F1563" s="18" t="s">
        <v>23</v>
      </c>
      <c r="G1563" s="18" t="s">
        <v>20</v>
      </c>
      <c r="H1563" s="18" t="s">
        <v>34</v>
      </c>
      <c r="I1563" s="18" t="s">
        <v>16</v>
      </c>
      <c r="J1563" s="19">
        <v>320000</v>
      </c>
      <c r="K1563" s="18">
        <v>8</v>
      </c>
      <c r="L1563" s="18" t="s">
        <v>35</v>
      </c>
      <c r="M1563" s="20">
        <f t="shared" si="49"/>
        <v>256000</v>
      </c>
      <c r="N1563" s="20">
        <f>'Working Sheet'!$J1563*'Working Sheet'!$K1563</f>
        <v>2560000</v>
      </c>
      <c r="O1563" s="21">
        <f>'Working Sheet'!$M1563*'Working Sheet'!$K1563</f>
        <v>2048000</v>
      </c>
      <c r="P1563" s="20">
        <f>'Working Sheet'!$N1563-'Working Sheet'!$O1563</f>
        <v>512000</v>
      </c>
    </row>
    <row r="1564" spans="1:16" ht="14.25" customHeight="1" x14ac:dyDescent="0.25">
      <c r="A1564" s="23" t="str">
        <f t="shared" ca="1" si="48"/>
        <v>ID_526</v>
      </c>
      <c r="B1564" s="22">
        <v>45773</v>
      </c>
      <c r="C1564" s="23" t="str">
        <f>TEXT('Working Sheet'!$B1564,"mmm")</f>
        <v>Apr</v>
      </c>
      <c r="D1564" s="23" t="s">
        <v>11</v>
      </c>
      <c r="E1564" s="23" t="s">
        <v>32</v>
      </c>
      <c r="F1564" s="23" t="s">
        <v>23</v>
      </c>
      <c r="G1564" s="23" t="s">
        <v>20</v>
      </c>
      <c r="H1564" s="23" t="s">
        <v>33</v>
      </c>
      <c r="I1564" s="23" t="s">
        <v>22</v>
      </c>
      <c r="J1564" s="24">
        <v>180000</v>
      </c>
      <c r="K1564" s="23">
        <v>5</v>
      </c>
      <c r="L1564" s="23" t="s">
        <v>28</v>
      </c>
      <c r="M1564" s="25">
        <f t="shared" si="49"/>
        <v>144000</v>
      </c>
      <c r="N1564" s="25">
        <f>'Working Sheet'!$J1564*'Working Sheet'!$K1564</f>
        <v>900000</v>
      </c>
      <c r="O1564" s="26">
        <f>'Working Sheet'!$M1564*'Working Sheet'!$K1564</f>
        <v>720000</v>
      </c>
      <c r="P1564" s="25">
        <f>'Working Sheet'!$N1564-'Working Sheet'!$O1564</f>
        <v>180000</v>
      </c>
    </row>
    <row r="1565" spans="1:16" ht="14.25" customHeight="1" x14ac:dyDescent="0.25">
      <c r="A1565" s="18" t="str">
        <f t="shared" ca="1" si="48"/>
        <v>ID_455</v>
      </c>
      <c r="B1565" s="17">
        <v>45717</v>
      </c>
      <c r="C1565" s="18" t="str">
        <f>TEXT('Working Sheet'!$B1565,"mmm")</f>
        <v>Mar</v>
      </c>
      <c r="D1565" s="18" t="s">
        <v>18</v>
      </c>
      <c r="E1565" s="18" t="s">
        <v>12</v>
      </c>
      <c r="F1565" s="18" t="s">
        <v>13</v>
      </c>
      <c r="G1565" s="18" t="s">
        <v>20</v>
      </c>
      <c r="H1565" s="18" t="s">
        <v>34</v>
      </c>
      <c r="I1565" s="18" t="s">
        <v>16</v>
      </c>
      <c r="J1565" s="19">
        <v>320000</v>
      </c>
      <c r="K1565" s="18">
        <v>6</v>
      </c>
      <c r="L1565" s="18" t="s">
        <v>28</v>
      </c>
      <c r="M1565" s="20">
        <f t="shared" si="49"/>
        <v>256000</v>
      </c>
      <c r="N1565" s="20">
        <f>'Working Sheet'!$J1565*'Working Sheet'!$K1565</f>
        <v>1920000</v>
      </c>
      <c r="O1565" s="21">
        <f>'Working Sheet'!$M1565*'Working Sheet'!$K1565</f>
        <v>1536000</v>
      </c>
      <c r="P1565" s="20">
        <f>'Working Sheet'!$N1565-'Working Sheet'!$O1565</f>
        <v>384000</v>
      </c>
    </row>
    <row r="1566" spans="1:16" ht="14.25" customHeight="1" x14ac:dyDescent="0.25">
      <c r="A1566" s="23" t="str">
        <f t="shared" ca="1" si="48"/>
        <v>ID_1984</v>
      </c>
      <c r="B1566" s="22">
        <v>45677</v>
      </c>
      <c r="C1566" s="23" t="str">
        <f>TEXT('Working Sheet'!$B1566,"mmm")</f>
        <v>Jan</v>
      </c>
      <c r="D1566" s="23" t="s">
        <v>25</v>
      </c>
      <c r="E1566" s="23" t="s">
        <v>19</v>
      </c>
      <c r="F1566" s="23" t="s">
        <v>13</v>
      </c>
      <c r="G1566" s="23" t="s">
        <v>14</v>
      </c>
      <c r="H1566" s="23" t="s">
        <v>38</v>
      </c>
      <c r="I1566" s="23" t="s">
        <v>31</v>
      </c>
      <c r="J1566" s="24">
        <v>420000</v>
      </c>
      <c r="K1566" s="23">
        <v>3</v>
      </c>
      <c r="L1566" s="23" t="s">
        <v>28</v>
      </c>
      <c r="M1566" s="25">
        <f t="shared" si="49"/>
        <v>336000</v>
      </c>
      <c r="N1566" s="25">
        <f>'Working Sheet'!$J1566*'Working Sheet'!$K1566</f>
        <v>1260000</v>
      </c>
      <c r="O1566" s="26">
        <f>'Working Sheet'!$M1566*'Working Sheet'!$K1566</f>
        <v>1008000</v>
      </c>
      <c r="P1566" s="25">
        <f>'Working Sheet'!$N1566-'Working Sheet'!$O1566</f>
        <v>252000</v>
      </c>
    </row>
    <row r="1567" spans="1:16" ht="14.25" customHeight="1" x14ac:dyDescent="0.25">
      <c r="A1567" s="18" t="str">
        <f t="shared" ca="1" si="48"/>
        <v>ID_759</v>
      </c>
      <c r="B1567" s="17">
        <v>45666</v>
      </c>
      <c r="C1567" s="18" t="str">
        <f>TEXT('Working Sheet'!$B1567,"mmm")</f>
        <v>Jan</v>
      </c>
      <c r="D1567" s="18" t="s">
        <v>29</v>
      </c>
      <c r="E1567" s="18" t="s">
        <v>32</v>
      </c>
      <c r="F1567" s="18" t="s">
        <v>23</v>
      </c>
      <c r="G1567" s="18" t="s">
        <v>14</v>
      </c>
      <c r="H1567" s="18" t="s">
        <v>36</v>
      </c>
      <c r="I1567" s="18" t="s">
        <v>31</v>
      </c>
      <c r="J1567" s="19">
        <v>150000</v>
      </c>
      <c r="K1567" s="18">
        <v>2</v>
      </c>
      <c r="L1567" s="18" t="s">
        <v>39</v>
      </c>
      <c r="M1567" s="20">
        <f t="shared" si="49"/>
        <v>120000</v>
      </c>
      <c r="N1567" s="20">
        <f>'Working Sheet'!$J1567*'Working Sheet'!$K1567</f>
        <v>300000</v>
      </c>
      <c r="O1567" s="21">
        <f>'Working Sheet'!$M1567*'Working Sheet'!$K1567</f>
        <v>240000</v>
      </c>
      <c r="P1567" s="20">
        <f>'Working Sheet'!$N1567-'Working Sheet'!$O1567</f>
        <v>60000</v>
      </c>
    </row>
    <row r="1568" spans="1:16" ht="14.25" customHeight="1" x14ac:dyDescent="0.25">
      <c r="A1568" s="23" t="str">
        <f t="shared" ca="1" si="48"/>
        <v>ID_339</v>
      </c>
      <c r="B1568" s="22">
        <v>45766</v>
      </c>
      <c r="C1568" s="23" t="str">
        <f>TEXT('Working Sheet'!$B1568,"mmm")</f>
        <v>Apr</v>
      </c>
      <c r="D1568" s="23" t="s">
        <v>11</v>
      </c>
      <c r="E1568" s="23" t="s">
        <v>32</v>
      </c>
      <c r="F1568" s="23" t="s">
        <v>13</v>
      </c>
      <c r="G1568" s="23" t="s">
        <v>14</v>
      </c>
      <c r="H1568" s="23" t="s">
        <v>33</v>
      </c>
      <c r="I1568" s="23" t="s">
        <v>22</v>
      </c>
      <c r="J1568" s="24">
        <v>180000</v>
      </c>
      <c r="K1568" s="23">
        <v>8</v>
      </c>
      <c r="L1568" s="23" t="s">
        <v>35</v>
      </c>
      <c r="M1568" s="25">
        <f t="shared" si="49"/>
        <v>144000</v>
      </c>
      <c r="N1568" s="25">
        <f>'Working Sheet'!$J1568*'Working Sheet'!$K1568</f>
        <v>1440000</v>
      </c>
      <c r="O1568" s="26">
        <f>'Working Sheet'!$M1568*'Working Sheet'!$K1568</f>
        <v>1152000</v>
      </c>
      <c r="P1568" s="25">
        <f>'Working Sheet'!$N1568-'Working Sheet'!$O1568</f>
        <v>288000</v>
      </c>
    </row>
    <row r="1569" spans="1:16" ht="14.25" customHeight="1" x14ac:dyDescent="0.25">
      <c r="A1569" s="18" t="str">
        <f t="shared" ca="1" si="48"/>
        <v>ID_204</v>
      </c>
      <c r="B1569" s="17">
        <v>45730</v>
      </c>
      <c r="C1569" s="18" t="str">
        <f>TEXT('Working Sheet'!$B1569,"mmm")</f>
        <v>Mar</v>
      </c>
      <c r="D1569" s="18" t="s">
        <v>29</v>
      </c>
      <c r="E1569" s="18" t="s">
        <v>19</v>
      </c>
      <c r="F1569" s="18" t="s">
        <v>13</v>
      </c>
      <c r="G1569" s="18" t="s">
        <v>14</v>
      </c>
      <c r="H1569" s="18" t="s">
        <v>36</v>
      </c>
      <c r="I1569" s="18" t="s">
        <v>31</v>
      </c>
      <c r="J1569" s="19">
        <v>150000</v>
      </c>
      <c r="K1569" s="18">
        <v>4</v>
      </c>
      <c r="L1569" s="18" t="s">
        <v>35</v>
      </c>
      <c r="M1569" s="20">
        <f t="shared" si="49"/>
        <v>120000</v>
      </c>
      <c r="N1569" s="20">
        <f>'Working Sheet'!$J1569*'Working Sheet'!$K1569</f>
        <v>600000</v>
      </c>
      <c r="O1569" s="21">
        <f>'Working Sheet'!$M1569*'Working Sheet'!$K1569</f>
        <v>480000</v>
      </c>
      <c r="P1569" s="20">
        <f>'Working Sheet'!$N1569-'Working Sheet'!$O1569</f>
        <v>120000</v>
      </c>
    </row>
    <row r="1570" spans="1:16" ht="14.25" customHeight="1" x14ac:dyDescent="0.25">
      <c r="A1570" s="23" t="str">
        <f t="shared" ca="1" si="48"/>
        <v>ID_588</v>
      </c>
      <c r="B1570" s="22">
        <v>45714</v>
      </c>
      <c r="C1570" s="23" t="str">
        <f>TEXT('Working Sheet'!$B1570,"mmm")</f>
        <v>Feb</v>
      </c>
      <c r="D1570" s="23" t="s">
        <v>29</v>
      </c>
      <c r="E1570" s="23" t="s">
        <v>26</v>
      </c>
      <c r="F1570" s="23" t="s">
        <v>23</v>
      </c>
      <c r="G1570" s="23" t="s">
        <v>20</v>
      </c>
      <c r="H1570" s="23" t="s">
        <v>27</v>
      </c>
      <c r="I1570" s="23" t="s">
        <v>22</v>
      </c>
      <c r="J1570" s="24">
        <v>60000</v>
      </c>
      <c r="K1570" s="23">
        <v>8</v>
      </c>
      <c r="L1570" s="23" t="s">
        <v>28</v>
      </c>
      <c r="M1570" s="25">
        <f t="shared" si="49"/>
        <v>48000</v>
      </c>
      <c r="N1570" s="25">
        <f>'Working Sheet'!$J1570*'Working Sheet'!$K1570</f>
        <v>480000</v>
      </c>
      <c r="O1570" s="26">
        <f>'Working Sheet'!$M1570*'Working Sheet'!$K1570</f>
        <v>384000</v>
      </c>
      <c r="P1570" s="25">
        <f>'Working Sheet'!$N1570-'Working Sheet'!$O1570</f>
        <v>96000</v>
      </c>
    </row>
    <row r="1571" spans="1:16" ht="14.25" customHeight="1" x14ac:dyDescent="0.25">
      <c r="A1571" s="18" t="str">
        <f t="shared" ca="1" si="48"/>
        <v>ID_1877</v>
      </c>
      <c r="B1571" s="17">
        <v>45771</v>
      </c>
      <c r="C1571" s="18" t="str">
        <f>TEXT('Working Sheet'!$B1571,"mmm")</f>
        <v>Apr</v>
      </c>
      <c r="D1571" s="18" t="s">
        <v>29</v>
      </c>
      <c r="E1571" s="18" t="s">
        <v>12</v>
      </c>
      <c r="F1571" s="18" t="s">
        <v>23</v>
      </c>
      <c r="G1571" s="18" t="s">
        <v>20</v>
      </c>
      <c r="H1571" s="18" t="s">
        <v>38</v>
      </c>
      <c r="I1571" s="18" t="s">
        <v>31</v>
      </c>
      <c r="J1571" s="19">
        <v>420000</v>
      </c>
      <c r="K1571" s="18">
        <v>5</v>
      </c>
      <c r="L1571" s="18" t="s">
        <v>37</v>
      </c>
      <c r="M1571" s="20">
        <f t="shared" si="49"/>
        <v>336000</v>
      </c>
      <c r="N1571" s="20">
        <f>'Working Sheet'!$J1571*'Working Sheet'!$K1571</f>
        <v>2100000</v>
      </c>
      <c r="O1571" s="21">
        <f>'Working Sheet'!$M1571*'Working Sheet'!$K1571</f>
        <v>1680000</v>
      </c>
      <c r="P1571" s="20">
        <f>'Working Sheet'!$N1571-'Working Sheet'!$O1571</f>
        <v>420000</v>
      </c>
    </row>
    <row r="1572" spans="1:16" ht="14.25" customHeight="1" x14ac:dyDescent="0.25">
      <c r="A1572" s="23" t="str">
        <f t="shared" ca="1" si="48"/>
        <v>ID_1522</v>
      </c>
      <c r="B1572" s="22">
        <v>45744</v>
      </c>
      <c r="C1572" s="23" t="str">
        <f>TEXT('Working Sheet'!$B1572,"mmm")</f>
        <v>Mar</v>
      </c>
      <c r="D1572" s="23" t="s">
        <v>29</v>
      </c>
      <c r="E1572" s="23" t="s">
        <v>12</v>
      </c>
      <c r="F1572" s="23" t="s">
        <v>13</v>
      </c>
      <c r="G1572" s="23" t="s">
        <v>20</v>
      </c>
      <c r="H1572" s="23" t="s">
        <v>38</v>
      </c>
      <c r="I1572" s="23" t="s">
        <v>31</v>
      </c>
      <c r="J1572" s="24">
        <v>420000</v>
      </c>
      <c r="K1572" s="23">
        <v>6</v>
      </c>
      <c r="L1572" s="23" t="s">
        <v>39</v>
      </c>
      <c r="M1572" s="25">
        <f t="shared" si="49"/>
        <v>336000</v>
      </c>
      <c r="N1572" s="25">
        <f>'Working Sheet'!$J1572*'Working Sheet'!$K1572</f>
        <v>2520000</v>
      </c>
      <c r="O1572" s="26">
        <f>'Working Sheet'!$M1572*'Working Sheet'!$K1572</f>
        <v>2016000</v>
      </c>
      <c r="P1572" s="25">
        <f>'Working Sheet'!$N1572-'Working Sheet'!$O1572</f>
        <v>504000</v>
      </c>
    </row>
    <row r="1573" spans="1:16" ht="14.25" customHeight="1" x14ac:dyDescent="0.25">
      <c r="A1573" s="18" t="str">
        <f t="shared" ca="1" si="48"/>
        <v>ID_883</v>
      </c>
      <c r="B1573" s="17">
        <v>45679</v>
      </c>
      <c r="C1573" s="18" t="str">
        <f>TEXT('Working Sheet'!$B1573,"mmm")</f>
        <v>Jan</v>
      </c>
      <c r="D1573" s="18" t="s">
        <v>25</v>
      </c>
      <c r="E1573" s="18" t="s">
        <v>12</v>
      </c>
      <c r="F1573" s="18" t="s">
        <v>13</v>
      </c>
      <c r="G1573" s="18" t="s">
        <v>20</v>
      </c>
      <c r="H1573" s="18" t="s">
        <v>30</v>
      </c>
      <c r="I1573" s="18" t="s">
        <v>31</v>
      </c>
      <c r="J1573" s="19">
        <v>300000</v>
      </c>
      <c r="K1573" s="18">
        <v>4</v>
      </c>
      <c r="L1573" s="18" t="s">
        <v>24</v>
      </c>
      <c r="M1573" s="20">
        <f t="shared" si="49"/>
        <v>240000</v>
      </c>
      <c r="N1573" s="20">
        <f>'Working Sheet'!$J1573*'Working Sheet'!$K1573</f>
        <v>1200000</v>
      </c>
      <c r="O1573" s="21">
        <f>'Working Sheet'!$M1573*'Working Sheet'!$K1573</f>
        <v>960000</v>
      </c>
      <c r="P1573" s="20">
        <f>'Working Sheet'!$N1573-'Working Sheet'!$O1573</f>
        <v>240000</v>
      </c>
    </row>
    <row r="1574" spans="1:16" ht="14.25" customHeight="1" x14ac:dyDescent="0.25">
      <c r="A1574" s="23" t="str">
        <f t="shared" ca="1" si="48"/>
        <v>ID_831</v>
      </c>
      <c r="B1574" s="22">
        <v>45691</v>
      </c>
      <c r="C1574" s="23" t="str">
        <f>TEXT('Working Sheet'!$B1574,"mmm")</f>
        <v>Feb</v>
      </c>
      <c r="D1574" s="23" t="s">
        <v>18</v>
      </c>
      <c r="E1574" s="23" t="s">
        <v>32</v>
      </c>
      <c r="F1574" s="23" t="s">
        <v>13</v>
      </c>
      <c r="G1574" s="23" t="s">
        <v>14</v>
      </c>
      <c r="H1574" s="23" t="s">
        <v>33</v>
      </c>
      <c r="I1574" s="23" t="s">
        <v>22</v>
      </c>
      <c r="J1574" s="24">
        <v>180000</v>
      </c>
      <c r="K1574" s="23">
        <v>1</v>
      </c>
      <c r="L1574" s="23" t="s">
        <v>39</v>
      </c>
      <c r="M1574" s="25">
        <f t="shared" si="49"/>
        <v>144000</v>
      </c>
      <c r="N1574" s="25">
        <f>'Working Sheet'!$J1574*'Working Sheet'!$K1574</f>
        <v>180000</v>
      </c>
      <c r="O1574" s="26">
        <f>'Working Sheet'!$M1574*'Working Sheet'!$K1574</f>
        <v>144000</v>
      </c>
      <c r="P1574" s="25">
        <f>'Working Sheet'!$N1574-'Working Sheet'!$O1574</f>
        <v>36000</v>
      </c>
    </row>
    <row r="1575" spans="1:16" ht="14.25" customHeight="1" x14ac:dyDescent="0.25">
      <c r="A1575" s="18" t="str">
        <f t="shared" ca="1" si="48"/>
        <v>ID_1856</v>
      </c>
      <c r="B1575" s="17">
        <v>45742</v>
      </c>
      <c r="C1575" s="18" t="str">
        <f>TEXT('Working Sheet'!$B1575,"mmm")</f>
        <v>Mar</v>
      </c>
      <c r="D1575" s="18" t="s">
        <v>29</v>
      </c>
      <c r="E1575" s="18" t="s">
        <v>32</v>
      </c>
      <c r="F1575" s="18" t="s">
        <v>23</v>
      </c>
      <c r="G1575" s="18" t="s">
        <v>14</v>
      </c>
      <c r="H1575" s="18" t="s">
        <v>38</v>
      </c>
      <c r="I1575" s="18" t="s">
        <v>31</v>
      </c>
      <c r="J1575" s="19">
        <v>420000</v>
      </c>
      <c r="K1575" s="18">
        <v>5</v>
      </c>
      <c r="L1575" s="18" t="s">
        <v>37</v>
      </c>
      <c r="M1575" s="20">
        <f t="shared" si="49"/>
        <v>336000</v>
      </c>
      <c r="N1575" s="20">
        <f>'Working Sheet'!$J1575*'Working Sheet'!$K1575</f>
        <v>2100000</v>
      </c>
      <c r="O1575" s="21">
        <f>'Working Sheet'!$M1575*'Working Sheet'!$K1575</f>
        <v>1680000</v>
      </c>
      <c r="P1575" s="20">
        <f>'Working Sheet'!$N1575-'Working Sheet'!$O1575</f>
        <v>420000</v>
      </c>
    </row>
    <row r="1576" spans="1:16" ht="14.25" customHeight="1" x14ac:dyDescent="0.25">
      <c r="A1576" s="23" t="str">
        <f t="shared" ca="1" si="48"/>
        <v>ID_436</v>
      </c>
      <c r="B1576" s="22">
        <v>45742</v>
      </c>
      <c r="C1576" s="23" t="str">
        <f>TEXT('Working Sheet'!$B1576,"mmm")</f>
        <v>Mar</v>
      </c>
      <c r="D1576" s="23" t="s">
        <v>11</v>
      </c>
      <c r="E1576" s="23" t="s">
        <v>19</v>
      </c>
      <c r="F1576" s="23" t="s">
        <v>23</v>
      </c>
      <c r="G1576" s="23" t="s">
        <v>20</v>
      </c>
      <c r="H1576" s="23" t="s">
        <v>40</v>
      </c>
      <c r="I1576" s="23" t="s">
        <v>31</v>
      </c>
      <c r="J1576" s="24">
        <v>250000</v>
      </c>
      <c r="K1576" s="23">
        <v>7</v>
      </c>
      <c r="L1576" s="23" t="s">
        <v>39</v>
      </c>
      <c r="M1576" s="25">
        <f t="shared" si="49"/>
        <v>200000</v>
      </c>
      <c r="N1576" s="25">
        <f>'Working Sheet'!$J1576*'Working Sheet'!$K1576</f>
        <v>1750000</v>
      </c>
      <c r="O1576" s="26">
        <f>'Working Sheet'!$M1576*'Working Sheet'!$K1576</f>
        <v>1400000</v>
      </c>
      <c r="P1576" s="25">
        <f>'Working Sheet'!$N1576-'Working Sheet'!$O1576</f>
        <v>350000</v>
      </c>
    </row>
    <row r="1577" spans="1:16" ht="14.25" customHeight="1" x14ac:dyDescent="0.25">
      <c r="A1577" s="18" t="str">
        <f t="shared" ca="1" si="48"/>
        <v>ID_1228</v>
      </c>
      <c r="B1577" s="17">
        <v>45763</v>
      </c>
      <c r="C1577" s="18" t="str">
        <f>TEXT('Working Sheet'!$B1577,"mmm")</f>
        <v>Apr</v>
      </c>
      <c r="D1577" s="18" t="s">
        <v>25</v>
      </c>
      <c r="E1577" s="18" t="s">
        <v>32</v>
      </c>
      <c r="F1577" s="18" t="s">
        <v>23</v>
      </c>
      <c r="G1577" s="18" t="s">
        <v>14</v>
      </c>
      <c r="H1577" s="18" t="s">
        <v>21</v>
      </c>
      <c r="I1577" s="18" t="s">
        <v>22</v>
      </c>
      <c r="J1577" s="19">
        <v>30000</v>
      </c>
      <c r="K1577" s="18">
        <v>1</v>
      </c>
      <c r="L1577" s="18" t="s">
        <v>39</v>
      </c>
      <c r="M1577" s="20">
        <f t="shared" si="49"/>
        <v>24000</v>
      </c>
      <c r="N1577" s="20">
        <f>'Working Sheet'!$J1577*'Working Sheet'!$K1577</f>
        <v>30000</v>
      </c>
      <c r="O1577" s="21">
        <f>'Working Sheet'!$M1577*'Working Sheet'!$K1577</f>
        <v>24000</v>
      </c>
      <c r="P1577" s="20">
        <f>'Working Sheet'!$N1577-'Working Sheet'!$O1577</f>
        <v>6000</v>
      </c>
    </row>
    <row r="1578" spans="1:16" ht="14.25" customHeight="1" x14ac:dyDescent="0.25">
      <c r="A1578" s="23" t="str">
        <f t="shared" ca="1" si="48"/>
        <v>ID_84</v>
      </c>
      <c r="B1578" s="22">
        <v>45730</v>
      </c>
      <c r="C1578" s="23" t="str">
        <f>TEXT('Working Sheet'!$B1578,"mmm")</f>
        <v>Mar</v>
      </c>
      <c r="D1578" s="23" t="s">
        <v>25</v>
      </c>
      <c r="E1578" s="23" t="s">
        <v>19</v>
      </c>
      <c r="F1578" s="23" t="s">
        <v>23</v>
      </c>
      <c r="G1578" s="23" t="s">
        <v>14</v>
      </c>
      <c r="H1578" s="23" t="s">
        <v>33</v>
      </c>
      <c r="I1578" s="23" t="s">
        <v>22</v>
      </c>
      <c r="J1578" s="24">
        <v>180000</v>
      </c>
      <c r="K1578" s="23">
        <v>9</v>
      </c>
      <c r="L1578" s="23" t="s">
        <v>35</v>
      </c>
      <c r="M1578" s="25">
        <f t="shared" si="49"/>
        <v>144000</v>
      </c>
      <c r="N1578" s="25">
        <f>'Working Sheet'!$J1578*'Working Sheet'!$K1578</f>
        <v>1620000</v>
      </c>
      <c r="O1578" s="26">
        <f>'Working Sheet'!$M1578*'Working Sheet'!$K1578</f>
        <v>1296000</v>
      </c>
      <c r="P1578" s="25">
        <f>'Working Sheet'!$N1578-'Working Sheet'!$O1578</f>
        <v>324000</v>
      </c>
    </row>
    <row r="1579" spans="1:16" ht="14.25" customHeight="1" x14ac:dyDescent="0.25">
      <c r="A1579" s="18" t="str">
        <f t="shared" ca="1" si="48"/>
        <v>ID_1261</v>
      </c>
      <c r="B1579" s="17">
        <v>45759</v>
      </c>
      <c r="C1579" s="18" t="str">
        <f>TEXT('Working Sheet'!$B1579,"mmm")</f>
        <v>Apr</v>
      </c>
      <c r="D1579" s="18" t="s">
        <v>29</v>
      </c>
      <c r="E1579" s="18" t="s">
        <v>19</v>
      </c>
      <c r="F1579" s="18" t="s">
        <v>23</v>
      </c>
      <c r="G1579" s="18" t="s">
        <v>14</v>
      </c>
      <c r="H1579" s="18" t="s">
        <v>30</v>
      </c>
      <c r="I1579" s="18" t="s">
        <v>31</v>
      </c>
      <c r="J1579" s="19">
        <v>300000</v>
      </c>
      <c r="K1579" s="18">
        <v>7</v>
      </c>
      <c r="L1579" s="18" t="s">
        <v>39</v>
      </c>
      <c r="M1579" s="20">
        <f t="shared" si="49"/>
        <v>240000</v>
      </c>
      <c r="N1579" s="20">
        <f>'Working Sheet'!$J1579*'Working Sheet'!$K1579</f>
        <v>2100000</v>
      </c>
      <c r="O1579" s="21">
        <f>'Working Sheet'!$M1579*'Working Sheet'!$K1579</f>
        <v>1680000</v>
      </c>
      <c r="P1579" s="20">
        <f>'Working Sheet'!$N1579-'Working Sheet'!$O1579</f>
        <v>420000</v>
      </c>
    </row>
    <row r="1580" spans="1:16" ht="14.25" customHeight="1" x14ac:dyDescent="0.25">
      <c r="A1580" s="23" t="str">
        <f t="shared" ca="1" si="48"/>
        <v>ID_1430</v>
      </c>
      <c r="B1580" s="22">
        <v>45773</v>
      </c>
      <c r="C1580" s="23" t="str">
        <f>TEXT('Working Sheet'!$B1580,"mmm")</f>
        <v>Apr</v>
      </c>
      <c r="D1580" s="23" t="s">
        <v>18</v>
      </c>
      <c r="E1580" s="23" t="s">
        <v>19</v>
      </c>
      <c r="F1580" s="23" t="s">
        <v>13</v>
      </c>
      <c r="G1580" s="23" t="s">
        <v>14</v>
      </c>
      <c r="H1580" s="23" t="s">
        <v>27</v>
      </c>
      <c r="I1580" s="23" t="s">
        <v>22</v>
      </c>
      <c r="J1580" s="24">
        <v>60000</v>
      </c>
      <c r="K1580" s="23">
        <v>2</v>
      </c>
      <c r="L1580" s="23" t="s">
        <v>39</v>
      </c>
      <c r="M1580" s="25">
        <f t="shared" si="49"/>
        <v>48000</v>
      </c>
      <c r="N1580" s="25">
        <f>'Working Sheet'!$J1580*'Working Sheet'!$K1580</f>
        <v>120000</v>
      </c>
      <c r="O1580" s="26">
        <f>'Working Sheet'!$M1580*'Working Sheet'!$K1580</f>
        <v>96000</v>
      </c>
      <c r="P1580" s="25">
        <f>'Working Sheet'!$N1580-'Working Sheet'!$O1580</f>
        <v>24000</v>
      </c>
    </row>
    <row r="1581" spans="1:16" ht="14.25" customHeight="1" x14ac:dyDescent="0.25">
      <c r="A1581" s="18" t="str">
        <f t="shared" ca="1" si="48"/>
        <v>ID_618</v>
      </c>
      <c r="B1581" s="17">
        <v>45736</v>
      </c>
      <c r="C1581" s="18" t="str">
        <f>TEXT('Working Sheet'!$B1581,"mmm")</f>
        <v>Mar</v>
      </c>
      <c r="D1581" s="18" t="s">
        <v>11</v>
      </c>
      <c r="E1581" s="18" t="s">
        <v>32</v>
      </c>
      <c r="F1581" s="18" t="s">
        <v>23</v>
      </c>
      <c r="G1581" s="18" t="s">
        <v>14</v>
      </c>
      <c r="H1581" s="18" t="s">
        <v>40</v>
      </c>
      <c r="I1581" s="18" t="s">
        <v>31</v>
      </c>
      <c r="J1581" s="19">
        <v>250000</v>
      </c>
      <c r="K1581" s="18">
        <v>5</v>
      </c>
      <c r="L1581" s="18" t="s">
        <v>28</v>
      </c>
      <c r="M1581" s="20">
        <f t="shared" si="49"/>
        <v>200000</v>
      </c>
      <c r="N1581" s="20">
        <f>'Working Sheet'!$J1581*'Working Sheet'!$K1581</f>
        <v>1250000</v>
      </c>
      <c r="O1581" s="21">
        <f>'Working Sheet'!$M1581*'Working Sheet'!$K1581</f>
        <v>1000000</v>
      </c>
      <c r="P1581" s="20">
        <f>'Working Sheet'!$N1581-'Working Sheet'!$O1581</f>
        <v>250000</v>
      </c>
    </row>
    <row r="1582" spans="1:16" ht="14.25" customHeight="1" x14ac:dyDescent="0.25">
      <c r="A1582" s="23" t="str">
        <f t="shared" ca="1" si="48"/>
        <v>ID_1776</v>
      </c>
      <c r="B1582" s="22">
        <v>45730</v>
      </c>
      <c r="C1582" s="23" t="str">
        <f>TEXT('Working Sheet'!$B1582,"mmm")</f>
        <v>Mar</v>
      </c>
      <c r="D1582" s="23" t="s">
        <v>29</v>
      </c>
      <c r="E1582" s="23" t="s">
        <v>32</v>
      </c>
      <c r="F1582" s="23" t="s">
        <v>23</v>
      </c>
      <c r="G1582" s="23" t="s">
        <v>20</v>
      </c>
      <c r="H1582" s="23" t="s">
        <v>15</v>
      </c>
      <c r="I1582" s="23" t="s">
        <v>16</v>
      </c>
      <c r="J1582" s="24">
        <v>85000</v>
      </c>
      <c r="K1582" s="23">
        <v>9</v>
      </c>
      <c r="L1582" s="23" t="s">
        <v>35</v>
      </c>
      <c r="M1582" s="25">
        <f t="shared" si="49"/>
        <v>68000</v>
      </c>
      <c r="N1582" s="25">
        <f>'Working Sheet'!$J1582*'Working Sheet'!$K1582</f>
        <v>765000</v>
      </c>
      <c r="O1582" s="26">
        <f>'Working Sheet'!$M1582*'Working Sheet'!$K1582</f>
        <v>612000</v>
      </c>
      <c r="P1582" s="25">
        <f>'Working Sheet'!$N1582-'Working Sheet'!$O1582</f>
        <v>153000</v>
      </c>
    </row>
    <row r="1583" spans="1:16" ht="14.25" customHeight="1" x14ac:dyDescent="0.25">
      <c r="A1583" s="18" t="str">
        <f t="shared" ca="1" si="48"/>
        <v>ID_891</v>
      </c>
      <c r="B1583" s="17">
        <v>45754</v>
      </c>
      <c r="C1583" s="18" t="str">
        <f>TEXT('Working Sheet'!$B1583,"mmm")</f>
        <v>Apr</v>
      </c>
      <c r="D1583" s="18" t="s">
        <v>29</v>
      </c>
      <c r="E1583" s="18" t="s">
        <v>26</v>
      </c>
      <c r="F1583" s="18" t="s">
        <v>13</v>
      </c>
      <c r="G1583" s="18" t="s">
        <v>14</v>
      </c>
      <c r="H1583" s="18" t="s">
        <v>38</v>
      </c>
      <c r="I1583" s="18" t="s">
        <v>31</v>
      </c>
      <c r="J1583" s="19">
        <v>420000</v>
      </c>
      <c r="K1583" s="18">
        <v>5</v>
      </c>
      <c r="L1583" s="18" t="s">
        <v>28</v>
      </c>
      <c r="M1583" s="20">
        <f t="shared" si="49"/>
        <v>336000</v>
      </c>
      <c r="N1583" s="20">
        <f>'Working Sheet'!$J1583*'Working Sheet'!$K1583</f>
        <v>2100000</v>
      </c>
      <c r="O1583" s="21">
        <f>'Working Sheet'!$M1583*'Working Sheet'!$K1583</f>
        <v>1680000</v>
      </c>
      <c r="P1583" s="20">
        <f>'Working Sheet'!$N1583-'Working Sheet'!$O1583</f>
        <v>420000</v>
      </c>
    </row>
    <row r="1584" spans="1:16" ht="14.25" customHeight="1" x14ac:dyDescent="0.25">
      <c r="A1584" s="23" t="str">
        <f t="shared" ca="1" si="48"/>
        <v>ID_960</v>
      </c>
      <c r="B1584" s="22">
        <v>45768</v>
      </c>
      <c r="C1584" s="23" t="str">
        <f>TEXT('Working Sheet'!$B1584,"mmm")</f>
        <v>Apr</v>
      </c>
      <c r="D1584" s="23" t="s">
        <v>18</v>
      </c>
      <c r="E1584" s="23" t="s">
        <v>32</v>
      </c>
      <c r="F1584" s="23" t="s">
        <v>13</v>
      </c>
      <c r="G1584" s="23" t="s">
        <v>14</v>
      </c>
      <c r="H1584" s="23" t="s">
        <v>38</v>
      </c>
      <c r="I1584" s="23" t="s">
        <v>31</v>
      </c>
      <c r="J1584" s="24">
        <v>420000</v>
      </c>
      <c r="K1584" s="23">
        <v>7</v>
      </c>
      <c r="L1584" s="23" t="s">
        <v>28</v>
      </c>
      <c r="M1584" s="25">
        <f t="shared" si="49"/>
        <v>336000</v>
      </c>
      <c r="N1584" s="25">
        <f>'Working Sheet'!$J1584*'Working Sheet'!$K1584</f>
        <v>2940000</v>
      </c>
      <c r="O1584" s="26">
        <f>'Working Sheet'!$M1584*'Working Sheet'!$K1584</f>
        <v>2352000</v>
      </c>
      <c r="P1584" s="25">
        <f>'Working Sheet'!$N1584-'Working Sheet'!$O1584</f>
        <v>588000</v>
      </c>
    </row>
    <row r="1585" spans="1:16" ht="14.25" customHeight="1" x14ac:dyDescent="0.25">
      <c r="A1585" s="18" t="str">
        <f t="shared" ca="1" si="48"/>
        <v>ID_732</v>
      </c>
      <c r="B1585" s="17">
        <v>45708</v>
      </c>
      <c r="C1585" s="18" t="str">
        <f>TEXT('Working Sheet'!$B1585,"mmm")</f>
        <v>Feb</v>
      </c>
      <c r="D1585" s="18" t="s">
        <v>29</v>
      </c>
      <c r="E1585" s="18" t="s">
        <v>12</v>
      </c>
      <c r="F1585" s="18" t="s">
        <v>13</v>
      </c>
      <c r="G1585" s="18" t="s">
        <v>20</v>
      </c>
      <c r="H1585" s="18" t="s">
        <v>34</v>
      </c>
      <c r="I1585" s="18" t="s">
        <v>16</v>
      </c>
      <c r="J1585" s="19">
        <v>320000</v>
      </c>
      <c r="K1585" s="18">
        <v>3</v>
      </c>
      <c r="L1585" s="18" t="s">
        <v>28</v>
      </c>
      <c r="M1585" s="20">
        <f t="shared" si="49"/>
        <v>256000</v>
      </c>
      <c r="N1585" s="20">
        <f>'Working Sheet'!$J1585*'Working Sheet'!$K1585</f>
        <v>960000</v>
      </c>
      <c r="O1585" s="21">
        <f>'Working Sheet'!$M1585*'Working Sheet'!$K1585</f>
        <v>768000</v>
      </c>
      <c r="P1585" s="20">
        <f>'Working Sheet'!$N1585-'Working Sheet'!$O1585</f>
        <v>192000</v>
      </c>
    </row>
    <row r="1586" spans="1:16" ht="14.25" customHeight="1" x14ac:dyDescent="0.25">
      <c r="A1586" s="23" t="str">
        <f t="shared" ca="1" si="48"/>
        <v>ID_1879</v>
      </c>
      <c r="B1586" s="22">
        <v>45689</v>
      </c>
      <c r="C1586" s="23" t="str">
        <f>TEXT('Working Sheet'!$B1586,"mmm")</f>
        <v>Feb</v>
      </c>
      <c r="D1586" s="23" t="s">
        <v>25</v>
      </c>
      <c r="E1586" s="23" t="s">
        <v>12</v>
      </c>
      <c r="F1586" s="23" t="s">
        <v>23</v>
      </c>
      <c r="G1586" s="23" t="s">
        <v>20</v>
      </c>
      <c r="H1586" s="23" t="s">
        <v>40</v>
      </c>
      <c r="I1586" s="23" t="s">
        <v>31</v>
      </c>
      <c r="J1586" s="24">
        <v>250000</v>
      </c>
      <c r="K1586" s="23">
        <v>10</v>
      </c>
      <c r="L1586" s="23" t="s">
        <v>28</v>
      </c>
      <c r="M1586" s="25">
        <f t="shared" si="49"/>
        <v>200000</v>
      </c>
      <c r="N1586" s="25">
        <f>'Working Sheet'!$J1586*'Working Sheet'!$K1586</f>
        <v>2500000</v>
      </c>
      <c r="O1586" s="26">
        <f>'Working Sheet'!$M1586*'Working Sheet'!$K1586</f>
        <v>2000000</v>
      </c>
      <c r="P1586" s="25">
        <f>'Working Sheet'!$N1586-'Working Sheet'!$O1586</f>
        <v>500000</v>
      </c>
    </row>
    <row r="1587" spans="1:16" ht="14.25" customHeight="1" x14ac:dyDescent="0.25">
      <c r="A1587" s="18" t="str">
        <f t="shared" ca="1" si="48"/>
        <v>ID_1211</v>
      </c>
      <c r="B1587" s="17">
        <v>45772</v>
      </c>
      <c r="C1587" s="18" t="str">
        <f>TEXT('Working Sheet'!$B1587,"mmm")</f>
        <v>Apr</v>
      </c>
      <c r="D1587" s="18" t="s">
        <v>18</v>
      </c>
      <c r="E1587" s="18" t="s">
        <v>26</v>
      </c>
      <c r="F1587" s="18" t="s">
        <v>13</v>
      </c>
      <c r="G1587" s="18" t="s">
        <v>14</v>
      </c>
      <c r="H1587" s="18" t="s">
        <v>36</v>
      </c>
      <c r="I1587" s="18" t="s">
        <v>31</v>
      </c>
      <c r="J1587" s="19">
        <v>150000</v>
      </c>
      <c r="K1587" s="18">
        <v>9</v>
      </c>
      <c r="L1587" s="18" t="s">
        <v>39</v>
      </c>
      <c r="M1587" s="20">
        <f t="shared" si="49"/>
        <v>120000</v>
      </c>
      <c r="N1587" s="20">
        <f>'Working Sheet'!$J1587*'Working Sheet'!$K1587</f>
        <v>1350000</v>
      </c>
      <c r="O1587" s="21">
        <f>'Working Sheet'!$M1587*'Working Sheet'!$K1587</f>
        <v>1080000</v>
      </c>
      <c r="P1587" s="20">
        <f>'Working Sheet'!$N1587-'Working Sheet'!$O1587</f>
        <v>270000</v>
      </c>
    </row>
    <row r="1588" spans="1:16" ht="14.25" customHeight="1" x14ac:dyDescent="0.25">
      <c r="A1588" s="23" t="str">
        <f t="shared" ca="1" si="48"/>
        <v>ID_1898</v>
      </c>
      <c r="B1588" s="22">
        <v>45692</v>
      </c>
      <c r="C1588" s="23" t="str">
        <f>TEXT('Working Sheet'!$B1588,"mmm")</f>
        <v>Feb</v>
      </c>
      <c r="D1588" s="23" t="s">
        <v>11</v>
      </c>
      <c r="E1588" s="23" t="s">
        <v>12</v>
      </c>
      <c r="F1588" s="23" t="s">
        <v>23</v>
      </c>
      <c r="G1588" s="23" t="s">
        <v>14</v>
      </c>
      <c r="H1588" s="23" t="s">
        <v>30</v>
      </c>
      <c r="I1588" s="23" t="s">
        <v>31</v>
      </c>
      <c r="J1588" s="24">
        <v>300000</v>
      </c>
      <c r="K1588" s="23">
        <v>10</v>
      </c>
      <c r="L1588" s="23" t="s">
        <v>17</v>
      </c>
      <c r="M1588" s="25">
        <f t="shared" si="49"/>
        <v>240000</v>
      </c>
      <c r="N1588" s="25">
        <f>'Working Sheet'!$J1588*'Working Sheet'!$K1588</f>
        <v>3000000</v>
      </c>
      <c r="O1588" s="26">
        <f>'Working Sheet'!$M1588*'Working Sheet'!$K1588</f>
        <v>2400000</v>
      </c>
      <c r="P1588" s="25">
        <f>'Working Sheet'!$N1588-'Working Sheet'!$O1588</f>
        <v>600000</v>
      </c>
    </row>
    <row r="1589" spans="1:16" ht="14.25" customHeight="1" x14ac:dyDescent="0.25">
      <c r="A1589" s="18" t="str">
        <f t="shared" ca="1" si="48"/>
        <v>ID_1280</v>
      </c>
      <c r="B1589" s="17">
        <v>45692</v>
      </c>
      <c r="C1589" s="18" t="str">
        <f>TEXT('Working Sheet'!$B1589,"mmm")</f>
        <v>Feb</v>
      </c>
      <c r="D1589" s="18" t="s">
        <v>18</v>
      </c>
      <c r="E1589" s="18" t="s">
        <v>12</v>
      </c>
      <c r="F1589" s="18" t="s">
        <v>23</v>
      </c>
      <c r="G1589" s="18" t="s">
        <v>20</v>
      </c>
      <c r="H1589" s="18" t="s">
        <v>30</v>
      </c>
      <c r="I1589" s="18" t="s">
        <v>31</v>
      </c>
      <c r="J1589" s="19">
        <v>300000</v>
      </c>
      <c r="K1589" s="18">
        <v>2</v>
      </c>
      <c r="L1589" s="18" t="s">
        <v>35</v>
      </c>
      <c r="M1589" s="20">
        <f t="shared" si="49"/>
        <v>240000</v>
      </c>
      <c r="N1589" s="20">
        <f>'Working Sheet'!$J1589*'Working Sheet'!$K1589</f>
        <v>600000</v>
      </c>
      <c r="O1589" s="21">
        <f>'Working Sheet'!$M1589*'Working Sheet'!$K1589</f>
        <v>480000</v>
      </c>
      <c r="P1589" s="20">
        <f>'Working Sheet'!$N1589-'Working Sheet'!$O1589</f>
        <v>120000</v>
      </c>
    </row>
    <row r="1590" spans="1:16" ht="14.25" customHeight="1" x14ac:dyDescent="0.25">
      <c r="A1590" s="23" t="str">
        <f t="shared" ca="1" si="48"/>
        <v>ID_618</v>
      </c>
      <c r="B1590" s="22">
        <v>45673</v>
      </c>
      <c r="C1590" s="23" t="str">
        <f>TEXT('Working Sheet'!$B1590,"mmm")</f>
        <v>Jan</v>
      </c>
      <c r="D1590" s="23" t="s">
        <v>18</v>
      </c>
      <c r="E1590" s="23" t="s">
        <v>32</v>
      </c>
      <c r="F1590" s="23" t="s">
        <v>13</v>
      </c>
      <c r="G1590" s="23" t="s">
        <v>20</v>
      </c>
      <c r="H1590" s="23" t="s">
        <v>33</v>
      </c>
      <c r="I1590" s="23" t="s">
        <v>22</v>
      </c>
      <c r="J1590" s="24">
        <v>180000</v>
      </c>
      <c r="K1590" s="23">
        <v>2</v>
      </c>
      <c r="L1590" s="23" t="s">
        <v>35</v>
      </c>
      <c r="M1590" s="25">
        <f t="shared" si="49"/>
        <v>144000</v>
      </c>
      <c r="N1590" s="25">
        <f>'Working Sheet'!$J1590*'Working Sheet'!$K1590</f>
        <v>360000</v>
      </c>
      <c r="O1590" s="26">
        <f>'Working Sheet'!$M1590*'Working Sheet'!$K1590</f>
        <v>288000</v>
      </c>
      <c r="P1590" s="25">
        <f>'Working Sheet'!$N1590-'Working Sheet'!$O1590</f>
        <v>72000</v>
      </c>
    </row>
    <row r="1591" spans="1:16" ht="14.25" customHeight="1" x14ac:dyDescent="0.25">
      <c r="A1591" s="18" t="str">
        <f t="shared" ca="1" si="48"/>
        <v>ID_881</v>
      </c>
      <c r="B1591" s="17">
        <v>45737</v>
      </c>
      <c r="C1591" s="18" t="str">
        <f>TEXT('Working Sheet'!$B1591,"mmm")</f>
        <v>Mar</v>
      </c>
      <c r="D1591" s="18" t="s">
        <v>11</v>
      </c>
      <c r="E1591" s="18" t="s">
        <v>32</v>
      </c>
      <c r="F1591" s="18" t="s">
        <v>23</v>
      </c>
      <c r="G1591" s="18" t="s">
        <v>20</v>
      </c>
      <c r="H1591" s="18" t="s">
        <v>34</v>
      </c>
      <c r="I1591" s="18" t="s">
        <v>16</v>
      </c>
      <c r="J1591" s="19">
        <v>320000</v>
      </c>
      <c r="K1591" s="18">
        <v>10</v>
      </c>
      <c r="L1591" s="18" t="s">
        <v>39</v>
      </c>
      <c r="M1591" s="20">
        <f t="shared" si="49"/>
        <v>256000</v>
      </c>
      <c r="N1591" s="20">
        <f>'Working Sheet'!$J1591*'Working Sheet'!$K1591</f>
        <v>3200000</v>
      </c>
      <c r="O1591" s="21">
        <f>'Working Sheet'!$M1591*'Working Sheet'!$K1591</f>
        <v>2560000</v>
      </c>
      <c r="P1591" s="20">
        <f>'Working Sheet'!$N1591-'Working Sheet'!$O1591</f>
        <v>640000</v>
      </c>
    </row>
    <row r="1592" spans="1:16" ht="14.25" customHeight="1" x14ac:dyDescent="0.25">
      <c r="A1592" s="23" t="str">
        <f t="shared" ca="1" si="48"/>
        <v>ID_1106</v>
      </c>
      <c r="B1592" s="22">
        <v>45769</v>
      </c>
      <c r="C1592" s="23" t="str">
        <f>TEXT('Working Sheet'!$B1592,"mmm")</f>
        <v>Apr</v>
      </c>
      <c r="D1592" s="23" t="s">
        <v>29</v>
      </c>
      <c r="E1592" s="23" t="s">
        <v>12</v>
      </c>
      <c r="F1592" s="23" t="s">
        <v>23</v>
      </c>
      <c r="G1592" s="23" t="s">
        <v>20</v>
      </c>
      <c r="H1592" s="23" t="s">
        <v>34</v>
      </c>
      <c r="I1592" s="23" t="s">
        <v>16</v>
      </c>
      <c r="J1592" s="24">
        <v>320000</v>
      </c>
      <c r="K1592" s="23">
        <v>1</v>
      </c>
      <c r="L1592" s="23" t="s">
        <v>37</v>
      </c>
      <c r="M1592" s="25">
        <f t="shared" si="49"/>
        <v>256000</v>
      </c>
      <c r="N1592" s="25">
        <f>'Working Sheet'!$J1592*'Working Sheet'!$K1592</f>
        <v>320000</v>
      </c>
      <c r="O1592" s="26">
        <f>'Working Sheet'!$M1592*'Working Sheet'!$K1592</f>
        <v>256000</v>
      </c>
      <c r="P1592" s="25">
        <f>'Working Sheet'!$N1592-'Working Sheet'!$O1592</f>
        <v>64000</v>
      </c>
    </row>
    <row r="1593" spans="1:16" ht="14.25" customHeight="1" x14ac:dyDescent="0.25">
      <c r="A1593" s="18" t="str">
        <f t="shared" ca="1" si="48"/>
        <v>ID_1385</v>
      </c>
      <c r="B1593" s="17">
        <v>45746</v>
      </c>
      <c r="C1593" s="18" t="str">
        <f>TEXT('Working Sheet'!$B1593,"mmm")</f>
        <v>Mar</v>
      </c>
      <c r="D1593" s="18" t="s">
        <v>29</v>
      </c>
      <c r="E1593" s="18" t="s">
        <v>32</v>
      </c>
      <c r="F1593" s="18" t="s">
        <v>13</v>
      </c>
      <c r="G1593" s="18" t="s">
        <v>20</v>
      </c>
      <c r="H1593" s="18" t="s">
        <v>36</v>
      </c>
      <c r="I1593" s="18" t="s">
        <v>31</v>
      </c>
      <c r="J1593" s="19">
        <v>150000</v>
      </c>
      <c r="K1593" s="18">
        <v>6</v>
      </c>
      <c r="L1593" s="18" t="s">
        <v>35</v>
      </c>
      <c r="M1593" s="20">
        <f t="shared" si="49"/>
        <v>120000</v>
      </c>
      <c r="N1593" s="20">
        <f>'Working Sheet'!$J1593*'Working Sheet'!$K1593</f>
        <v>900000</v>
      </c>
      <c r="O1593" s="21">
        <f>'Working Sheet'!$M1593*'Working Sheet'!$K1593</f>
        <v>720000</v>
      </c>
      <c r="P1593" s="20">
        <f>'Working Sheet'!$N1593-'Working Sheet'!$O1593</f>
        <v>180000</v>
      </c>
    </row>
    <row r="1594" spans="1:16" ht="14.25" customHeight="1" x14ac:dyDescent="0.25">
      <c r="A1594" s="23" t="str">
        <f t="shared" ca="1" si="48"/>
        <v>ID_1840</v>
      </c>
      <c r="B1594" s="22">
        <v>45757</v>
      </c>
      <c r="C1594" s="23" t="str">
        <f>TEXT('Working Sheet'!$B1594,"mmm")</f>
        <v>Apr</v>
      </c>
      <c r="D1594" s="23" t="s">
        <v>29</v>
      </c>
      <c r="E1594" s="23" t="s">
        <v>19</v>
      </c>
      <c r="F1594" s="23" t="s">
        <v>23</v>
      </c>
      <c r="G1594" s="23" t="s">
        <v>20</v>
      </c>
      <c r="H1594" s="23" t="s">
        <v>15</v>
      </c>
      <c r="I1594" s="23" t="s">
        <v>16</v>
      </c>
      <c r="J1594" s="24">
        <v>85000</v>
      </c>
      <c r="K1594" s="23">
        <v>9</v>
      </c>
      <c r="L1594" s="23" t="s">
        <v>35</v>
      </c>
      <c r="M1594" s="25">
        <f t="shared" si="49"/>
        <v>68000</v>
      </c>
      <c r="N1594" s="25">
        <f>'Working Sheet'!$J1594*'Working Sheet'!$K1594</f>
        <v>765000</v>
      </c>
      <c r="O1594" s="26">
        <f>'Working Sheet'!$M1594*'Working Sheet'!$K1594</f>
        <v>612000</v>
      </c>
      <c r="P1594" s="25">
        <f>'Working Sheet'!$N1594-'Working Sheet'!$O1594</f>
        <v>153000</v>
      </c>
    </row>
    <row r="1595" spans="1:16" ht="14.25" customHeight="1" x14ac:dyDescent="0.25">
      <c r="A1595" s="18" t="str">
        <f t="shared" ca="1" si="48"/>
        <v>ID_74</v>
      </c>
      <c r="B1595" s="17">
        <v>45706</v>
      </c>
      <c r="C1595" s="18" t="str">
        <f>TEXT('Working Sheet'!$B1595,"mmm")</f>
        <v>Feb</v>
      </c>
      <c r="D1595" s="18" t="s">
        <v>11</v>
      </c>
      <c r="E1595" s="18" t="s">
        <v>12</v>
      </c>
      <c r="F1595" s="18" t="s">
        <v>13</v>
      </c>
      <c r="G1595" s="18" t="s">
        <v>14</v>
      </c>
      <c r="H1595" s="18" t="s">
        <v>38</v>
      </c>
      <c r="I1595" s="18" t="s">
        <v>31</v>
      </c>
      <c r="J1595" s="19">
        <v>420000</v>
      </c>
      <c r="K1595" s="18">
        <v>7</v>
      </c>
      <c r="L1595" s="18" t="s">
        <v>17</v>
      </c>
      <c r="M1595" s="20">
        <f t="shared" si="49"/>
        <v>336000</v>
      </c>
      <c r="N1595" s="20">
        <f>'Working Sheet'!$J1595*'Working Sheet'!$K1595</f>
        <v>2940000</v>
      </c>
      <c r="O1595" s="21">
        <f>'Working Sheet'!$M1595*'Working Sheet'!$K1595</f>
        <v>2352000</v>
      </c>
      <c r="P1595" s="20">
        <f>'Working Sheet'!$N1595-'Working Sheet'!$O1595</f>
        <v>588000</v>
      </c>
    </row>
    <row r="1596" spans="1:16" ht="14.25" customHeight="1" x14ac:dyDescent="0.25">
      <c r="A1596" s="23" t="str">
        <f t="shared" ca="1" si="48"/>
        <v>ID_919</v>
      </c>
      <c r="B1596" s="22">
        <v>45683</v>
      </c>
      <c r="C1596" s="23" t="str">
        <f>TEXT('Working Sheet'!$B1596,"mmm")</f>
        <v>Jan</v>
      </c>
      <c r="D1596" s="23" t="s">
        <v>18</v>
      </c>
      <c r="E1596" s="23" t="s">
        <v>12</v>
      </c>
      <c r="F1596" s="23" t="s">
        <v>13</v>
      </c>
      <c r="G1596" s="23" t="s">
        <v>14</v>
      </c>
      <c r="H1596" s="23" t="s">
        <v>21</v>
      </c>
      <c r="I1596" s="23" t="s">
        <v>22</v>
      </c>
      <c r="J1596" s="24">
        <v>30000</v>
      </c>
      <c r="K1596" s="23">
        <v>3</v>
      </c>
      <c r="L1596" s="23" t="s">
        <v>35</v>
      </c>
      <c r="M1596" s="25">
        <f t="shared" si="49"/>
        <v>24000</v>
      </c>
      <c r="N1596" s="25">
        <f>'Working Sheet'!$J1596*'Working Sheet'!$K1596</f>
        <v>90000</v>
      </c>
      <c r="O1596" s="26">
        <f>'Working Sheet'!$M1596*'Working Sheet'!$K1596</f>
        <v>72000</v>
      </c>
      <c r="P1596" s="25">
        <f>'Working Sheet'!$N1596-'Working Sheet'!$O1596</f>
        <v>18000</v>
      </c>
    </row>
    <row r="1597" spans="1:16" ht="14.25" customHeight="1" x14ac:dyDescent="0.25">
      <c r="A1597" s="18" t="str">
        <f t="shared" ca="1" si="48"/>
        <v>ID_709</v>
      </c>
      <c r="B1597" s="17">
        <v>45777</v>
      </c>
      <c r="C1597" s="18" t="str">
        <f>TEXT('Working Sheet'!$B1597,"mmm")</f>
        <v>Apr</v>
      </c>
      <c r="D1597" s="18" t="s">
        <v>18</v>
      </c>
      <c r="E1597" s="18" t="s">
        <v>19</v>
      </c>
      <c r="F1597" s="18" t="s">
        <v>23</v>
      </c>
      <c r="G1597" s="18" t="s">
        <v>20</v>
      </c>
      <c r="H1597" s="18" t="s">
        <v>21</v>
      </c>
      <c r="I1597" s="18" t="s">
        <v>22</v>
      </c>
      <c r="J1597" s="19">
        <v>30000</v>
      </c>
      <c r="K1597" s="18">
        <v>9</v>
      </c>
      <c r="L1597" s="18" t="s">
        <v>17</v>
      </c>
      <c r="M1597" s="20">
        <f t="shared" si="49"/>
        <v>24000</v>
      </c>
      <c r="N1597" s="20">
        <f>'Working Sheet'!$J1597*'Working Sheet'!$K1597</f>
        <v>270000</v>
      </c>
      <c r="O1597" s="21">
        <f>'Working Sheet'!$M1597*'Working Sheet'!$K1597</f>
        <v>216000</v>
      </c>
      <c r="P1597" s="20">
        <f>'Working Sheet'!$N1597-'Working Sheet'!$O1597</f>
        <v>54000</v>
      </c>
    </row>
    <row r="1598" spans="1:16" ht="14.25" customHeight="1" x14ac:dyDescent="0.25">
      <c r="A1598" s="23" t="str">
        <f t="shared" ca="1" si="48"/>
        <v>ID_1751</v>
      </c>
      <c r="B1598" s="22">
        <v>45676</v>
      </c>
      <c r="C1598" s="23" t="str">
        <f>TEXT('Working Sheet'!$B1598,"mmm")</f>
        <v>Jan</v>
      </c>
      <c r="D1598" s="23" t="s">
        <v>25</v>
      </c>
      <c r="E1598" s="23" t="s">
        <v>12</v>
      </c>
      <c r="F1598" s="23" t="s">
        <v>23</v>
      </c>
      <c r="G1598" s="23" t="s">
        <v>20</v>
      </c>
      <c r="H1598" s="23" t="s">
        <v>27</v>
      </c>
      <c r="I1598" s="23" t="s">
        <v>22</v>
      </c>
      <c r="J1598" s="24">
        <v>60000</v>
      </c>
      <c r="K1598" s="23">
        <v>1</v>
      </c>
      <c r="L1598" s="23" t="s">
        <v>37</v>
      </c>
      <c r="M1598" s="25">
        <f t="shared" si="49"/>
        <v>48000</v>
      </c>
      <c r="N1598" s="25">
        <f>'Working Sheet'!$J1598*'Working Sheet'!$K1598</f>
        <v>60000</v>
      </c>
      <c r="O1598" s="26">
        <f>'Working Sheet'!$M1598*'Working Sheet'!$K1598</f>
        <v>48000</v>
      </c>
      <c r="P1598" s="25">
        <f>'Working Sheet'!$N1598-'Working Sheet'!$O1598</f>
        <v>12000</v>
      </c>
    </row>
    <row r="1599" spans="1:16" ht="14.25" customHeight="1" x14ac:dyDescent="0.25">
      <c r="A1599" s="18" t="str">
        <f t="shared" ca="1" si="48"/>
        <v>ID_647</v>
      </c>
      <c r="B1599" s="17">
        <v>45690</v>
      </c>
      <c r="C1599" s="18" t="str">
        <f>TEXT('Working Sheet'!$B1599,"mmm")</f>
        <v>Feb</v>
      </c>
      <c r="D1599" s="18" t="s">
        <v>29</v>
      </c>
      <c r="E1599" s="18" t="s">
        <v>12</v>
      </c>
      <c r="F1599" s="18" t="s">
        <v>23</v>
      </c>
      <c r="G1599" s="18" t="s">
        <v>14</v>
      </c>
      <c r="H1599" s="18" t="s">
        <v>40</v>
      </c>
      <c r="I1599" s="18" t="s">
        <v>31</v>
      </c>
      <c r="J1599" s="19">
        <v>250000</v>
      </c>
      <c r="K1599" s="18">
        <v>1</v>
      </c>
      <c r="L1599" s="18" t="s">
        <v>39</v>
      </c>
      <c r="M1599" s="20">
        <f t="shared" si="49"/>
        <v>200000</v>
      </c>
      <c r="N1599" s="20">
        <f>'Working Sheet'!$J1599*'Working Sheet'!$K1599</f>
        <v>250000</v>
      </c>
      <c r="O1599" s="21">
        <f>'Working Sheet'!$M1599*'Working Sheet'!$K1599</f>
        <v>200000</v>
      </c>
      <c r="P1599" s="20">
        <f>'Working Sheet'!$N1599-'Working Sheet'!$O1599</f>
        <v>50000</v>
      </c>
    </row>
    <row r="1600" spans="1:16" ht="14.25" customHeight="1" x14ac:dyDescent="0.25">
      <c r="A1600" s="23" t="str">
        <f t="shared" ca="1" si="48"/>
        <v>ID_1516</v>
      </c>
      <c r="B1600" s="22">
        <v>45702</v>
      </c>
      <c r="C1600" s="23" t="str">
        <f>TEXT('Working Sheet'!$B1600,"mmm")</f>
        <v>Feb</v>
      </c>
      <c r="D1600" s="23" t="s">
        <v>29</v>
      </c>
      <c r="E1600" s="23" t="s">
        <v>19</v>
      </c>
      <c r="F1600" s="23" t="s">
        <v>23</v>
      </c>
      <c r="G1600" s="23" t="s">
        <v>14</v>
      </c>
      <c r="H1600" s="23" t="s">
        <v>36</v>
      </c>
      <c r="I1600" s="23" t="s">
        <v>31</v>
      </c>
      <c r="J1600" s="24">
        <v>150000</v>
      </c>
      <c r="K1600" s="23">
        <v>9</v>
      </c>
      <c r="L1600" s="23" t="s">
        <v>17</v>
      </c>
      <c r="M1600" s="25">
        <f t="shared" si="49"/>
        <v>120000</v>
      </c>
      <c r="N1600" s="25">
        <f>'Working Sheet'!$J1600*'Working Sheet'!$K1600</f>
        <v>1350000</v>
      </c>
      <c r="O1600" s="26">
        <f>'Working Sheet'!$M1600*'Working Sheet'!$K1600</f>
        <v>1080000</v>
      </c>
      <c r="P1600" s="25">
        <f>'Working Sheet'!$N1600-'Working Sheet'!$O1600</f>
        <v>270000</v>
      </c>
    </row>
    <row r="1601" spans="1:16" ht="14.25" customHeight="1" x14ac:dyDescent="0.25">
      <c r="A1601" s="18" t="str">
        <f t="shared" ca="1" si="48"/>
        <v>ID_455</v>
      </c>
      <c r="B1601" s="17">
        <v>45756</v>
      </c>
      <c r="C1601" s="18" t="str">
        <f>TEXT('Working Sheet'!$B1601,"mmm")</f>
        <v>Apr</v>
      </c>
      <c r="D1601" s="18" t="s">
        <v>11</v>
      </c>
      <c r="E1601" s="18" t="s">
        <v>26</v>
      </c>
      <c r="F1601" s="18" t="s">
        <v>23</v>
      </c>
      <c r="G1601" s="18" t="s">
        <v>14</v>
      </c>
      <c r="H1601" s="18" t="s">
        <v>36</v>
      </c>
      <c r="I1601" s="18" t="s">
        <v>31</v>
      </c>
      <c r="J1601" s="19">
        <v>150000</v>
      </c>
      <c r="K1601" s="18">
        <v>8</v>
      </c>
      <c r="L1601" s="18" t="s">
        <v>24</v>
      </c>
      <c r="M1601" s="20">
        <f t="shared" si="49"/>
        <v>120000</v>
      </c>
      <c r="N1601" s="20">
        <f>'Working Sheet'!$J1601*'Working Sheet'!$K1601</f>
        <v>1200000</v>
      </c>
      <c r="O1601" s="21">
        <f>'Working Sheet'!$M1601*'Working Sheet'!$K1601</f>
        <v>960000</v>
      </c>
      <c r="P1601" s="20">
        <f>'Working Sheet'!$N1601-'Working Sheet'!$O1601</f>
        <v>240000</v>
      </c>
    </row>
    <row r="1602" spans="1:16" ht="14.25" customHeight="1" x14ac:dyDescent="0.25">
      <c r="A1602" s="23" t="str">
        <f t="shared" ref="A1602:A1665" ca="1" si="50">"ID_"&amp; RANDBETWEEN(1,2098)</f>
        <v>ID_624</v>
      </c>
      <c r="B1602" s="22">
        <v>45707</v>
      </c>
      <c r="C1602" s="23" t="str">
        <f>TEXT('Working Sheet'!$B1602,"mmm")</f>
        <v>Feb</v>
      </c>
      <c r="D1602" s="23" t="s">
        <v>25</v>
      </c>
      <c r="E1602" s="23" t="s">
        <v>12</v>
      </c>
      <c r="F1602" s="23" t="s">
        <v>13</v>
      </c>
      <c r="G1602" s="23" t="s">
        <v>20</v>
      </c>
      <c r="H1602" s="23" t="s">
        <v>27</v>
      </c>
      <c r="I1602" s="23" t="s">
        <v>22</v>
      </c>
      <c r="J1602" s="24">
        <v>60000</v>
      </c>
      <c r="K1602" s="23">
        <v>4</v>
      </c>
      <c r="L1602" s="23" t="s">
        <v>24</v>
      </c>
      <c r="M1602" s="25">
        <f t="shared" ref="M1602:M1665" si="51">J1602-J1602*0.2</f>
        <v>48000</v>
      </c>
      <c r="N1602" s="25">
        <f>'Working Sheet'!$J1602*'Working Sheet'!$K1602</f>
        <v>240000</v>
      </c>
      <c r="O1602" s="26">
        <f>'Working Sheet'!$M1602*'Working Sheet'!$K1602</f>
        <v>192000</v>
      </c>
      <c r="P1602" s="25">
        <f>'Working Sheet'!$N1602-'Working Sheet'!$O1602</f>
        <v>48000</v>
      </c>
    </row>
    <row r="1603" spans="1:16" ht="14.25" customHeight="1" x14ac:dyDescent="0.25">
      <c r="A1603" s="18" t="str">
        <f t="shared" ca="1" si="50"/>
        <v>ID_2018</v>
      </c>
      <c r="B1603" s="17">
        <v>45719</v>
      </c>
      <c r="C1603" s="18" t="str">
        <f>TEXT('Working Sheet'!$B1603,"mmm")</f>
        <v>Mar</v>
      </c>
      <c r="D1603" s="18" t="s">
        <v>11</v>
      </c>
      <c r="E1603" s="18" t="s">
        <v>32</v>
      </c>
      <c r="F1603" s="18" t="s">
        <v>13</v>
      </c>
      <c r="G1603" s="18" t="s">
        <v>20</v>
      </c>
      <c r="H1603" s="18" t="s">
        <v>21</v>
      </c>
      <c r="I1603" s="18" t="s">
        <v>22</v>
      </c>
      <c r="J1603" s="19">
        <v>30000</v>
      </c>
      <c r="K1603" s="18">
        <v>3</v>
      </c>
      <c r="L1603" s="18" t="s">
        <v>35</v>
      </c>
      <c r="M1603" s="20">
        <f t="shared" si="51"/>
        <v>24000</v>
      </c>
      <c r="N1603" s="20">
        <f>'Working Sheet'!$J1603*'Working Sheet'!$K1603</f>
        <v>90000</v>
      </c>
      <c r="O1603" s="21">
        <f>'Working Sheet'!$M1603*'Working Sheet'!$K1603</f>
        <v>72000</v>
      </c>
      <c r="P1603" s="20">
        <f>'Working Sheet'!$N1603-'Working Sheet'!$O1603</f>
        <v>18000</v>
      </c>
    </row>
    <row r="1604" spans="1:16" ht="14.25" customHeight="1" x14ac:dyDescent="0.25">
      <c r="A1604" s="23" t="str">
        <f t="shared" ca="1" si="50"/>
        <v>ID_49</v>
      </c>
      <c r="B1604" s="22">
        <v>45753</v>
      </c>
      <c r="C1604" s="23" t="str">
        <f>TEXT('Working Sheet'!$B1604,"mmm")</f>
        <v>Apr</v>
      </c>
      <c r="D1604" s="23" t="s">
        <v>11</v>
      </c>
      <c r="E1604" s="23" t="s">
        <v>12</v>
      </c>
      <c r="F1604" s="23" t="s">
        <v>13</v>
      </c>
      <c r="G1604" s="23" t="s">
        <v>20</v>
      </c>
      <c r="H1604" s="23" t="s">
        <v>34</v>
      </c>
      <c r="I1604" s="23" t="s">
        <v>16</v>
      </c>
      <c r="J1604" s="24">
        <v>320000</v>
      </c>
      <c r="K1604" s="23">
        <v>4</v>
      </c>
      <c r="L1604" s="23" t="s">
        <v>35</v>
      </c>
      <c r="M1604" s="25">
        <f t="shared" si="51"/>
        <v>256000</v>
      </c>
      <c r="N1604" s="25">
        <f>'Working Sheet'!$J1604*'Working Sheet'!$K1604</f>
        <v>1280000</v>
      </c>
      <c r="O1604" s="26">
        <f>'Working Sheet'!$M1604*'Working Sheet'!$K1604</f>
        <v>1024000</v>
      </c>
      <c r="P1604" s="25">
        <f>'Working Sheet'!$N1604-'Working Sheet'!$O1604</f>
        <v>256000</v>
      </c>
    </row>
    <row r="1605" spans="1:16" ht="14.25" customHeight="1" x14ac:dyDescent="0.25">
      <c r="A1605" s="18" t="str">
        <f t="shared" ca="1" si="50"/>
        <v>ID_76</v>
      </c>
      <c r="B1605" s="17">
        <v>45719</v>
      </c>
      <c r="C1605" s="18" t="str">
        <f>TEXT('Working Sheet'!$B1605,"mmm")</f>
        <v>Mar</v>
      </c>
      <c r="D1605" s="18" t="s">
        <v>29</v>
      </c>
      <c r="E1605" s="18" t="s">
        <v>26</v>
      </c>
      <c r="F1605" s="18" t="s">
        <v>23</v>
      </c>
      <c r="G1605" s="18" t="s">
        <v>14</v>
      </c>
      <c r="H1605" s="18" t="s">
        <v>33</v>
      </c>
      <c r="I1605" s="18" t="s">
        <v>22</v>
      </c>
      <c r="J1605" s="19">
        <v>180000</v>
      </c>
      <c r="K1605" s="18">
        <v>8</v>
      </c>
      <c r="L1605" s="18" t="s">
        <v>28</v>
      </c>
      <c r="M1605" s="20">
        <f t="shared" si="51"/>
        <v>144000</v>
      </c>
      <c r="N1605" s="20">
        <f>'Working Sheet'!$J1605*'Working Sheet'!$K1605</f>
        <v>1440000</v>
      </c>
      <c r="O1605" s="21">
        <f>'Working Sheet'!$M1605*'Working Sheet'!$K1605</f>
        <v>1152000</v>
      </c>
      <c r="P1605" s="20">
        <f>'Working Sheet'!$N1605-'Working Sheet'!$O1605</f>
        <v>288000</v>
      </c>
    </row>
    <row r="1606" spans="1:16" ht="14.25" customHeight="1" x14ac:dyDescent="0.25">
      <c r="A1606" s="23" t="str">
        <f t="shared" ca="1" si="50"/>
        <v>ID_1308</v>
      </c>
      <c r="B1606" s="22">
        <v>45777</v>
      </c>
      <c r="C1606" s="23" t="str">
        <f>TEXT('Working Sheet'!$B1606,"mmm")</f>
        <v>Apr</v>
      </c>
      <c r="D1606" s="23" t="s">
        <v>18</v>
      </c>
      <c r="E1606" s="23" t="s">
        <v>32</v>
      </c>
      <c r="F1606" s="23" t="s">
        <v>13</v>
      </c>
      <c r="G1606" s="23" t="s">
        <v>20</v>
      </c>
      <c r="H1606" s="23" t="s">
        <v>15</v>
      </c>
      <c r="I1606" s="23" t="s">
        <v>16</v>
      </c>
      <c r="J1606" s="24">
        <v>85000</v>
      </c>
      <c r="K1606" s="23">
        <v>4</v>
      </c>
      <c r="L1606" s="23" t="s">
        <v>24</v>
      </c>
      <c r="M1606" s="25">
        <f t="shared" si="51"/>
        <v>68000</v>
      </c>
      <c r="N1606" s="25">
        <f>'Working Sheet'!$J1606*'Working Sheet'!$K1606</f>
        <v>340000</v>
      </c>
      <c r="O1606" s="26">
        <f>'Working Sheet'!$M1606*'Working Sheet'!$K1606</f>
        <v>272000</v>
      </c>
      <c r="P1606" s="25">
        <f>'Working Sheet'!$N1606-'Working Sheet'!$O1606</f>
        <v>68000</v>
      </c>
    </row>
    <row r="1607" spans="1:16" ht="14.25" customHeight="1" x14ac:dyDescent="0.25">
      <c r="A1607" s="18" t="str">
        <f t="shared" ca="1" si="50"/>
        <v>ID_411</v>
      </c>
      <c r="B1607" s="17">
        <v>45710</v>
      </c>
      <c r="C1607" s="18" t="str">
        <f>TEXT('Working Sheet'!$B1607,"mmm")</f>
        <v>Feb</v>
      </c>
      <c r="D1607" s="18" t="s">
        <v>29</v>
      </c>
      <c r="E1607" s="18" t="s">
        <v>19</v>
      </c>
      <c r="F1607" s="18" t="s">
        <v>23</v>
      </c>
      <c r="G1607" s="18" t="s">
        <v>20</v>
      </c>
      <c r="H1607" s="18" t="s">
        <v>41</v>
      </c>
      <c r="I1607" s="18" t="s">
        <v>22</v>
      </c>
      <c r="J1607" s="19">
        <v>220000</v>
      </c>
      <c r="K1607" s="18">
        <v>10</v>
      </c>
      <c r="L1607" s="18" t="s">
        <v>17</v>
      </c>
      <c r="M1607" s="20">
        <f t="shared" si="51"/>
        <v>176000</v>
      </c>
      <c r="N1607" s="20">
        <f>'Working Sheet'!$J1607*'Working Sheet'!$K1607</f>
        <v>2200000</v>
      </c>
      <c r="O1607" s="21">
        <f>'Working Sheet'!$M1607*'Working Sheet'!$K1607</f>
        <v>1760000</v>
      </c>
      <c r="P1607" s="20">
        <f>'Working Sheet'!$N1607-'Working Sheet'!$O1607</f>
        <v>440000</v>
      </c>
    </row>
    <row r="1608" spans="1:16" ht="14.25" customHeight="1" x14ac:dyDescent="0.25">
      <c r="A1608" s="23" t="str">
        <f t="shared" ca="1" si="50"/>
        <v>ID_1789</v>
      </c>
      <c r="B1608" s="22">
        <v>45683</v>
      </c>
      <c r="C1608" s="23" t="str">
        <f>TEXT('Working Sheet'!$B1608,"mmm")</f>
        <v>Jan</v>
      </c>
      <c r="D1608" s="23" t="s">
        <v>25</v>
      </c>
      <c r="E1608" s="23" t="s">
        <v>12</v>
      </c>
      <c r="F1608" s="23" t="s">
        <v>23</v>
      </c>
      <c r="G1608" s="23" t="s">
        <v>20</v>
      </c>
      <c r="H1608" s="23" t="s">
        <v>15</v>
      </c>
      <c r="I1608" s="23" t="s">
        <v>16</v>
      </c>
      <c r="J1608" s="24">
        <v>85000</v>
      </c>
      <c r="K1608" s="23">
        <v>5</v>
      </c>
      <c r="L1608" s="23" t="s">
        <v>35</v>
      </c>
      <c r="M1608" s="25">
        <f t="shared" si="51"/>
        <v>68000</v>
      </c>
      <c r="N1608" s="25">
        <f>'Working Sheet'!$J1608*'Working Sheet'!$K1608</f>
        <v>425000</v>
      </c>
      <c r="O1608" s="26">
        <f>'Working Sheet'!$M1608*'Working Sheet'!$K1608</f>
        <v>340000</v>
      </c>
      <c r="P1608" s="25">
        <f>'Working Sheet'!$N1608-'Working Sheet'!$O1608</f>
        <v>85000</v>
      </c>
    </row>
    <row r="1609" spans="1:16" ht="14.25" customHeight="1" x14ac:dyDescent="0.25">
      <c r="A1609" s="18" t="str">
        <f t="shared" ca="1" si="50"/>
        <v>ID_1820</v>
      </c>
      <c r="B1609" s="17">
        <v>45674</v>
      </c>
      <c r="C1609" s="18" t="str">
        <f>TEXT('Working Sheet'!$B1609,"mmm")</f>
        <v>Jan</v>
      </c>
      <c r="D1609" s="18" t="s">
        <v>11</v>
      </c>
      <c r="E1609" s="18" t="s">
        <v>19</v>
      </c>
      <c r="F1609" s="18" t="s">
        <v>13</v>
      </c>
      <c r="G1609" s="18" t="s">
        <v>20</v>
      </c>
      <c r="H1609" s="18" t="s">
        <v>30</v>
      </c>
      <c r="I1609" s="18" t="s">
        <v>31</v>
      </c>
      <c r="J1609" s="19">
        <v>300000</v>
      </c>
      <c r="K1609" s="18">
        <v>2</v>
      </c>
      <c r="L1609" s="18" t="s">
        <v>37</v>
      </c>
      <c r="M1609" s="20">
        <f t="shared" si="51"/>
        <v>240000</v>
      </c>
      <c r="N1609" s="20">
        <f>'Working Sheet'!$J1609*'Working Sheet'!$K1609</f>
        <v>600000</v>
      </c>
      <c r="O1609" s="21">
        <f>'Working Sheet'!$M1609*'Working Sheet'!$K1609</f>
        <v>480000</v>
      </c>
      <c r="P1609" s="20">
        <f>'Working Sheet'!$N1609-'Working Sheet'!$O1609</f>
        <v>120000</v>
      </c>
    </row>
    <row r="1610" spans="1:16" ht="14.25" customHeight="1" x14ac:dyDescent="0.25">
      <c r="A1610" s="23" t="str">
        <f t="shared" ca="1" si="50"/>
        <v>ID_1662</v>
      </c>
      <c r="B1610" s="22">
        <v>45722</v>
      </c>
      <c r="C1610" s="23" t="str">
        <f>TEXT('Working Sheet'!$B1610,"mmm")</f>
        <v>Mar</v>
      </c>
      <c r="D1610" s="23" t="s">
        <v>18</v>
      </c>
      <c r="E1610" s="23" t="s">
        <v>32</v>
      </c>
      <c r="F1610" s="23" t="s">
        <v>23</v>
      </c>
      <c r="G1610" s="23" t="s">
        <v>14</v>
      </c>
      <c r="H1610" s="23" t="s">
        <v>33</v>
      </c>
      <c r="I1610" s="23" t="s">
        <v>22</v>
      </c>
      <c r="J1610" s="24">
        <v>180000</v>
      </c>
      <c r="K1610" s="23">
        <v>1</v>
      </c>
      <c r="L1610" s="23" t="s">
        <v>35</v>
      </c>
      <c r="M1610" s="25">
        <f t="shared" si="51"/>
        <v>144000</v>
      </c>
      <c r="N1610" s="25">
        <f>'Working Sheet'!$J1610*'Working Sheet'!$K1610</f>
        <v>180000</v>
      </c>
      <c r="O1610" s="26">
        <f>'Working Sheet'!$M1610*'Working Sheet'!$K1610</f>
        <v>144000</v>
      </c>
      <c r="P1610" s="25">
        <f>'Working Sheet'!$N1610-'Working Sheet'!$O1610</f>
        <v>36000</v>
      </c>
    </row>
    <row r="1611" spans="1:16" ht="14.25" customHeight="1" x14ac:dyDescent="0.25">
      <c r="A1611" s="18" t="str">
        <f t="shared" ca="1" si="50"/>
        <v>ID_40</v>
      </c>
      <c r="B1611" s="17">
        <v>45681</v>
      </c>
      <c r="C1611" s="18" t="str">
        <f>TEXT('Working Sheet'!$B1611,"mmm")</f>
        <v>Jan</v>
      </c>
      <c r="D1611" s="18" t="s">
        <v>25</v>
      </c>
      <c r="E1611" s="18" t="s">
        <v>32</v>
      </c>
      <c r="F1611" s="18" t="s">
        <v>13</v>
      </c>
      <c r="G1611" s="18" t="s">
        <v>14</v>
      </c>
      <c r="H1611" s="18" t="s">
        <v>36</v>
      </c>
      <c r="I1611" s="18" t="s">
        <v>31</v>
      </c>
      <c r="J1611" s="19">
        <v>150000</v>
      </c>
      <c r="K1611" s="18">
        <v>3</v>
      </c>
      <c r="L1611" s="18" t="s">
        <v>35</v>
      </c>
      <c r="M1611" s="20">
        <f t="shared" si="51"/>
        <v>120000</v>
      </c>
      <c r="N1611" s="20">
        <f>'Working Sheet'!$J1611*'Working Sheet'!$K1611</f>
        <v>450000</v>
      </c>
      <c r="O1611" s="21">
        <f>'Working Sheet'!$M1611*'Working Sheet'!$K1611</f>
        <v>360000</v>
      </c>
      <c r="P1611" s="20">
        <f>'Working Sheet'!$N1611-'Working Sheet'!$O1611</f>
        <v>90000</v>
      </c>
    </row>
    <row r="1612" spans="1:16" ht="14.25" customHeight="1" x14ac:dyDescent="0.25">
      <c r="A1612" s="23" t="str">
        <f t="shared" ca="1" si="50"/>
        <v>ID_1810</v>
      </c>
      <c r="B1612" s="22">
        <v>45770</v>
      </c>
      <c r="C1612" s="23" t="str">
        <f>TEXT('Working Sheet'!$B1612,"mmm")</f>
        <v>Apr</v>
      </c>
      <c r="D1612" s="23" t="s">
        <v>25</v>
      </c>
      <c r="E1612" s="23" t="s">
        <v>26</v>
      </c>
      <c r="F1612" s="23" t="s">
        <v>23</v>
      </c>
      <c r="G1612" s="23" t="s">
        <v>20</v>
      </c>
      <c r="H1612" s="23" t="s">
        <v>33</v>
      </c>
      <c r="I1612" s="23" t="s">
        <v>22</v>
      </c>
      <c r="J1612" s="24">
        <v>180000</v>
      </c>
      <c r="K1612" s="23">
        <v>3</v>
      </c>
      <c r="L1612" s="23" t="s">
        <v>28</v>
      </c>
      <c r="M1612" s="25">
        <f t="shared" si="51"/>
        <v>144000</v>
      </c>
      <c r="N1612" s="25">
        <f>'Working Sheet'!$J1612*'Working Sheet'!$K1612</f>
        <v>540000</v>
      </c>
      <c r="O1612" s="26">
        <f>'Working Sheet'!$M1612*'Working Sheet'!$K1612</f>
        <v>432000</v>
      </c>
      <c r="P1612" s="25">
        <f>'Working Sheet'!$N1612-'Working Sheet'!$O1612</f>
        <v>108000</v>
      </c>
    </row>
    <row r="1613" spans="1:16" ht="14.25" customHeight="1" x14ac:dyDescent="0.25">
      <c r="A1613" s="18" t="str">
        <f t="shared" ca="1" si="50"/>
        <v>ID_1609</v>
      </c>
      <c r="B1613" s="17">
        <v>45697</v>
      </c>
      <c r="C1613" s="18" t="str">
        <f>TEXT('Working Sheet'!$B1613,"mmm")</f>
        <v>Feb</v>
      </c>
      <c r="D1613" s="18" t="s">
        <v>29</v>
      </c>
      <c r="E1613" s="18" t="s">
        <v>26</v>
      </c>
      <c r="F1613" s="18" t="s">
        <v>13</v>
      </c>
      <c r="G1613" s="18" t="s">
        <v>14</v>
      </c>
      <c r="H1613" s="18" t="s">
        <v>36</v>
      </c>
      <c r="I1613" s="18" t="s">
        <v>31</v>
      </c>
      <c r="J1613" s="19">
        <v>150000</v>
      </c>
      <c r="K1613" s="18">
        <v>5</v>
      </c>
      <c r="L1613" s="18" t="s">
        <v>24</v>
      </c>
      <c r="M1613" s="20">
        <f t="shared" si="51"/>
        <v>120000</v>
      </c>
      <c r="N1613" s="20">
        <f>'Working Sheet'!$J1613*'Working Sheet'!$K1613</f>
        <v>750000</v>
      </c>
      <c r="O1613" s="21">
        <f>'Working Sheet'!$M1613*'Working Sheet'!$K1613</f>
        <v>600000</v>
      </c>
      <c r="P1613" s="20">
        <f>'Working Sheet'!$N1613-'Working Sheet'!$O1613</f>
        <v>150000</v>
      </c>
    </row>
    <row r="1614" spans="1:16" ht="14.25" customHeight="1" x14ac:dyDescent="0.25">
      <c r="A1614" s="23" t="str">
        <f t="shared" ca="1" si="50"/>
        <v>ID_1668</v>
      </c>
      <c r="B1614" s="22">
        <v>45709</v>
      </c>
      <c r="C1614" s="23" t="str">
        <f>TEXT('Working Sheet'!$B1614,"mmm")</f>
        <v>Feb</v>
      </c>
      <c r="D1614" s="23" t="s">
        <v>18</v>
      </c>
      <c r="E1614" s="23" t="s">
        <v>32</v>
      </c>
      <c r="F1614" s="23" t="s">
        <v>23</v>
      </c>
      <c r="G1614" s="23" t="s">
        <v>14</v>
      </c>
      <c r="H1614" s="23" t="s">
        <v>27</v>
      </c>
      <c r="I1614" s="23" t="s">
        <v>22</v>
      </c>
      <c r="J1614" s="24">
        <v>60000</v>
      </c>
      <c r="K1614" s="23">
        <v>8</v>
      </c>
      <c r="L1614" s="23" t="s">
        <v>24</v>
      </c>
      <c r="M1614" s="25">
        <f t="shared" si="51"/>
        <v>48000</v>
      </c>
      <c r="N1614" s="25">
        <f>'Working Sheet'!$J1614*'Working Sheet'!$K1614</f>
        <v>480000</v>
      </c>
      <c r="O1614" s="26">
        <f>'Working Sheet'!$M1614*'Working Sheet'!$K1614</f>
        <v>384000</v>
      </c>
      <c r="P1614" s="25">
        <f>'Working Sheet'!$N1614-'Working Sheet'!$O1614</f>
        <v>96000</v>
      </c>
    </row>
    <row r="1615" spans="1:16" ht="14.25" customHeight="1" x14ac:dyDescent="0.25">
      <c r="A1615" s="18" t="str">
        <f t="shared" ca="1" si="50"/>
        <v>ID_458</v>
      </c>
      <c r="B1615" s="17">
        <v>45728</v>
      </c>
      <c r="C1615" s="18" t="str">
        <f>TEXT('Working Sheet'!$B1615,"mmm")</f>
        <v>Mar</v>
      </c>
      <c r="D1615" s="18" t="s">
        <v>18</v>
      </c>
      <c r="E1615" s="18" t="s">
        <v>12</v>
      </c>
      <c r="F1615" s="18" t="s">
        <v>13</v>
      </c>
      <c r="G1615" s="18" t="s">
        <v>20</v>
      </c>
      <c r="H1615" s="18" t="s">
        <v>40</v>
      </c>
      <c r="I1615" s="18" t="s">
        <v>31</v>
      </c>
      <c r="J1615" s="19">
        <v>250000</v>
      </c>
      <c r="K1615" s="18">
        <v>5</v>
      </c>
      <c r="L1615" s="18" t="s">
        <v>24</v>
      </c>
      <c r="M1615" s="20">
        <f t="shared" si="51"/>
        <v>200000</v>
      </c>
      <c r="N1615" s="20">
        <f>'Working Sheet'!$J1615*'Working Sheet'!$K1615</f>
        <v>1250000</v>
      </c>
      <c r="O1615" s="21">
        <f>'Working Sheet'!$M1615*'Working Sheet'!$K1615</f>
        <v>1000000</v>
      </c>
      <c r="P1615" s="20">
        <f>'Working Sheet'!$N1615-'Working Sheet'!$O1615</f>
        <v>250000</v>
      </c>
    </row>
    <row r="1616" spans="1:16" ht="14.25" customHeight="1" x14ac:dyDescent="0.25">
      <c r="A1616" s="23" t="str">
        <f t="shared" ca="1" si="50"/>
        <v>ID_1607</v>
      </c>
      <c r="B1616" s="22">
        <v>45772</v>
      </c>
      <c r="C1616" s="23" t="str">
        <f>TEXT('Working Sheet'!$B1616,"mmm")</f>
        <v>Apr</v>
      </c>
      <c r="D1616" s="23" t="s">
        <v>18</v>
      </c>
      <c r="E1616" s="23" t="s">
        <v>26</v>
      </c>
      <c r="F1616" s="23" t="s">
        <v>13</v>
      </c>
      <c r="G1616" s="23" t="s">
        <v>14</v>
      </c>
      <c r="H1616" s="23" t="s">
        <v>33</v>
      </c>
      <c r="I1616" s="23" t="s">
        <v>22</v>
      </c>
      <c r="J1616" s="24">
        <v>180000</v>
      </c>
      <c r="K1616" s="23">
        <v>3</v>
      </c>
      <c r="L1616" s="23" t="s">
        <v>17</v>
      </c>
      <c r="M1616" s="25">
        <f t="shared" si="51"/>
        <v>144000</v>
      </c>
      <c r="N1616" s="25">
        <f>'Working Sheet'!$J1616*'Working Sheet'!$K1616</f>
        <v>540000</v>
      </c>
      <c r="O1616" s="26">
        <f>'Working Sheet'!$M1616*'Working Sheet'!$K1616</f>
        <v>432000</v>
      </c>
      <c r="P1616" s="25">
        <f>'Working Sheet'!$N1616-'Working Sheet'!$O1616</f>
        <v>108000</v>
      </c>
    </row>
    <row r="1617" spans="1:16" ht="14.25" customHeight="1" x14ac:dyDescent="0.25">
      <c r="A1617" s="18" t="str">
        <f t="shared" ca="1" si="50"/>
        <v>ID_1310</v>
      </c>
      <c r="B1617" s="17">
        <v>45731</v>
      </c>
      <c r="C1617" s="18" t="str">
        <f>TEXT('Working Sheet'!$B1617,"mmm")</f>
        <v>Mar</v>
      </c>
      <c r="D1617" s="18" t="s">
        <v>29</v>
      </c>
      <c r="E1617" s="18" t="s">
        <v>12</v>
      </c>
      <c r="F1617" s="18" t="s">
        <v>23</v>
      </c>
      <c r="G1617" s="18" t="s">
        <v>14</v>
      </c>
      <c r="H1617" s="18" t="s">
        <v>34</v>
      </c>
      <c r="I1617" s="18" t="s">
        <v>16</v>
      </c>
      <c r="J1617" s="19">
        <v>320000</v>
      </c>
      <c r="K1617" s="18">
        <v>9</v>
      </c>
      <c r="L1617" s="18" t="s">
        <v>17</v>
      </c>
      <c r="M1617" s="20">
        <f t="shared" si="51"/>
        <v>256000</v>
      </c>
      <c r="N1617" s="20">
        <f>'Working Sheet'!$J1617*'Working Sheet'!$K1617</f>
        <v>2880000</v>
      </c>
      <c r="O1617" s="21">
        <f>'Working Sheet'!$M1617*'Working Sheet'!$K1617</f>
        <v>2304000</v>
      </c>
      <c r="P1617" s="20">
        <f>'Working Sheet'!$N1617-'Working Sheet'!$O1617</f>
        <v>576000</v>
      </c>
    </row>
    <row r="1618" spans="1:16" ht="14.25" customHeight="1" x14ac:dyDescent="0.25">
      <c r="A1618" s="23" t="str">
        <f t="shared" ca="1" si="50"/>
        <v>ID_1199</v>
      </c>
      <c r="B1618" s="22">
        <v>45707</v>
      </c>
      <c r="C1618" s="23" t="str">
        <f>TEXT('Working Sheet'!$B1618,"mmm")</f>
        <v>Feb</v>
      </c>
      <c r="D1618" s="23" t="s">
        <v>11</v>
      </c>
      <c r="E1618" s="23" t="s">
        <v>12</v>
      </c>
      <c r="F1618" s="23" t="s">
        <v>23</v>
      </c>
      <c r="G1618" s="23" t="s">
        <v>20</v>
      </c>
      <c r="H1618" s="23" t="s">
        <v>15</v>
      </c>
      <c r="I1618" s="23" t="s">
        <v>16</v>
      </c>
      <c r="J1618" s="24">
        <v>85000</v>
      </c>
      <c r="K1618" s="23">
        <v>5</v>
      </c>
      <c r="L1618" s="23" t="s">
        <v>28</v>
      </c>
      <c r="M1618" s="25">
        <f t="shared" si="51"/>
        <v>68000</v>
      </c>
      <c r="N1618" s="25">
        <f>'Working Sheet'!$J1618*'Working Sheet'!$K1618</f>
        <v>425000</v>
      </c>
      <c r="O1618" s="26">
        <f>'Working Sheet'!$M1618*'Working Sheet'!$K1618</f>
        <v>340000</v>
      </c>
      <c r="P1618" s="25">
        <f>'Working Sheet'!$N1618-'Working Sheet'!$O1618</f>
        <v>85000</v>
      </c>
    </row>
    <row r="1619" spans="1:16" ht="14.25" customHeight="1" x14ac:dyDescent="0.25">
      <c r="A1619" s="18" t="str">
        <f t="shared" ca="1" si="50"/>
        <v>ID_1655</v>
      </c>
      <c r="B1619" s="17">
        <v>45661</v>
      </c>
      <c r="C1619" s="18" t="str">
        <f>TEXT('Working Sheet'!$B1619,"mmm")</f>
        <v>Jan</v>
      </c>
      <c r="D1619" s="18" t="s">
        <v>25</v>
      </c>
      <c r="E1619" s="18" t="s">
        <v>19</v>
      </c>
      <c r="F1619" s="18" t="s">
        <v>13</v>
      </c>
      <c r="G1619" s="18" t="s">
        <v>14</v>
      </c>
      <c r="H1619" s="18" t="s">
        <v>41</v>
      </c>
      <c r="I1619" s="18" t="s">
        <v>22</v>
      </c>
      <c r="J1619" s="19">
        <v>220000</v>
      </c>
      <c r="K1619" s="18">
        <v>1</v>
      </c>
      <c r="L1619" s="18" t="s">
        <v>37</v>
      </c>
      <c r="M1619" s="20">
        <f t="shared" si="51"/>
        <v>176000</v>
      </c>
      <c r="N1619" s="20">
        <f>'Working Sheet'!$J1619*'Working Sheet'!$K1619</f>
        <v>220000</v>
      </c>
      <c r="O1619" s="21">
        <f>'Working Sheet'!$M1619*'Working Sheet'!$K1619</f>
        <v>176000</v>
      </c>
      <c r="P1619" s="20">
        <f>'Working Sheet'!$N1619-'Working Sheet'!$O1619</f>
        <v>44000</v>
      </c>
    </row>
    <row r="1620" spans="1:16" ht="14.25" customHeight="1" x14ac:dyDescent="0.25">
      <c r="A1620" s="23" t="str">
        <f t="shared" ca="1" si="50"/>
        <v>ID_703</v>
      </c>
      <c r="B1620" s="22">
        <v>45713</v>
      </c>
      <c r="C1620" s="23" t="str">
        <f>TEXT('Working Sheet'!$B1620,"mmm")</f>
        <v>Feb</v>
      </c>
      <c r="D1620" s="23" t="s">
        <v>18</v>
      </c>
      <c r="E1620" s="23" t="s">
        <v>19</v>
      </c>
      <c r="F1620" s="23" t="s">
        <v>13</v>
      </c>
      <c r="G1620" s="23" t="s">
        <v>20</v>
      </c>
      <c r="H1620" s="23" t="s">
        <v>33</v>
      </c>
      <c r="I1620" s="23" t="s">
        <v>22</v>
      </c>
      <c r="J1620" s="24">
        <v>180000</v>
      </c>
      <c r="K1620" s="23">
        <v>2</v>
      </c>
      <c r="L1620" s="23" t="s">
        <v>28</v>
      </c>
      <c r="M1620" s="25">
        <f t="shared" si="51"/>
        <v>144000</v>
      </c>
      <c r="N1620" s="25">
        <f>'Working Sheet'!$J1620*'Working Sheet'!$K1620</f>
        <v>360000</v>
      </c>
      <c r="O1620" s="26">
        <f>'Working Sheet'!$M1620*'Working Sheet'!$K1620</f>
        <v>288000</v>
      </c>
      <c r="P1620" s="25">
        <f>'Working Sheet'!$N1620-'Working Sheet'!$O1620</f>
        <v>72000</v>
      </c>
    </row>
    <row r="1621" spans="1:16" ht="14.25" customHeight="1" x14ac:dyDescent="0.25">
      <c r="A1621" s="18" t="str">
        <f t="shared" ca="1" si="50"/>
        <v>ID_142</v>
      </c>
      <c r="B1621" s="17">
        <v>45729</v>
      </c>
      <c r="C1621" s="18" t="str">
        <f>TEXT('Working Sheet'!$B1621,"mmm")</f>
        <v>Mar</v>
      </c>
      <c r="D1621" s="18" t="s">
        <v>18</v>
      </c>
      <c r="E1621" s="18" t="s">
        <v>19</v>
      </c>
      <c r="F1621" s="18" t="s">
        <v>23</v>
      </c>
      <c r="G1621" s="18" t="s">
        <v>20</v>
      </c>
      <c r="H1621" s="18" t="s">
        <v>36</v>
      </c>
      <c r="I1621" s="18" t="s">
        <v>31</v>
      </c>
      <c r="J1621" s="19">
        <v>150000</v>
      </c>
      <c r="K1621" s="18">
        <v>1</v>
      </c>
      <c r="L1621" s="18" t="s">
        <v>35</v>
      </c>
      <c r="M1621" s="20">
        <f t="shared" si="51"/>
        <v>120000</v>
      </c>
      <c r="N1621" s="20">
        <f>'Working Sheet'!$J1621*'Working Sheet'!$K1621</f>
        <v>150000</v>
      </c>
      <c r="O1621" s="21">
        <f>'Working Sheet'!$M1621*'Working Sheet'!$K1621</f>
        <v>120000</v>
      </c>
      <c r="P1621" s="20">
        <f>'Working Sheet'!$N1621-'Working Sheet'!$O1621</f>
        <v>30000</v>
      </c>
    </row>
    <row r="1622" spans="1:16" ht="14.25" customHeight="1" x14ac:dyDescent="0.25">
      <c r="A1622" s="23" t="str">
        <f t="shared" ca="1" si="50"/>
        <v>ID_1552</v>
      </c>
      <c r="B1622" s="22">
        <v>45744</v>
      </c>
      <c r="C1622" s="23" t="str">
        <f>TEXT('Working Sheet'!$B1622,"mmm")</f>
        <v>Mar</v>
      </c>
      <c r="D1622" s="23" t="s">
        <v>11</v>
      </c>
      <c r="E1622" s="23" t="s">
        <v>26</v>
      </c>
      <c r="F1622" s="23" t="s">
        <v>13</v>
      </c>
      <c r="G1622" s="23" t="s">
        <v>20</v>
      </c>
      <c r="H1622" s="23" t="s">
        <v>33</v>
      </c>
      <c r="I1622" s="23" t="s">
        <v>22</v>
      </c>
      <c r="J1622" s="24">
        <v>180000</v>
      </c>
      <c r="K1622" s="23">
        <v>2</v>
      </c>
      <c r="L1622" s="23" t="s">
        <v>24</v>
      </c>
      <c r="M1622" s="25">
        <f t="shared" si="51"/>
        <v>144000</v>
      </c>
      <c r="N1622" s="25">
        <f>'Working Sheet'!$J1622*'Working Sheet'!$K1622</f>
        <v>360000</v>
      </c>
      <c r="O1622" s="26">
        <f>'Working Sheet'!$M1622*'Working Sheet'!$K1622</f>
        <v>288000</v>
      </c>
      <c r="P1622" s="25">
        <f>'Working Sheet'!$N1622-'Working Sheet'!$O1622</f>
        <v>72000</v>
      </c>
    </row>
    <row r="1623" spans="1:16" ht="14.25" customHeight="1" x14ac:dyDescent="0.25">
      <c r="A1623" s="18" t="str">
        <f t="shared" ca="1" si="50"/>
        <v>ID_389</v>
      </c>
      <c r="B1623" s="17">
        <v>45778</v>
      </c>
      <c r="C1623" s="18" t="str">
        <f>TEXT('Working Sheet'!$B1623,"mmm")</f>
        <v>May</v>
      </c>
      <c r="D1623" s="18" t="s">
        <v>29</v>
      </c>
      <c r="E1623" s="18" t="s">
        <v>32</v>
      </c>
      <c r="F1623" s="18" t="s">
        <v>23</v>
      </c>
      <c r="G1623" s="18" t="s">
        <v>14</v>
      </c>
      <c r="H1623" s="18" t="s">
        <v>34</v>
      </c>
      <c r="I1623" s="18" t="s">
        <v>16</v>
      </c>
      <c r="J1623" s="19">
        <v>320000</v>
      </c>
      <c r="K1623" s="18">
        <v>4</v>
      </c>
      <c r="L1623" s="18" t="s">
        <v>39</v>
      </c>
      <c r="M1623" s="20">
        <f t="shared" si="51"/>
        <v>256000</v>
      </c>
      <c r="N1623" s="20">
        <f>'Working Sheet'!$J1623*'Working Sheet'!$K1623</f>
        <v>1280000</v>
      </c>
      <c r="O1623" s="21">
        <f>'Working Sheet'!$M1623*'Working Sheet'!$K1623</f>
        <v>1024000</v>
      </c>
      <c r="P1623" s="20">
        <f>'Working Sheet'!$N1623-'Working Sheet'!$O1623</f>
        <v>256000</v>
      </c>
    </row>
    <row r="1624" spans="1:16" ht="14.25" customHeight="1" x14ac:dyDescent="0.25">
      <c r="A1624" s="23" t="str">
        <f t="shared" ca="1" si="50"/>
        <v>ID_2073</v>
      </c>
      <c r="B1624" s="22">
        <v>45673</v>
      </c>
      <c r="C1624" s="23" t="str">
        <f>TEXT('Working Sheet'!$B1624,"mmm")</f>
        <v>Jan</v>
      </c>
      <c r="D1624" s="23" t="s">
        <v>29</v>
      </c>
      <c r="E1624" s="23" t="s">
        <v>32</v>
      </c>
      <c r="F1624" s="23" t="s">
        <v>13</v>
      </c>
      <c r="G1624" s="23" t="s">
        <v>20</v>
      </c>
      <c r="H1624" s="23" t="s">
        <v>36</v>
      </c>
      <c r="I1624" s="23" t="s">
        <v>31</v>
      </c>
      <c r="J1624" s="24">
        <v>150000</v>
      </c>
      <c r="K1624" s="23">
        <v>10</v>
      </c>
      <c r="L1624" s="23" t="s">
        <v>17</v>
      </c>
      <c r="M1624" s="25">
        <f t="shared" si="51"/>
        <v>120000</v>
      </c>
      <c r="N1624" s="25">
        <f>'Working Sheet'!$J1624*'Working Sheet'!$K1624</f>
        <v>1500000</v>
      </c>
      <c r="O1624" s="26">
        <f>'Working Sheet'!$M1624*'Working Sheet'!$K1624</f>
        <v>1200000</v>
      </c>
      <c r="P1624" s="25">
        <f>'Working Sheet'!$N1624-'Working Sheet'!$O1624</f>
        <v>300000</v>
      </c>
    </row>
    <row r="1625" spans="1:16" ht="14.25" customHeight="1" x14ac:dyDescent="0.25">
      <c r="A1625" s="18" t="str">
        <f t="shared" ca="1" si="50"/>
        <v>ID_950</v>
      </c>
      <c r="B1625" s="17">
        <v>45703</v>
      </c>
      <c r="C1625" s="18" t="str">
        <f>TEXT('Working Sheet'!$B1625,"mmm")</f>
        <v>Feb</v>
      </c>
      <c r="D1625" s="18" t="s">
        <v>25</v>
      </c>
      <c r="E1625" s="18" t="s">
        <v>26</v>
      </c>
      <c r="F1625" s="18" t="s">
        <v>23</v>
      </c>
      <c r="G1625" s="18" t="s">
        <v>20</v>
      </c>
      <c r="H1625" s="18" t="s">
        <v>21</v>
      </c>
      <c r="I1625" s="18" t="s">
        <v>22</v>
      </c>
      <c r="J1625" s="19">
        <v>30000</v>
      </c>
      <c r="K1625" s="18">
        <v>3</v>
      </c>
      <c r="L1625" s="18" t="s">
        <v>35</v>
      </c>
      <c r="M1625" s="20">
        <f t="shared" si="51"/>
        <v>24000</v>
      </c>
      <c r="N1625" s="20">
        <f>'Working Sheet'!$J1625*'Working Sheet'!$K1625</f>
        <v>90000</v>
      </c>
      <c r="O1625" s="21">
        <f>'Working Sheet'!$M1625*'Working Sheet'!$K1625</f>
        <v>72000</v>
      </c>
      <c r="P1625" s="20">
        <f>'Working Sheet'!$N1625-'Working Sheet'!$O1625</f>
        <v>18000</v>
      </c>
    </row>
    <row r="1626" spans="1:16" ht="14.25" customHeight="1" x14ac:dyDescent="0.25">
      <c r="A1626" s="23" t="str">
        <f t="shared" ca="1" si="50"/>
        <v>ID_1191</v>
      </c>
      <c r="B1626" s="22">
        <v>45740</v>
      </c>
      <c r="C1626" s="23" t="str">
        <f>TEXT('Working Sheet'!$B1626,"mmm")</f>
        <v>Mar</v>
      </c>
      <c r="D1626" s="23" t="s">
        <v>25</v>
      </c>
      <c r="E1626" s="23" t="s">
        <v>26</v>
      </c>
      <c r="F1626" s="23" t="s">
        <v>13</v>
      </c>
      <c r="G1626" s="23" t="s">
        <v>20</v>
      </c>
      <c r="H1626" s="23" t="s">
        <v>15</v>
      </c>
      <c r="I1626" s="23" t="s">
        <v>16</v>
      </c>
      <c r="J1626" s="24">
        <v>85000</v>
      </c>
      <c r="K1626" s="23">
        <v>4</v>
      </c>
      <c r="L1626" s="23" t="s">
        <v>35</v>
      </c>
      <c r="M1626" s="25">
        <f t="shared" si="51"/>
        <v>68000</v>
      </c>
      <c r="N1626" s="25">
        <f>'Working Sheet'!$J1626*'Working Sheet'!$K1626</f>
        <v>340000</v>
      </c>
      <c r="O1626" s="26">
        <f>'Working Sheet'!$M1626*'Working Sheet'!$K1626</f>
        <v>272000</v>
      </c>
      <c r="P1626" s="25">
        <f>'Working Sheet'!$N1626-'Working Sheet'!$O1626</f>
        <v>68000</v>
      </c>
    </row>
    <row r="1627" spans="1:16" ht="14.25" customHeight="1" x14ac:dyDescent="0.25">
      <c r="A1627" s="18" t="str">
        <f t="shared" ca="1" si="50"/>
        <v>ID_251</v>
      </c>
      <c r="B1627" s="17">
        <v>45773</v>
      </c>
      <c r="C1627" s="18" t="str">
        <f>TEXT('Working Sheet'!$B1627,"mmm")</f>
        <v>Apr</v>
      </c>
      <c r="D1627" s="18" t="s">
        <v>11</v>
      </c>
      <c r="E1627" s="18" t="s">
        <v>32</v>
      </c>
      <c r="F1627" s="18" t="s">
        <v>13</v>
      </c>
      <c r="G1627" s="18" t="s">
        <v>20</v>
      </c>
      <c r="H1627" s="18" t="s">
        <v>33</v>
      </c>
      <c r="I1627" s="18" t="s">
        <v>22</v>
      </c>
      <c r="J1627" s="19">
        <v>180000</v>
      </c>
      <c r="K1627" s="18">
        <v>10</v>
      </c>
      <c r="L1627" s="18" t="s">
        <v>35</v>
      </c>
      <c r="M1627" s="20">
        <f t="shared" si="51"/>
        <v>144000</v>
      </c>
      <c r="N1627" s="20">
        <f>'Working Sheet'!$J1627*'Working Sheet'!$K1627</f>
        <v>1800000</v>
      </c>
      <c r="O1627" s="21">
        <f>'Working Sheet'!$M1627*'Working Sheet'!$K1627</f>
        <v>1440000</v>
      </c>
      <c r="P1627" s="20">
        <f>'Working Sheet'!$N1627-'Working Sheet'!$O1627</f>
        <v>360000</v>
      </c>
    </row>
    <row r="1628" spans="1:16" ht="14.25" customHeight="1" x14ac:dyDescent="0.25">
      <c r="A1628" s="23" t="str">
        <f t="shared" ca="1" si="50"/>
        <v>ID_635</v>
      </c>
      <c r="B1628" s="22">
        <v>45741</v>
      </c>
      <c r="C1628" s="23" t="str">
        <f>TEXT('Working Sheet'!$B1628,"mmm")</f>
        <v>Mar</v>
      </c>
      <c r="D1628" s="23" t="s">
        <v>11</v>
      </c>
      <c r="E1628" s="23" t="s">
        <v>19</v>
      </c>
      <c r="F1628" s="23" t="s">
        <v>23</v>
      </c>
      <c r="G1628" s="23" t="s">
        <v>20</v>
      </c>
      <c r="H1628" s="23" t="s">
        <v>34</v>
      </c>
      <c r="I1628" s="23" t="s">
        <v>16</v>
      </c>
      <c r="J1628" s="24">
        <v>320000</v>
      </c>
      <c r="K1628" s="23">
        <v>9</v>
      </c>
      <c r="L1628" s="23" t="s">
        <v>37</v>
      </c>
      <c r="M1628" s="25">
        <f t="shared" si="51"/>
        <v>256000</v>
      </c>
      <c r="N1628" s="25">
        <f>'Working Sheet'!$J1628*'Working Sheet'!$K1628</f>
        <v>2880000</v>
      </c>
      <c r="O1628" s="26">
        <f>'Working Sheet'!$M1628*'Working Sheet'!$K1628</f>
        <v>2304000</v>
      </c>
      <c r="P1628" s="25">
        <f>'Working Sheet'!$N1628-'Working Sheet'!$O1628</f>
        <v>576000</v>
      </c>
    </row>
    <row r="1629" spans="1:16" ht="14.25" customHeight="1" x14ac:dyDescent="0.25">
      <c r="A1629" s="18" t="str">
        <f t="shared" ca="1" si="50"/>
        <v>ID_1002</v>
      </c>
      <c r="B1629" s="17">
        <v>45762</v>
      </c>
      <c r="C1629" s="18" t="str">
        <f>TEXT('Working Sheet'!$B1629,"mmm")</f>
        <v>Apr</v>
      </c>
      <c r="D1629" s="18" t="s">
        <v>25</v>
      </c>
      <c r="E1629" s="18" t="s">
        <v>19</v>
      </c>
      <c r="F1629" s="18" t="s">
        <v>23</v>
      </c>
      <c r="G1629" s="18" t="s">
        <v>14</v>
      </c>
      <c r="H1629" s="18" t="s">
        <v>36</v>
      </c>
      <c r="I1629" s="18" t="s">
        <v>31</v>
      </c>
      <c r="J1629" s="19">
        <v>150000</v>
      </c>
      <c r="K1629" s="18">
        <v>3</v>
      </c>
      <c r="L1629" s="18" t="s">
        <v>39</v>
      </c>
      <c r="M1629" s="20">
        <f t="shared" si="51"/>
        <v>120000</v>
      </c>
      <c r="N1629" s="20">
        <f>'Working Sheet'!$J1629*'Working Sheet'!$K1629</f>
        <v>450000</v>
      </c>
      <c r="O1629" s="21">
        <f>'Working Sheet'!$M1629*'Working Sheet'!$K1629</f>
        <v>360000</v>
      </c>
      <c r="P1629" s="20">
        <f>'Working Sheet'!$N1629-'Working Sheet'!$O1629</f>
        <v>90000</v>
      </c>
    </row>
    <row r="1630" spans="1:16" ht="14.25" customHeight="1" x14ac:dyDescent="0.25">
      <c r="A1630" s="23" t="str">
        <f t="shared" ca="1" si="50"/>
        <v>ID_764</v>
      </c>
      <c r="B1630" s="22">
        <v>45769</v>
      </c>
      <c r="C1630" s="23" t="str">
        <f>TEXT('Working Sheet'!$B1630,"mmm")</f>
        <v>Apr</v>
      </c>
      <c r="D1630" s="23" t="s">
        <v>29</v>
      </c>
      <c r="E1630" s="23" t="s">
        <v>19</v>
      </c>
      <c r="F1630" s="23" t="s">
        <v>13</v>
      </c>
      <c r="G1630" s="23" t="s">
        <v>14</v>
      </c>
      <c r="H1630" s="23" t="s">
        <v>41</v>
      </c>
      <c r="I1630" s="23" t="s">
        <v>22</v>
      </c>
      <c r="J1630" s="24">
        <v>220000</v>
      </c>
      <c r="K1630" s="23">
        <v>5</v>
      </c>
      <c r="L1630" s="23" t="s">
        <v>39</v>
      </c>
      <c r="M1630" s="25">
        <f t="shared" si="51"/>
        <v>176000</v>
      </c>
      <c r="N1630" s="25">
        <f>'Working Sheet'!$J1630*'Working Sheet'!$K1630</f>
        <v>1100000</v>
      </c>
      <c r="O1630" s="26">
        <f>'Working Sheet'!$M1630*'Working Sheet'!$K1630</f>
        <v>880000</v>
      </c>
      <c r="P1630" s="25">
        <f>'Working Sheet'!$N1630-'Working Sheet'!$O1630</f>
        <v>220000</v>
      </c>
    </row>
    <row r="1631" spans="1:16" ht="14.25" customHeight="1" x14ac:dyDescent="0.25">
      <c r="A1631" s="18" t="str">
        <f t="shared" ca="1" si="50"/>
        <v>ID_246</v>
      </c>
      <c r="B1631" s="17">
        <v>45682</v>
      </c>
      <c r="C1631" s="18" t="str">
        <f>TEXT('Working Sheet'!$B1631,"mmm")</f>
        <v>Jan</v>
      </c>
      <c r="D1631" s="18" t="s">
        <v>29</v>
      </c>
      <c r="E1631" s="18" t="s">
        <v>32</v>
      </c>
      <c r="F1631" s="18" t="s">
        <v>23</v>
      </c>
      <c r="G1631" s="18" t="s">
        <v>20</v>
      </c>
      <c r="H1631" s="18" t="s">
        <v>30</v>
      </c>
      <c r="I1631" s="18" t="s">
        <v>31</v>
      </c>
      <c r="J1631" s="19">
        <v>300000</v>
      </c>
      <c r="K1631" s="18">
        <v>2</v>
      </c>
      <c r="L1631" s="18" t="s">
        <v>17</v>
      </c>
      <c r="M1631" s="20">
        <f t="shared" si="51"/>
        <v>240000</v>
      </c>
      <c r="N1631" s="20">
        <f>'Working Sheet'!$J1631*'Working Sheet'!$K1631</f>
        <v>600000</v>
      </c>
      <c r="O1631" s="21">
        <f>'Working Sheet'!$M1631*'Working Sheet'!$K1631</f>
        <v>480000</v>
      </c>
      <c r="P1631" s="20">
        <f>'Working Sheet'!$N1631-'Working Sheet'!$O1631</f>
        <v>120000</v>
      </c>
    </row>
    <row r="1632" spans="1:16" ht="14.25" customHeight="1" x14ac:dyDescent="0.25">
      <c r="A1632" s="23" t="str">
        <f t="shared" ca="1" si="50"/>
        <v>ID_878</v>
      </c>
      <c r="B1632" s="22">
        <v>45672</v>
      </c>
      <c r="C1632" s="23" t="str">
        <f>TEXT('Working Sheet'!$B1632,"mmm")</f>
        <v>Jan</v>
      </c>
      <c r="D1632" s="23" t="s">
        <v>18</v>
      </c>
      <c r="E1632" s="23" t="s">
        <v>12</v>
      </c>
      <c r="F1632" s="23" t="s">
        <v>23</v>
      </c>
      <c r="G1632" s="23" t="s">
        <v>14</v>
      </c>
      <c r="H1632" s="23" t="s">
        <v>30</v>
      </c>
      <c r="I1632" s="23" t="s">
        <v>31</v>
      </c>
      <c r="J1632" s="24">
        <v>300000</v>
      </c>
      <c r="K1632" s="23">
        <v>6</v>
      </c>
      <c r="L1632" s="23" t="s">
        <v>39</v>
      </c>
      <c r="M1632" s="25">
        <f t="shared" si="51"/>
        <v>240000</v>
      </c>
      <c r="N1632" s="25">
        <f>'Working Sheet'!$J1632*'Working Sheet'!$K1632</f>
        <v>1800000</v>
      </c>
      <c r="O1632" s="26">
        <f>'Working Sheet'!$M1632*'Working Sheet'!$K1632</f>
        <v>1440000</v>
      </c>
      <c r="P1632" s="25">
        <f>'Working Sheet'!$N1632-'Working Sheet'!$O1632</f>
        <v>360000</v>
      </c>
    </row>
    <row r="1633" spans="1:16" ht="14.25" customHeight="1" x14ac:dyDescent="0.25">
      <c r="A1633" s="18" t="str">
        <f t="shared" ca="1" si="50"/>
        <v>ID_1682</v>
      </c>
      <c r="B1633" s="17">
        <v>45729</v>
      </c>
      <c r="C1633" s="18" t="str">
        <f>TEXT('Working Sheet'!$B1633,"mmm")</f>
        <v>Mar</v>
      </c>
      <c r="D1633" s="18" t="s">
        <v>29</v>
      </c>
      <c r="E1633" s="18" t="s">
        <v>32</v>
      </c>
      <c r="F1633" s="18" t="s">
        <v>23</v>
      </c>
      <c r="G1633" s="18" t="s">
        <v>14</v>
      </c>
      <c r="H1633" s="18" t="s">
        <v>33</v>
      </c>
      <c r="I1633" s="18" t="s">
        <v>22</v>
      </c>
      <c r="J1633" s="19">
        <v>180000</v>
      </c>
      <c r="K1633" s="18">
        <v>7</v>
      </c>
      <c r="L1633" s="18" t="s">
        <v>39</v>
      </c>
      <c r="M1633" s="20">
        <f t="shared" si="51"/>
        <v>144000</v>
      </c>
      <c r="N1633" s="20">
        <f>'Working Sheet'!$J1633*'Working Sheet'!$K1633</f>
        <v>1260000</v>
      </c>
      <c r="O1633" s="21">
        <f>'Working Sheet'!$M1633*'Working Sheet'!$K1633</f>
        <v>1008000</v>
      </c>
      <c r="P1633" s="20">
        <f>'Working Sheet'!$N1633-'Working Sheet'!$O1633</f>
        <v>252000</v>
      </c>
    </row>
    <row r="1634" spans="1:16" ht="14.25" customHeight="1" x14ac:dyDescent="0.25">
      <c r="A1634" s="23" t="str">
        <f t="shared" ca="1" si="50"/>
        <v>ID_1483</v>
      </c>
      <c r="B1634" s="22">
        <v>45722</v>
      </c>
      <c r="C1634" s="23" t="str">
        <f>TEXT('Working Sheet'!$B1634,"mmm")</f>
        <v>Mar</v>
      </c>
      <c r="D1634" s="23" t="s">
        <v>11</v>
      </c>
      <c r="E1634" s="23" t="s">
        <v>26</v>
      </c>
      <c r="F1634" s="23" t="s">
        <v>23</v>
      </c>
      <c r="G1634" s="23" t="s">
        <v>20</v>
      </c>
      <c r="H1634" s="23" t="s">
        <v>34</v>
      </c>
      <c r="I1634" s="23" t="s">
        <v>16</v>
      </c>
      <c r="J1634" s="24">
        <v>320000</v>
      </c>
      <c r="K1634" s="23">
        <v>6</v>
      </c>
      <c r="L1634" s="23" t="s">
        <v>17</v>
      </c>
      <c r="M1634" s="25">
        <f t="shared" si="51"/>
        <v>256000</v>
      </c>
      <c r="N1634" s="25">
        <f>'Working Sheet'!$J1634*'Working Sheet'!$K1634</f>
        <v>1920000</v>
      </c>
      <c r="O1634" s="26">
        <f>'Working Sheet'!$M1634*'Working Sheet'!$K1634</f>
        <v>1536000</v>
      </c>
      <c r="P1634" s="25">
        <f>'Working Sheet'!$N1634-'Working Sheet'!$O1634</f>
        <v>384000</v>
      </c>
    </row>
    <row r="1635" spans="1:16" ht="14.25" customHeight="1" x14ac:dyDescent="0.25">
      <c r="A1635" s="18" t="str">
        <f t="shared" ca="1" si="50"/>
        <v>ID_457</v>
      </c>
      <c r="B1635" s="17">
        <v>45729</v>
      </c>
      <c r="C1635" s="18" t="str">
        <f>TEXT('Working Sheet'!$B1635,"mmm")</f>
        <v>Mar</v>
      </c>
      <c r="D1635" s="18" t="s">
        <v>29</v>
      </c>
      <c r="E1635" s="18" t="s">
        <v>19</v>
      </c>
      <c r="F1635" s="18" t="s">
        <v>13</v>
      </c>
      <c r="G1635" s="18" t="s">
        <v>20</v>
      </c>
      <c r="H1635" s="18" t="s">
        <v>40</v>
      </c>
      <c r="I1635" s="18" t="s">
        <v>31</v>
      </c>
      <c r="J1635" s="19">
        <v>250000</v>
      </c>
      <c r="K1635" s="18">
        <v>5</v>
      </c>
      <c r="L1635" s="18" t="s">
        <v>35</v>
      </c>
      <c r="M1635" s="20">
        <f t="shared" si="51"/>
        <v>200000</v>
      </c>
      <c r="N1635" s="20">
        <f>'Working Sheet'!$J1635*'Working Sheet'!$K1635</f>
        <v>1250000</v>
      </c>
      <c r="O1635" s="21">
        <f>'Working Sheet'!$M1635*'Working Sheet'!$K1635</f>
        <v>1000000</v>
      </c>
      <c r="P1635" s="20">
        <f>'Working Sheet'!$N1635-'Working Sheet'!$O1635</f>
        <v>250000</v>
      </c>
    </row>
    <row r="1636" spans="1:16" ht="14.25" customHeight="1" x14ac:dyDescent="0.25">
      <c r="A1636" s="23" t="str">
        <f t="shared" ca="1" si="50"/>
        <v>ID_1557</v>
      </c>
      <c r="B1636" s="22">
        <v>45684</v>
      </c>
      <c r="C1636" s="23" t="str">
        <f>TEXT('Working Sheet'!$B1636,"mmm")</f>
        <v>Jan</v>
      </c>
      <c r="D1636" s="23" t="s">
        <v>11</v>
      </c>
      <c r="E1636" s="23" t="s">
        <v>19</v>
      </c>
      <c r="F1636" s="23" t="s">
        <v>13</v>
      </c>
      <c r="G1636" s="23" t="s">
        <v>14</v>
      </c>
      <c r="H1636" s="23" t="s">
        <v>30</v>
      </c>
      <c r="I1636" s="23" t="s">
        <v>31</v>
      </c>
      <c r="J1636" s="24">
        <v>300000</v>
      </c>
      <c r="K1636" s="23">
        <v>3</v>
      </c>
      <c r="L1636" s="23" t="s">
        <v>39</v>
      </c>
      <c r="M1636" s="25">
        <f t="shared" si="51"/>
        <v>240000</v>
      </c>
      <c r="N1636" s="25">
        <f>'Working Sheet'!$J1636*'Working Sheet'!$K1636</f>
        <v>900000</v>
      </c>
      <c r="O1636" s="26">
        <f>'Working Sheet'!$M1636*'Working Sheet'!$K1636</f>
        <v>720000</v>
      </c>
      <c r="P1636" s="25">
        <f>'Working Sheet'!$N1636-'Working Sheet'!$O1636</f>
        <v>180000</v>
      </c>
    </row>
    <row r="1637" spans="1:16" ht="14.25" customHeight="1" x14ac:dyDescent="0.25">
      <c r="A1637" s="18" t="str">
        <f t="shared" ca="1" si="50"/>
        <v>ID_1675</v>
      </c>
      <c r="B1637" s="17">
        <v>45676</v>
      </c>
      <c r="C1637" s="18" t="str">
        <f>TEXT('Working Sheet'!$B1637,"mmm")</f>
        <v>Jan</v>
      </c>
      <c r="D1637" s="18" t="s">
        <v>11</v>
      </c>
      <c r="E1637" s="18" t="s">
        <v>32</v>
      </c>
      <c r="F1637" s="18" t="s">
        <v>13</v>
      </c>
      <c r="G1637" s="18" t="s">
        <v>20</v>
      </c>
      <c r="H1637" s="18" t="s">
        <v>33</v>
      </c>
      <c r="I1637" s="18" t="s">
        <v>22</v>
      </c>
      <c r="J1637" s="19">
        <v>180000</v>
      </c>
      <c r="K1637" s="18">
        <v>8</v>
      </c>
      <c r="L1637" s="18" t="s">
        <v>39</v>
      </c>
      <c r="M1637" s="20">
        <f t="shared" si="51"/>
        <v>144000</v>
      </c>
      <c r="N1637" s="20">
        <f>'Working Sheet'!$J1637*'Working Sheet'!$K1637</f>
        <v>1440000</v>
      </c>
      <c r="O1637" s="21">
        <f>'Working Sheet'!$M1637*'Working Sheet'!$K1637</f>
        <v>1152000</v>
      </c>
      <c r="P1637" s="20">
        <f>'Working Sheet'!$N1637-'Working Sheet'!$O1637</f>
        <v>288000</v>
      </c>
    </row>
    <row r="1638" spans="1:16" ht="14.25" customHeight="1" x14ac:dyDescent="0.25">
      <c r="A1638" s="23" t="str">
        <f t="shared" ca="1" si="50"/>
        <v>ID_1482</v>
      </c>
      <c r="B1638" s="22">
        <v>45718</v>
      </c>
      <c r="C1638" s="23" t="str">
        <f>TEXT('Working Sheet'!$B1638,"mmm")</f>
        <v>Mar</v>
      </c>
      <c r="D1638" s="23" t="s">
        <v>18</v>
      </c>
      <c r="E1638" s="23" t="s">
        <v>32</v>
      </c>
      <c r="F1638" s="23" t="s">
        <v>13</v>
      </c>
      <c r="G1638" s="23" t="s">
        <v>20</v>
      </c>
      <c r="H1638" s="23" t="s">
        <v>34</v>
      </c>
      <c r="I1638" s="23" t="s">
        <v>16</v>
      </c>
      <c r="J1638" s="24">
        <v>320000</v>
      </c>
      <c r="K1638" s="23">
        <v>5</v>
      </c>
      <c r="L1638" s="23" t="s">
        <v>24</v>
      </c>
      <c r="M1638" s="25">
        <f t="shared" si="51"/>
        <v>256000</v>
      </c>
      <c r="N1638" s="25">
        <f>'Working Sheet'!$J1638*'Working Sheet'!$K1638</f>
        <v>1600000</v>
      </c>
      <c r="O1638" s="26">
        <f>'Working Sheet'!$M1638*'Working Sheet'!$K1638</f>
        <v>1280000</v>
      </c>
      <c r="P1638" s="25">
        <f>'Working Sheet'!$N1638-'Working Sheet'!$O1638</f>
        <v>320000</v>
      </c>
    </row>
    <row r="1639" spans="1:16" ht="14.25" customHeight="1" x14ac:dyDescent="0.25">
      <c r="A1639" s="18" t="str">
        <f t="shared" ca="1" si="50"/>
        <v>ID_1642</v>
      </c>
      <c r="B1639" s="17">
        <v>45724</v>
      </c>
      <c r="C1639" s="18" t="str">
        <f>TEXT('Working Sheet'!$B1639,"mmm")</f>
        <v>Mar</v>
      </c>
      <c r="D1639" s="18" t="s">
        <v>11</v>
      </c>
      <c r="E1639" s="18" t="s">
        <v>32</v>
      </c>
      <c r="F1639" s="18" t="s">
        <v>13</v>
      </c>
      <c r="G1639" s="18" t="s">
        <v>14</v>
      </c>
      <c r="H1639" s="18" t="s">
        <v>40</v>
      </c>
      <c r="I1639" s="18" t="s">
        <v>31</v>
      </c>
      <c r="J1639" s="19">
        <v>250000</v>
      </c>
      <c r="K1639" s="18">
        <v>7</v>
      </c>
      <c r="L1639" s="18" t="s">
        <v>24</v>
      </c>
      <c r="M1639" s="20">
        <f t="shared" si="51"/>
        <v>200000</v>
      </c>
      <c r="N1639" s="20">
        <f>'Working Sheet'!$J1639*'Working Sheet'!$K1639</f>
        <v>1750000</v>
      </c>
      <c r="O1639" s="21">
        <f>'Working Sheet'!$M1639*'Working Sheet'!$K1639</f>
        <v>1400000</v>
      </c>
      <c r="P1639" s="20">
        <f>'Working Sheet'!$N1639-'Working Sheet'!$O1639</f>
        <v>350000</v>
      </c>
    </row>
    <row r="1640" spans="1:16" ht="14.25" customHeight="1" x14ac:dyDescent="0.25">
      <c r="A1640" s="23" t="str">
        <f t="shared" ca="1" si="50"/>
        <v>ID_692</v>
      </c>
      <c r="B1640" s="22">
        <v>45739</v>
      </c>
      <c r="C1640" s="23" t="str">
        <f>TEXT('Working Sheet'!$B1640,"mmm")</f>
        <v>Mar</v>
      </c>
      <c r="D1640" s="23" t="s">
        <v>11</v>
      </c>
      <c r="E1640" s="23" t="s">
        <v>19</v>
      </c>
      <c r="F1640" s="23" t="s">
        <v>13</v>
      </c>
      <c r="G1640" s="23" t="s">
        <v>20</v>
      </c>
      <c r="H1640" s="23" t="s">
        <v>30</v>
      </c>
      <c r="I1640" s="23" t="s">
        <v>31</v>
      </c>
      <c r="J1640" s="24">
        <v>300000</v>
      </c>
      <c r="K1640" s="23">
        <v>8</v>
      </c>
      <c r="L1640" s="23" t="s">
        <v>17</v>
      </c>
      <c r="M1640" s="25">
        <f t="shared" si="51"/>
        <v>240000</v>
      </c>
      <c r="N1640" s="25">
        <f>'Working Sheet'!$J1640*'Working Sheet'!$K1640</f>
        <v>2400000</v>
      </c>
      <c r="O1640" s="26">
        <f>'Working Sheet'!$M1640*'Working Sheet'!$K1640</f>
        <v>1920000</v>
      </c>
      <c r="P1640" s="25">
        <f>'Working Sheet'!$N1640-'Working Sheet'!$O1640</f>
        <v>480000</v>
      </c>
    </row>
    <row r="1641" spans="1:16" ht="14.25" customHeight="1" x14ac:dyDescent="0.25">
      <c r="A1641" s="18" t="str">
        <f t="shared" ca="1" si="50"/>
        <v>ID_470</v>
      </c>
      <c r="B1641" s="17">
        <v>45674</v>
      </c>
      <c r="C1641" s="18" t="str">
        <f>TEXT('Working Sheet'!$B1641,"mmm")</f>
        <v>Jan</v>
      </c>
      <c r="D1641" s="18" t="s">
        <v>11</v>
      </c>
      <c r="E1641" s="18" t="s">
        <v>19</v>
      </c>
      <c r="F1641" s="18" t="s">
        <v>23</v>
      </c>
      <c r="G1641" s="18" t="s">
        <v>14</v>
      </c>
      <c r="H1641" s="18" t="s">
        <v>38</v>
      </c>
      <c r="I1641" s="18" t="s">
        <v>31</v>
      </c>
      <c r="J1641" s="19">
        <v>420000</v>
      </c>
      <c r="K1641" s="18">
        <v>4</v>
      </c>
      <c r="L1641" s="18" t="s">
        <v>39</v>
      </c>
      <c r="M1641" s="20">
        <f t="shared" si="51"/>
        <v>336000</v>
      </c>
      <c r="N1641" s="20">
        <f>'Working Sheet'!$J1641*'Working Sheet'!$K1641</f>
        <v>1680000</v>
      </c>
      <c r="O1641" s="21">
        <f>'Working Sheet'!$M1641*'Working Sheet'!$K1641</f>
        <v>1344000</v>
      </c>
      <c r="P1641" s="20">
        <f>'Working Sheet'!$N1641-'Working Sheet'!$O1641</f>
        <v>336000</v>
      </c>
    </row>
    <row r="1642" spans="1:16" ht="14.25" customHeight="1" x14ac:dyDescent="0.25">
      <c r="A1642" s="23" t="str">
        <f t="shared" ca="1" si="50"/>
        <v>ID_1112</v>
      </c>
      <c r="B1642" s="22">
        <v>45713</v>
      </c>
      <c r="C1642" s="23" t="str">
        <f>TEXT('Working Sheet'!$B1642,"mmm")</f>
        <v>Feb</v>
      </c>
      <c r="D1642" s="23" t="s">
        <v>11</v>
      </c>
      <c r="E1642" s="23" t="s">
        <v>12</v>
      </c>
      <c r="F1642" s="23" t="s">
        <v>23</v>
      </c>
      <c r="G1642" s="23" t="s">
        <v>20</v>
      </c>
      <c r="H1642" s="23" t="s">
        <v>40</v>
      </c>
      <c r="I1642" s="23" t="s">
        <v>31</v>
      </c>
      <c r="J1642" s="24">
        <v>250000</v>
      </c>
      <c r="K1642" s="23">
        <v>6</v>
      </c>
      <c r="L1642" s="23" t="s">
        <v>28</v>
      </c>
      <c r="M1642" s="25">
        <f t="shared" si="51"/>
        <v>200000</v>
      </c>
      <c r="N1642" s="25">
        <f>'Working Sheet'!$J1642*'Working Sheet'!$K1642</f>
        <v>1500000</v>
      </c>
      <c r="O1642" s="26">
        <f>'Working Sheet'!$M1642*'Working Sheet'!$K1642</f>
        <v>1200000</v>
      </c>
      <c r="P1642" s="25">
        <f>'Working Sheet'!$N1642-'Working Sheet'!$O1642</f>
        <v>300000</v>
      </c>
    </row>
    <row r="1643" spans="1:16" ht="14.25" customHeight="1" x14ac:dyDescent="0.25">
      <c r="A1643" s="18" t="str">
        <f t="shared" ca="1" si="50"/>
        <v>ID_1696</v>
      </c>
      <c r="B1643" s="17">
        <v>45696</v>
      </c>
      <c r="C1643" s="18" t="str">
        <f>TEXT('Working Sheet'!$B1643,"mmm")</f>
        <v>Feb</v>
      </c>
      <c r="D1643" s="18" t="s">
        <v>18</v>
      </c>
      <c r="E1643" s="18" t="s">
        <v>32</v>
      </c>
      <c r="F1643" s="18" t="s">
        <v>13</v>
      </c>
      <c r="G1643" s="18" t="s">
        <v>14</v>
      </c>
      <c r="H1643" s="18" t="s">
        <v>36</v>
      </c>
      <c r="I1643" s="18" t="s">
        <v>31</v>
      </c>
      <c r="J1643" s="19">
        <v>150000</v>
      </c>
      <c r="K1643" s="18">
        <v>3</v>
      </c>
      <c r="L1643" s="18" t="s">
        <v>28</v>
      </c>
      <c r="M1643" s="20">
        <f t="shared" si="51"/>
        <v>120000</v>
      </c>
      <c r="N1643" s="20">
        <f>'Working Sheet'!$J1643*'Working Sheet'!$K1643</f>
        <v>450000</v>
      </c>
      <c r="O1643" s="21">
        <f>'Working Sheet'!$M1643*'Working Sheet'!$K1643</f>
        <v>360000</v>
      </c>
      <c r="P1643" s="20">
        <f>'Working Sheet'!$N1643-'Working Sheet'!$O1643</f>
        <v>90000</v>
      </c>
    </row>
    <row r="1644" spans="1:16" ht="14.25" customHeight="1" x14ac:dyDescent="0.25">
      <c r="A1644" s="23" t="str">
        <f t="shared" ca="1" si="50"/>
        <v>ID_246</v>
      </c>
      <c r="B1644" s="22">
        <v>45713</v>
      </c>
      <c r="C1644" s="23" t="str">
        <f>TEXT('Working Sheet'!$B1644,"mmm")</f>
        <v>Feb</v>
      </c>
      <c r="D1644" s="23" t="s">
        <v>29</v>
      </c>
      <c r="E1644" s="23" t="s">
        <v>12</v>
      </c>
      <c r="F1644" s="23" t="s">
        <v>23</v>
      </c>
      <c r="G1644" s="23" t="s">
        <v>20</v>
      </c>
      <c r="H1644" s="23" t="s">
        <v>30</v>
      </c>
      <c r="I1644" s="23" t="s">
        <v>31</v>
      </c>
      <c r="J1644" s="24">
        <v>300000</v>
      </c>
      <c r="K1644" s="23">
        <v>6</v>
      </c>
      <c r="L1644" s="23" t="s">
        <v>37</v>
      </c>
      <c r="M1644" s="25">
        <f t="shared" si="51"/>
        <v>240000</v>
      </c>
      <c r="N1644" s="25">
        <f>'Working Sheet'!$J1644*'Working Sheet'!$K1644</f>
        <v>1800000</v>
      </c>
      <c r="O1644" s="26">
        <f>'Working Sheet'!$M1644*'Working Sheet'!$K1644</f>
        <v>1440000</v>
      </c>
      <c r="P1644" s="25">
        <f>'Working Sheet'!$N1644-'Working Sheet'!$O1644</f>
        <v>360000</v>
      </c>
    </row>
    <row r="1645" spans="1:16" ht="14.25" customHeight="1" x14ac:dyDescent="0.25">
      <c r="A1645" s="18" t="str">
        <f t="shared" ca="1" si="50"/>
        <v>ID_211</v>
      </c>
      <c r="B1645" s="17">
        <v>45681</v>
      </c>
      <c r="C1645" s="18" t="str">
        <f>TEXT('Working Sheet'!$B1645,"mmm")</f>
        <v>Jan</v>
      </c>
      <c r="D1645" s="18" t="s">
        <v>25</v>
      </c>
      <c r="E1645" s="18" t="s">
        <v>12</v>
      </c>
      <c r="F1645" s="18" t="s">
        <v>13</v>
      </c>
      <c r="G1645" s="18" t="s">
        <v>20</v>
      </c>
      <c r="H1645" s="18" t="s">
        <v>33</v>
      </c>
      <c r="I1645" s="18" t="s">
        <v>22</v>
      </c>
      <c r="J1645" s="19">
        <v>180000</v>
      </c>
      <c r="K1645" s="18">
        <v>2</v>
      </c>
      <c r="L1645" s="18" t="s">
        <v>28</v>
      </c>
      <c r="M1645" s="20">
        <f t="shared" si="51"/>
        <v>144000</v>
      </c>
      <c r="N1645" s="20">
        <f>'Working Sheet'!$J1645*'Working Sheet'!$K1645</f>
        <v>360000</v>
      </c>
      <c r="O1645" s="21">
        <f>'Working Sheet'!$M1645*'Working Sheet'!$K1645</f>
        <v>288000</v>
      </c>
      <c r="P1645" s="20">
        <f>'Working Sheet'!$N1645-'Working Sheet'!$O1645</f>
        <v>72000</v>
      </c>
    </row>
    <row r="1646" spans="1:16" ht="14.25" customHeight="1" x14ac:dyDescent="0.25">
      <c r="A1646" s="23" t="str">
        <f t="shared" ca="1" si="50"/>
        <v>ID_1535</v>
      </c>
      <c r="B1646" s="22">
        <v>45709</v>
      </c>
      <c r="C1646" s="23" t="str">
        <f>TEXT('Working Sheet'!$B1646,"mmm")</f>
        <v>Feb</v>
      </c>
      <c r="D1646" s="23" t="s">
        <v>18</v>
      </c>
      <c r="E1646" s="23" t="s">
        <v>19</v>
      </c>
      <c r="F1646" s="23" t="s">
        <v>23</v>
      </c>
      <c r="G1646" s="23" t="s">
        <v>20</v>
      </c>
      <c r="H1646" s="23" t="s">
        <v>36</v>
      </c>
      <c r="I1646" s="23" t="s">
        <v>31</v>
      </c>
      <c r="J1646" s="24">
        <v>150000</v>
      </c>
      <c r="K1646" s="23">
        <v>6</v>
      </c>
      <c r="L1646" s="23" t="s">
        <v>24</v>
      </c>
      <c r="M1646" s="25">
        <f t="shared" si="51"/>
        <v>120000</v>
      </c>
      <c r="N1646" s="25">
        <f>'Working Sheet'!$J1646*'Working Sheet'!$K1646</f>
        <v>900000</v>
      </c>
      <c r="O1646" s="26">
        <f>'Working Sheet'!$M1646*'Working Sheet'!$K1646</f>
        <v>720000</v>
      </c>
      <c r="P1646" s="25">
        <f>'Working Sheet'!$N1646-'Working Sheet'!$O1646</f>
        <v>180000</v>
      </c>
    </row>
    <row r="1647" spans="1:16" ht="14.25" customHeight="1" x14ac:dyDescent="0.25">
      <c r="A1647" s="18" t="str">
        <f t="shared" ca="1" si="50"/>
        <v>ID_475</v>
      </c>
      <c r="B1647" s="17">
        <v>45747</v>
      </c>
      <c r="C1647" s="18" t="str">
        <f>TEXT('Working Sheet'!$B1647,"mmm")</f>
        <v>Mar</v>
      </c>
      <c r="D1647" s="18" t="s">
        <v>25</v>
      </c>
      <c r="E1647" s="18" t="s">
        <v>26</v>
      </c>
      <c r="F1647" s="18" t="s">
        <v>13</v>
      </c>
      <c r="G1647" s="18" t="s">
        <v>20</v>
      </c>
      <c r="H1647" s="18" t="s">
        <v>27</v>
      </c>
      <c r="I1647" s="18" t="s">
        <v>22</v>
      </c>
      <c r="J1647" s="19">
        <v>60000</v>
      </c>
      <c r="K1647" s="18">
        <v>8</v>
      </c>
      <c r="L1647" s="18" t="s">
        <v>37</v>
      </c>
      <c r="M1647" s="20">
        <f t="shared" si="51"/>
        <v>48000</v>
      </c>
      <c r="N1647" s="20">
        <f>'Working Sheet'!$J1647*'Working Sheet'!$K1647</f>
        <v>480000</v>
      </c>
      <c r="O1647" s="21">
        <f>'Working Sheet'!$M1647*'Working Sheet'!$K1647</f>
        <v>384000</v>
      </c>
      <c r="P1647" s="20">
        <f>'Working Sheet'!$N1647-'Working Sheet'!$O1647</f>
        <v>96000</v>
      </c>
    </row>
    <row r="1648" spans="1:16" ht="14.25" customHeight="1" x14ac:dyDescent="0.25">
      <c r="A1648" s="23" t="str">
        <f t="shared" ca="1" si="50"/>
        <v>ID_1853</v>
      </c>
      <c r="B1648" s="22">
        <v>45735</v>
      </c>
      <c r="C1648" s="23" t="str">
        <f>TEXT('Working Sheet'!$B1648,"mmm")</f>
        <v>Mar</v>
      </c>
      <c r="D1648" s="23" t="s">
        <v>11</v>
      </c>
      <c r="E1648" s="23" t="s">
        <v>19</v>
      </c>
      <c r="F1648" s="23" t="s">
        <v>13</v>
      </c>
      <c r="G1648" s="23" t="s">
        <v>20</v>
      </c>
      <c r="H1648" s="23" t="s">
        <v>41</v>
      </c>
      <c r="I1648" s="23" t="s">
        <v>22</v>
      </c>
      <c r="J1648" s="24">
        <v>220000</v>
      </c>
      <c r="K1648" s="23">
        <v>9</v>
      </c>
      <c r="L1648" s="23" t="s">
        <v>28</v>
      </c>
      <c r="M1648" s="25">
        <f t="shared" si="51"/>
        <v>176000</v>
      </c>
      <c r="N1648" s="25">
        <f>'Working Sheet'!$J1648*'Working Sheet'!$K1648</f>
        <v>1980000</v>
      </c>
      <c r="O1648" s="26">
        <f>'Working Sheet'!$M1648*'Working Sheet'!$K1648</f>
        <v>1584000</v>
      </c>
      <c r="P1648" s="25">
        <f>'Working Sheet'!$N1648-'Working Sheet'!$O1648</f>
        <v>396000</v>
      </c>
    </row>
    <row r="1649" spans="1:16" ht="14.25" customHeight="1" x14ac:dyDescent="0.25">
      <c r="A1649" s="18" t="str">
        <f t="shared" ca="1" si="50"/>
        <v>ID_562</v>
      </c>
      <c r="B1649" s="17">
        <v>45730</v>
      </c>
      <c r="C1649" s="18" t="str">
        <f>TEXT('Working Sheet'!$B1649,"mmm")</f>
        <v>Mar</v>
      </c>
      <c r="D1649" s="18" t="s">
        <v>29</v>
      </c>
      <c r="E1649" s="18" t="s">
        <v>32</v>
      </c>
      <c r="F1649" s="18" t="s">
        <v>23</v>
      </c>
      <c r="G1649" s="18" t="s">
        <v>14</v>
      </c>
      <c r="H1649" s="18" t="s">
        <v>30</v>
      </c>
      <c r="I1649" s="18" t="s">
        <v>31</v>
      </c>
      <c r="J1649" s="19">
        <v>300000</v>
      </c>
      <c r="K1649" s="18">
        <v>9</v>
      </c>
      <c r="L1649" s="18" t="s">
        <v>35</v>
      </c>
      <c r="M1649" s="20">
        <f t="shared" si="51"/>
        <v>240000</v>
      </c>
      <c r="N1649" s="20">
        <f>'Working Sheet'!$J1649*'Working Sheet'!$K1649</f>
        <v>2700000</v>
      </c>
      <c r="O1649" s="21">
        <f>'Working Sheet'!$M1649*'Working Sheet'!$K1649</f>
        <v>2160000</v>
      </c>
      <c r="P1649" s="20">
        <f>'Working Sheet'!$N1649-'Working Sheet'!$O1649</f>
        <v>540000</v>
      </c>
    </row>
    <row r="1650" spans="1:16" ht="14.25" customHeight="1" x14ac:dyDescent="0.25">
      <c r="A1650" s="23" t="str">
        <f t="shared" ca="1" si="50"/>
        <v>ID_20</v>
      </c>
      <c r="B1650" s="22">
        <v>45668</v>
      </c>
      <c r="C1650" s="23" t="str">
        <f>TEXT('Working Sheet'!$B1650,"mmm")</f>
        <v>Jan</v>
      </c>
      <c r="D1650" s="23" t="s">
        <v>11</v>
      </c>
      <c r="E1650" s="23" t="s">
        <v>32</v>
      </c>
      <c r="F1650" s="23" t="s">
        <v>13</v>
      </c>
      <c r="G1650" s="23" t="s">
        <v>14</v>
      </c>
      <c r="H1650" s="23" t="s">
        <v>38</v>
      </c>
      <c r="I1650" s="23" t="s">
        <v>31</v>
      </c>
      <c r="J1650" s="24">
        <v>420000</v>
      </c>
      <c r="K1650" s="23">
        <v>1</v>
      </c>
      <c r="L1650" s="23" t="s">
        <v>37</v>
      </c>
      <c r="M1650" s="25">
        <f t="shared" si="51"/>
        <v>336000</v>
      </c>
      <c r="N1650" s="25">
        <f>'Working Sheet'!$J1650*'Working Sheet'!$K1650</f>
        <v>420000</v>
      </c>
      <c r="O1650" s="26">
        <f>'Working Sheet'!$M1650*'Working Sheet'!$K1650</f>
        <v>336000</v>
      </c>
      <c r="P1650" s="25">
        <f>'Working Sheet'!$N1650-'Working Sheet'!$O1650</f>
        <v>84000</v>
      </c>
    </row>
    <row r="1651" spans="1:16" ht="14.25" customHeight="1" x14ac:dyDescent="0.25">
      <c r="A1651" s="18" t="str">
        <f t="shared" ca="1" si="50"/>
        <v>ID_794</v>
      </c>
      <c r="B1651" s="17">
        <v>45744</v>
      </c>
      <c r="C1651" s="18" t="str">
        <f>TEXT('Working Sheet'!$B1651,"mmm")</f>
        <v>Mar</v>
      </c>
      <c r="D1651" s="18" t="s">
        <v>25</v>
      </c>
      <c r="E1651" s="18" t="s">
        <v>32</v>
      </c>
      <c r="F1651" s="18" t="s">
        <v>13</v>
      </c>
      <c r="G1651" s="18" t="s">
        <v>20</v>
      </c>
      <c r="H1651" s="18" t="s">
        <v>41</v>
      </c>
      <c r="I1651" s="18" t="s">
        <v>22</v>
      </c>
      <c r="J1651" s="19">
        <v>220000</v>
      </c>
      <c r="K1651" s="18">
        <v>6</v>
      </c>
      <c r="L1651" s="18" t="s">
        <v>35</v>
      </c>
      <c r="M1651" s="20">
        <f t="shared" si="51"/>
        <v>176000</v>
      </c>
      <c r="N1651" s="20">
        <f>'Working Sheet'!$J1651*'Working Sheet'!$K1651</f>
        <v>1320000</v>
      </c>
      <c r="O1651" s="21">
        <f>'Working Sheet'!$M1651*'Working Sheet'!$K1651</f>
        <v>1056000</v>
      </c>
      <c r="P1651" s="20">
        <f>'Working Sheet'!$N1651-'Working Sheet'!$O1651</f>
        <v>264000</v>
      </c>
    </row>
    <row r="1652" spans="1:16" ht="14.25" customHeight="1" x14ac:dyDescent="0.25">
      <c r="A1652" s="23" t="str">
        <f t="shared" ca="1" si="50"/>
        <v>ID_41</v>
      </c>
      <c r="B1652" s="22">
        <v>45729</v>
      </c>
      <c r="C1652" s="23" t="str">
        <f>TEXT('Working Sheet'!$B1652,"mmm")</f>
        <v>Mar</v>
      </c>
      <c r="D1652" s="23" t="s">
        <v>11</v>
      </c>
      <c r="E1652" s="23" t="s">
        <v>19</v>
      </c>
      <c r="F1652" s="23" t="s">
        <v>13</v>
      </c>
      <c r="G1652" s="23" t="s">
        <v>20</v>
      </c>
      <c r="H1652" s="23" t="s">
        <v>21</v>
      </c>
      <c r="I1652" s="23" t="s">
        <v>22</v>
      </c>
      <c r="J1652" s="24">
        <v>30000</v>
      </c>
      <c r="K1652" s="23">
        <v>5</v>
      </c>
      <c r="L1652" s="23" t="s">
        <v>28</v>
      </c>
      <c r="M1652" s="25">
        <f t="shared" si="51"/>
        <v>24000</v>
      </c>
      <c r="N1652" s="25">
        <f>'Working Sheet'!$J1652*'Working Sheet'!$K1652</f>
        <v>150000</v>
      </c>
      <c r="O1652" s="26">
        <f>'Working Sheet'!$M1652*'Working Sheet'!$K1652</f>
        <v>120000</v>
      </c>
      <c r="P1652" s="25">
        <f>'Working Sheet'!$N1652-'Working Sheet'!$O1652</f>
        <v>30000</v>
      </c>
    </row>
    <row r="1653" spans="1:16" ht="14.25" customHeight="1" x14ac:dyDescent="0.25">
      <c r="A1653" s="18" t="str">
        <f t="shared" ca="1" si="50"/>
        <v>ID_826</v>
      </c>
      <c r="B1653" s="17">
        <v>45745</v>
      </c>
      <c r="C1653" s="18" t="str">
        <f>TEXT('Working Sheet'!$B1653,"mmm")</f>
        <v>Mar</v>
      </c>
      <c r="D1653" s="18" t="s">
        <v>29</v>
      </c>
      <c r="E1653" s="18" t="s">
        <v>26</v>
      </c>
      <c r="F1653" s="18" t="s">
        <v>23</v>
      </c>
      <c r="G1653" s="18" t="s">
        <v>14</v>
      </c>
      <c r="H1653" s="18" t="s">
        <v>21</v>
      </c>
      <c r="I1653" s="18" t="s">
        <v>22</v>
      </c>
      <c r="J1653" s="19">
        <v>30000</v>
      </c>
      <c r="K1653" s="18">
        <v>9</v>
      </c>
      <c r="L1653" s="18" t="s">
        <v>28</v>
      </c>
      <c r="M1653" s="20">
        <f t="shared" si="51"/>
        <v>24000</v>
      </c>
      <c r="N1653" s="20">
        <f>'Working Sheet'!$J1653*'Working Sheet'!$K1653</f>
        <v>270000</v>
      </c>
      <c r="O1653" s="21">
        <f>'Working Sheet'!$M1653*'Working Sheet'!$K1653</f>
        <v>216000</v>
      </c>
      <c r="P1653" s="20">
        <f>'Working Sheet'!$N1653-'Working Sheet'!$O1653</f>
        <v>54000</v>
      </c>
    </row>
    <row r="1654" spans="1:16" ht="14.25" customHeight="1" x14ac:dyDescent="0.25">
      <c r="A1654" s="23" t="str">
        <f t="shared" ca="1" si="50"/>
        <v>ID_602</v>
      </c>
      <c r="B1654" s="22">
        <v>45709</v>
      </c>
      <c r="C1654" s="23" t="str">
        <f>TEXT('Working Sheet'!$B1654,"mmm")</f>
        <v>Feb</v>
      </c>
      <c r="D1654" s="23" t="s">
        <v>25</v>
      </c>
      <c r="E1654" s="23" t="s">
        <v>12</v>
      </c>
      <c r="F1654" s="23" t="s">
        <v>13</v>
      </c>
      <c r="G1654" s="23" t="s">
        <v>14</v>
      </c>
      <c r="H1654" s="23" t="s">
        <v>40</v>
      </c>
      <c r="I1654" s="23" t="s">
        <v>31</v>
      </c>
      <c r="J1654" s="24">
        <v>250000</v>
      </c>
      <c r="K1654" s="23">
        <v>1</v>
      </c>
      <c r="L1654" s="23" t="s">
        <v>35</v>
      </c>
      <c r="M1654" s="25">
        <f t="shared" si="51"/>
        <v>200000</v>
      </c>
      <c r="N1654" s="25">
        <f>'Working Sheet'!$J1654*'Working Sheet'!$K1654</f>
        <v>250000</v>
      </c>
      <c r="O1654" s="26">
        <f>'Working Sheet'!$M1654*'Working Sheet'!$K1654</f>
        <v>200000</v>
      </c>
      <c r="P1654" s="25">
        <f>'Working Sheet'!$N1654-'Working Sheet'!$O1654</f>
        <v>50000</v>
      </c>
    </row>
    <row r="1655" spans="1:16" ht="14.25" customHeight="1" x14ac:dyDescent="0.25">
      <c r="A1655" s="18" t="str">
        <f t="shared" ca="1" si="50"/>
        <v>ID_246</v>
      </c>
      <c r="B1655" s="17">
        <v>45746</v>
      </c>
      <c r="C1655" s="18" t="str">
        <f>TEXT('Working Sheet'!$B1655,"mmm")</f>
        <v>Mar</v>
      </c>
      <c r="D1655" s="18" t="s">
        <v>25</v>
      </c>
      <c r="E1655" s="18" t="s">
        <v>32</v>
      </c>
      <c r="F1655" s="18" t="s">
        <v>13</v>
      </c>
      <c r="G1655" s="18" t="s">
        <v>14</v>
      </c>
      <c r="H1655" s="18" t="s">
        <v>41</v>
      </c>
      <c r="I1655" s="18" t="s">
        <v>22</v>
      </c>
      <c r="J1655" s="19">
        <v>220000</v>
      </c>
      <c r="K1655" s="18">
        <v>8</v>
      </c>
      <c r="L1655" s="18" t="s">
        <v>24</v>
      </c>
      <c r="M1655" s="20">
        <f t="shared" si="51"/>
        <v>176000</v>
      </c>
      <c r="N1655" s="20">
        <f>'Working Sheet'!$J1655*'Working Sheet'!$K1655</f>
        <v>1760000</v>
      </c>
      <c r="O1655" s="21">
        <f>'Working Sheet'!$M1655*'Working Sheet'!$K1655</f>
        <v>1408000</v>
      </c>
      <c r="P1655" s="20">
        <f>'Working Sheet'!$N1655-'Working Sheet'!$O1655</f>
        <v>352000</v>
      </c>
    </row>
    <row r="1656" spans="1:16" ht="14.25" customHeight="1" x14ac:dyDescent="0.25">
      <c r="A1656" s="23" t="str">
        <f t="shared" ca="1" si="50"/>
        <v>ID_1336</v>
      </c>
      <c r="B1656" s="22">
        <v>45703</v>
      </c>
      <c r="C1656" s="23" t="str">
        <f>TEXT('Working Sheet'!$B1656,"mmm")</f>
        <v>Feb</v>
      </c>
      <c r="D1656" s="23" t="s">
        <v>18</v>
      </c>
      <c r="E1656" s="23" t="s">
        <v>19</v>
      </c>
      <c r="F1656" s="23" t="s">
        <v>13</v>
      </c>
      <c r="G1656" s="23" t="s">
        <v>14</v>
      </c>
      <c r="H1656" s="23" t="s">
        <v>38</v>
      </c>
      <c r="I1656" s="23" t="s">
        <v>31</v>
      </c>
      <c r="J1656" s="24">
        <v>420000</v>
      </c>
      <c r="K1656" s="23">
        <v>8</v>
      </c>
      <c r="L1656" s="23" t="s">
        <v>39</v>
      </c>
      <c r="M1656" s="25">
        <f t="shared" si="51"/>
        <v>336000</v>
      </c>
      <c r="N1656" s="25">
        <f>'Working Sheet'!$J1656*'Working Sheet'!$K1656</f>
        <v>3360000</v>
      </c>
      <c r="O1656" s="26">
        <f>'Working Sheet'!$M1656*'Working Sheet'!$K1656</f>
        <v>2688000</v>
      </c>
      <c r="P1656" s="25">
        <f>'Working Sheet'!$N1656-'Working Sheet'!$O1656</f>
        <v>672000</v>
      </c>
    </row>
    <row r="1657" spans="1:16" ht="14.25" customHeight="1" x14ac:dyDescent="0.25">
      <c r="A1657" s="18" t="str">
        <f t="shared" ca="1" si="50"/>
        <v>ID_766</v>
      </c>
      <c r="B1657" s="17">
        <v>45726</v>
      </c>
      <c r="C1657" s="18" t="str">
        <f>TEXT('Working Sheet'!$B1657,"mmm")</f>
        <v>Mar</v>
      </c>
      <c r="D1657" s="18" t="s">
        <v>29</v>
      </c>
      <c r="E1657" s="18" t="s">
        <v>26</v>
      </c>
      <c r="F1657" s="18" t="s">
        <v>13</v>
      </c>
      <c r="G1657" s="18" t="s">
        <v>14</v>
      </c>
      <c r="H1657" s="18" t="s">
        <v>30</v>
      </c>
      <c r="I1657" s="18" t="s">
        <v>31</v>
      </c>
      <c r="J1657" s="19">
        <v>300000</v>
      </c>
      <c r="K1657" s="18">
        <v>10</v>
      </c>
      <c r="L1657" s="18" t="s">
        <v>35</v>
      </c>
      <c r="M1657" s="20">
        <f t="shared" si="51"/>
        <v>240000</v>
      </c>
      <c r="N1657" s="20">
        <f>'Working Sheet'!$J1657*'Working Sheet'!$K1657</f>
        <v>3000000</v>
      </c>
      <c r="O1657" s="21">
        <f>'Working Sheet'!$M1657*'Working Sheet'!$K1657</f>
        <v>2400000</v>
      </c>
      <c r="P1657" s="20">
        <f>'Working Sheet'!$N1657-'Working Sheet'!$O1657</f>
        <v>600000</v>
      </c>
    </row>
    <row r="1658" spans="1:16" ht="14.25" customHeight="1" x14ac:dyDescent="0.25">
      <c r="A1658" s="23" t="str">
        <f t="shared" ca="1" si="50"/>
        <v>ID_1354</v>
      </c>
      <c r="B1658" s="22">
        <v>45761</v>
      </c>
      <c r="C1658" s="23" t="str">
        <f>TEXT('Working Sheet'!$B1658,"mmm")</f>
        <v>Apr</v>
      </c>
      <c r="D1658" s="23" t="s">
        <v>29</v>
      </c>
      <c r="E1658" s="23" t="s">
        <v>32</v>
      </c>
      <c r="F1658" s="23" t="s">
        <v>13</v>
      </c>
      <c r="G1658" s="23" t="s">
        <v>14</v>
      </c>
      <c r="H1658" s="23" t="s">
        <v>36</v>
      </c>
      <c r="I1658" s="23" t="s">
        <v>31</v>
      </c>
      <c r="J1658" s="24">
        <v>150000</v>
      </c>
      <c r="K1658" s="23">
        <v>1</v>
      </c>
      <c r="L1658" s="23" t="s">
        <v>35</v>
      </c>
      <c r="M1658" s="25">
        <f t="shared" si="51"/>
        <v>120000</v>
      </c>
      <c r="N1658" s="25">
        <f>'Working Sheet'!$J1658*'Working Sheet'!$K1658</f>
        <v>150000</v>
      </c>
      <c r="O1658" s="26">
        <f>'Working Sheet'!$M1658*'Working Sheet'!$K1658</f>
        <v>120000</v>
      </c>
      <c r="P1658" s="25">
        <f>'Working Sheet'!$N1658-'Working Sheet'!$O1658</f>
        <v>30000</v>
      </c>
    </row>
    <row r="1659" spans="1:16" ht="14.25" customHeight="1" x14ac:dyDescent="0.25">
      <c r="A1659" s="18" t="str">
        <f t="shared" ca="1" si="50"/>
        <v>ID_1909</v>
      </c>
      <c r="B1659" s="17">
        <v>45684</v>
      </c>
      <c r="C1659" s="18" t="str">
        <f>TEXT('Working Sheet'!$B1659,"mmm")</f>
        <v>Jan</v>
      </c>
      <c r="D1659" s="18" t="s">
        <v>29</v>
      </c>
      <c r="E1659" s="18" t="s">
        <v>32</v>
      </c>
      <c r="F1659" s="18" t="s">
        <v>13</v>
      </c>
      <c r="G1659" s="18" t="s">
        <v>20</v>
      </c>
      <c r="H1659" s="18" t="s">
        <v>41</v>
      </c>
      <c r="I1659" s="18" t="s">
        <v>22</v>
      </c>
      <c r="J1659" s="19">
        <v>220000</v>
      </c>
      <c r="K1659" s="18">
        <v>6</v>
      </c>
      <c r="L1659" s="18" t="s">
        <v>28</v>
      </c>
      <c r="M1659" s="20">
        <f t="shared" si="51"/>
        <v>176000</v>
      </c>
      <c r="N1659" s="20">
        <f>'Working Sheet'!$J1659*'Working Sheet'!$K1659</f>
        <v>1320000</v>
      </c>
      <c r="O1659" s="21">
        <f>'Working Sheet'!$M1659*'Working Sheet'!$K1659</f>
        <v>1056000</v>
      </c>
      <c r="P1659" s="20">
        <f>'Working Sheet'!$N1659-'Working Sheet'!$O1659</f>
        <v>264000</v>
      </c>
    </row>
    <row r="1660" spans="1:16" ht="14.25" customHeight="1" x14ac:dyDescent="0.25">
      <c r="A1660" s="23" t="str">
        <f t="shared" ca="1" si="50"/>
        <v>ID_2092</v>
      </c>
      <c r="B1660" s="22">
        <v>45663</v>
      </c>
      <c r="C1660" s="23" t="str">
        <f>TEXT('Working Sheet'!$B1660,"mmm")</f>
        <v>Jan</v>
      </c>
      <c r="D1660" s="23" t="s">
        <v>29</v>
      </c>
      <c r="E1660" s="23" t="s">
        <v>19</v>
      </c>
      <c r="F1660" s="23" t="s">
        <v>23</v>
      </c>
      <c r="G1660" s="23" t="s">
        <v>14</v>
      </c>
      <c r="H1660" s="23" t="s">
        <v>33</v>
      </c>
      <c r="I1660" s="23" t="s">
        <v>22</v>
      </c>
      <c r="J1660" s="24">
        <v>180000</v>
      </c>
      <c r="K1660" s="23">
        <v>3</v>
      </c>
      <c r="L1660" s="23" t="s">
        <v>39</v>
      </c>
      <c r="M1660" s="25">
        <f t="shared" si="51"/>
        <v>144000</v>
      </c>
      <c r="N1660" s="25">
        <f>'Working Sheet'!$J1660*'Working Sheet'!$K1660</f>
        <v>540000</v>
      </c>
      <c r="O1660" s="26">
        <f>'Working Sheet'!$M1660*'Working Sheet'!$K1660</f>
        <v>432000</v>
      </c>
      <c r="P1660" s="25">
        <f>'Working Sheet'!$N1660-'Working Sheet'!$O1660</f>
        <v>108000</v>
      </c>
    </row>
    <row r="1661" spans="1:16" ht="14.25" customHeight="1" x14ac:dyDescent="0.25">
      <c r="A1661" s="18" t="str">
        <f t="shared" ca="1" si="50"/>
        <v>ID_1919</v>
      </c>
      <c r="B1661" s="17">
        <v>45677</v>
      </c>
      <c r="C1661" s="18" t="str">
        <f>TEXT('Working Sheet'!$B1661,"mmm")</f>
        <v>Jan</v>
      </c>
      <c r="D1661" s="18" t="s">
        <v>29</v>
      </c>
      <c r="E1661" s="18" t="s">
        <v>12</v>
      </c>
      <c r="F1661" s="18" t="s">
        <v>13</v>
      </c>
      <c r="G1661" s="18" t="s">
        <v>20</v>
      </c>
      <c r="H1661" s="18" t="s">
        <v>27</v>
      </c>
      <c r="I1661" s="18" t="s">
        <v>22</v>
      </c>
      <c r="J1661" s="19">
        <v>60000</v>
      </c>
      <c r="K1661" s="18">
        <v>10</v>
      </c>
      <c r="L1661" s="18" t="s">
        <v>35</v>
      </c>
      <c r="M1661" s="20">
        <f t="shared" si="51"/>
        <v>48000</v>
      </c>
      <c r="N1661" s="20">
        <f>'Working Sheet'!$J1661*'Working Sheet'!$K1661</f>
        <v>600000</v>
      </c>
      <c r="O1661" s="21">
        <f>'Working Sheet'!$M1661*'Working Sheet'!$K1661</f>
        <v>480000</v>
      </c>
      <c r="P1661" s="20">
        <f>'Working Sheet'!$N1661-'Working Sheet'!$O1661</f>
        <v>120000</v>
      </c>
    </row>
    <row r="1662" spans="1:16" ht="14.25" customHeight="1" x14ac:dyDescent="0.25">
      <c r="A1662" s="23" t="str">
        <f t="shared" ca="1" si="50"/>
        <v>ID_1692</v>
      </c>
      <c r="B1662" s="22">
        <v>45763</v>
      </c>
      <c r="C1662" s="23" t="str">
        <f>TEXT('Working Sheet'!$B1662,"mmm")</f>
        <v>Apr</v>
      </c>
      <c r="D1662" s="23" t="s">
        <v>25</v>
      </c>
      <c r="E1662" s="23" t="s">
        <v>12</v>
      </c>
      <c r="F1662" s="23" t="s">
        <v>23</v>
      </c>
      <c r="G1662" s="23" t="s">
        <v>14</v>
      </c>
      <c r="H1662" s="23" t="s">
        <v>41</v>
      </c>
      <c r="I1662" s="23" t="s">
        <v>22</v>
      </c>
      <c r="J1662" s="24">
        <v>220000</v>
      </c>
      <c r="K1662" s="23">
        <v>1</v>
      </c>
      <c r="L1662" s="23" t="s">
        <v>37</v>
      </c>
      <c r="M1662" s="25">
        <f t="shared" si="51"/>
        <v>176000</v>
      </c>
      <c r="N1662" s="25">
        <f>'Working Sheet'!$J1662*'Working Sheet'!$K1662</f>
        <v>220000</v>
      </c>
      <c r="O1662" s="26">
        <f>'Working Sheet'!$M1662*'Working Sheet'!$K1662</f>
        <v>176000</v>
      </c>
      <c r="P1662" s="25">
        <f>'Working Sheet'!$N1662-'Working Sheet'!$O1662</f>
        <v>44000</v>
      </c>
    </row>
    <row r="1663" spans="1:16" ht="14.25" customHeight="1" x14ac:dyDescent="0.25">
      <c r="A1663" s="18" t="str">
        <f t="shared" ca="1" si="50"/>
        <v>ID_1558</v>
      </c>
      <c r="B1663" s="17">
        <v>45766</v>
      </c>
      <c r="C1663" s="18" t="str">
        <f>TEXT('Working Sheet'!$B1663,"mmm")</f>
        <v>Apr</v>
      </c>
      <c r="D1663" s="18" t="s">
        <v>29</v>
      </c>
      <c r="E1663" s="18" t="s">
        <v>26</v>
      </c>
      <c r="F1663" s="18" t="s">
        <v>13</v>
      </c>
      <c r="G1663" s="18" t="s">
        <v>20</v>
      </c>
      <c r="H1663" s="18" t="s">
        <v>40</v>
      </c>
      <c r="I1663" s="18" t="s">
        <v>31</v>
      </c>
      <c r="J1663" s="19">
        <v>250000</v>
      </c>
      <c r="K1663" s="18">
        <v>5</v>
      </c>
      <c r="L1663" s="18" t="s">
        <v>28</v>
      </c>
      <c r="M1663" s="20">
        <f t="shared" si="51"/>
        <v>200000</v>
      </c>
      <c r="N1663" s="20">
        <f>'Working Sheet'!$J1663*'Working Sheet'!$K1663</f>
        <v>1250000</v>
      </c>
      <c r="O1663" s="21">
        <f>'Working Sheet'!$M1663*'Working Sheet'!$K1663</f>
        <v>1000000</v>
      </c>
      <c r="P1663" s="20">
        <f>'Working Sheet'!$N1663-'Working Sheet'!$O1663</f>
        <v>250000</v>
      </c>
    </row>
    <row r="1664" spans="1:16" ht="14.25" customHeight="1" x14ac:dyDescent="0.25">
      <c r="A1664" s="23" t="str">
        <f t="shared" ca="1" si="50"/>
        <v>ID_990</v>
      </c>
      <c r="B1664" s="22">
        <v>45750</v>
      </c>
      <c r="C1664" s="23" t="str">
        <f>TEXT('Working Sheet'!$B1664,"mmm")</f>
        <v>Apr</v>
      </c>
      <c r="D1664" s="23" t="s">
        <v>25</v>
      </c>
      <c r="E1664" s="23" t="s">
        <v>19</v>
      </c>
      <c r="F1664" s="23" t="s">
        <v>23</v>
      </c>
      <c r="G1664" s="23" t="s">
        <v>20</v>
      </c>
      <c r="H1664" s="23" t="s">
        <v>40</v>
      </c>
      <c r="I1664" s="23" t="s">
        <v>31</v>
      </c>
      <c r="J1664" s="24">
        <v>250000</v>
      </c>
      <c r="K1664" s="23">
        <v>8</v>
      </c>
      <c r="L1664" s="23" t="s">
        <v>35</v>
      </c>
      <c r="M1664" s="25">
        <f t="shared" si="51"/>
        <v>200000</v>
      </c>
      <c r="N1664" s="25">
        <f>'Working Sheet'!$J1664*'Working Sheet'!$K1664</f>
        <v>2000000</v>
      </c>
      <c r="O1664" s="26">
        <f>'Working Sheet'!$M1664*'Working Sheet'!$K1664</f>
        <v>1600000</v>
      </c>
      <c r="P1664" s="25">
        <f>'Working Sheet'!$N1664-'Working Sheet'!$O1664</f>
        <v>400000</v>
      </c>
    </row>
    <row r="1665" spans="1:16" ht="14.25" customHeight="1" x14ac:dyDescent="0.25">
      <c r="A1665" s="18" t="str">
        <f t="shared" ca="1" si="50"/>
        <v>ID_2007</v>
      </c>
      <c r="B1665" s="17">
        <v>45670</v>
      </c>
      <c r="C1665" s="18" t="str">
        <f>TEXT('Working Sheet'!$B1665,"mmm")</f>
        <v>Jan</v>
      </c>
      <c r="D1665" s="18" t="s">
        <v>11</v>
      </c>
      <c r="E1665" s="18" t="s">
        <v>32</v>
      </c>
      <c r="F1665" s="18" t="s">
        <v>23</v>
      </c>
      <c r="G1665" s="18" t="s">
        <v>14</v>
      </c>
      <c r="H1665" s="18" t="s">
        <v>36</v>
      </c>
      <c r="I1665" s="18" t="s">
        <v>31</v>
      </c>
      <c r="J1665" s="19">
        <v>150000</v>
      </c>
      <c r="K1665" s="18">
        <v>4</v>
      </c>
      <c r="L1665" s="18" t="s">
        <v>24</v>
      </c>
      <c r="M1665" s="20">
        <f t="shared" si="51"/>
        <v>120000</v>
      </c>
      <c r="N1665" s="20">
        <f>'Working Sheet'!$J1665*'Working Sheet'!$K1665</f>
        <v>600000</v>
      </c>
      <c r="O1665" s="21">
        <f>'Working Sheet'!$M1665*'Working Sheet'!$K1665</f>
        <v>480000</v>
      </c>
      <c r="P1665" s="20">
        <f>'Working Sheet'!$N1665-'Working Sheet'!$O1665</f>
        <v>120000</v>
      </c>
    </row>
    <row r="1666" spans="1:16" ht="14.25" customHeight="1" x14ac:dyDescent="0.25">
      <c r="A1666" s="23" t="str">
        <f t="shared" ref="A1666:A1729" ca="1" si="52">"ID_"&amp; RANDBETWEEN(1,2098)</f>
        <v>ID_2009</v>
      </c>
      <c r="B1666" s="22">
        <v>45727</v>
      </c>
      <c r="C1666" s="23" t="str">
        <f>TEXT('Working Sheet'!$B1666,"mmm")</f>
        <v>Mar</v>
      </c>
      <c r="D1666" s="23" t="s">
        <v>25</v>
      </c>
      <c r="E1666" s="23" t="s">
        <v>19</v>
      </c>
      <c r="F1666" s="23" t="s">
        <v>13</v>
      </c>
      <c r="G1666" s="23" t="s">
        <v>14</v>
      </c>
      <c r="H1666" s="23" t="s">
        <v>41</v>
      </c>
      <c r="I1666" s="23" t="s">
        <v>22</v>
      </c>
      <c r="J1666" s="24">
        <v>220000</v>
      </c>
      <c r="K1666" s="23">
        <v>3</v>
      </c>
      <c r="L1666" s="23" t="s">
        <v>37</v>
      </c>
      <c r="M1666" s="25">
        <f t="shared" ref="M1666:M1729" si="53">J1666-J1666*0.2</f>
        <v>176000</v>
      </c>
      <c r="N1666" s="25">
        <f>'Working Sheet'!$J1666*'Working Sheet'!$K1666</f>
        <v>660000</v>
      </c>
      <c r="O1666" s="26">
        <f>'Working Sheet'!$M1666*'Working Sheet'!$K1666</f>
        <v>528000</v>
      </c>
      <c r="P1666" s="25">
        <f>'Working Sheet'!$N1666-'Working Sheet'!$O1666</f>
        <v>132000</v>
      </c>
    </row>
    <row r="1667" spans="1:16" ht="14.25" customHeight="1" x14ac:dyDescent="0.25">
      <c r="A1667" s="18" t="str">
        <f t="shared" ca="1" si="52"/>
        <v>ID_1395</v>
      </c>
      <c r="B1667" s="17">
        <v>45677</v>
      </c>
      <c r="C1667" s="18" t="str">
        <f>TEXT('Working Sheet'!$B1667,"mmm")</f>
        <v>Jan</v>
      </c>
      <c r="D1667" s="18" t="s">
        <v>25</v>
      </c>
      <c r="E1667" s="18" t="s">
        <v>26</v>
      </c>
      <c r="F1667" s="18" t="s">
        <v>13</v>
      </c>
      <c r="G1667" s="18" t="s">
        <v>14</v>
      </c>
      <c r="H1667" s="18" t="s">
        <v>33</v>
      </c>
      <c r="I1667" s="18" t="s">
        <v>22</v>
      </c>
      <c r="J1667" s="19">
        <v>180000</v>
      </c>
      <c r="K1667" s="18">
        <v>7</v>
      </c>
      <c r="L1667" s="18" t="s">
        <v>37</v>
      </c>
      <c r="M1667" s="20">
        <f t="shared" si="53"/>
        <v>144000</v>
      </c>
      <c r="N1667" s="20">
        <f>'Working Sheet'!$J1667*'Working Sheet'!$K1667</f>
        <v>1260000</v>
      </c>
      <c r="O1667" s="21">
        <f>'Working Sheet'!$M1667*'Working Sheet'!$K1667</f>
        <v>1008000</v>
      </c>
      <c r="P1667" s="20">
        <f>'Working Sheet'!$N1667-'Working Sheet'!$O1667</f>
        <v>252000</v>
      </c>
    </row>
    <row r="1668" spans="1:16" ht="14.25" customHeight="1" x14ac:dyDescent="0.25">
      <c r="A1668" s="23" t="str">
        <f t="shared" ca="1" si="52"/>
        <v>ID_1924</v>
      </c>
      <c r="B1668" s="22">
        <v>45665</v>
      </c>
      <c r="C1668" s="23" t="str">
        <f>TEXT('Working Sheet'!$B1668,"mmm")</f>
        <v>Jan</v>
      </c>
      <c r="D1668" s="23" t="s">
        <v>25</v>
      </c>
      <c r="E1668" s="23" t="s">
        <v>19</v>
      </c>
      <c r="F1668" s="23" t="s">
        <v>23</v>
      </c>
      <c r="G1668" s="23" t="s">
        <v>20</v>
      </c>
      <c r="H1668" s="23" t="s">
        <v>36</v>
      </c>
      <c r="I1668" s="23" t="s">
        <v>31</v>
      </c>
      <c r="J1668" s="24">
        <v>150000</v>
      </c>
      <c r="K1668" s="23">
        <v>4</v>
      </c>
      <c r="L1668" s="23" t="s">
        <v>35</v>
      </c>
      <c r="M1668" s="25">
        <f t="shared" si="53"/>
        <v>120000</v>
      </c>
      <c r="N1668" s="25">
        <f>'Working Sheet'!$J1668*'Working Sheet'!$K1668</f>
        <v>600000</v>
      </c>
      <c r="O1668" s="26">
        <f>'Working Sheet'!$M1668*'Working Sheet'!$K1668</f>
        <v>480000</v>
      </c>
      <c r="P1668" s="25">
        <f>'Working Sheet'!$N1668-'Working Sheet'!$O1668</f>
        <v>120000</v>
      </c>
    </row>
    <row r="1669" spans="1:16" ht="14.25" customHeight="1" x14ac:dyDescent="0.25">
      <c r="A1669" s="18" t="str">
        <f t="shared" ca="1" si="52"/>
        <v>ID_1107</v>
      </c>
      <c r="B1669" s="17">
        <v>45712</v>
      </c>
      <c r="C1669" s="18" t="str">
        <f>TEXT('Working Sheet'!$B1669,"mmm")</f>
        <v>Feb</v>
      </c>
      <c r="D1669" s="18" t="s">
        <v>18</v>
      </c>
      <c r="E1669" s="18" t="s">
        <v>26</v>
      </c>
      <c r="F1669" s="18" t="s">
        <v>23</v>
      </c>
      <c r="G1669" s="18" t="s">
        <v>14</v>
      </c>
      <c r="H1669" s="18" t="s">
        <v>36</v>
      </c>
      <c r="I1669" s="18" t="s">
        <v>31</v>
      </c>
      <c r="J1669" s="19">
        <v>150000</v>
      </c>
      <c r="K1669" s="18">
        <v>10</v>
      </c>
      <c r="L1669" s="18" t="s">
        <v>24</v>
      </c>
      <c r="M1669" s="20">
        <f t="shared" si="53"/>
        <v>120000</v>
      </c>
      <c r="N1669" s="20">
        <f>'Working Sheet'!$J1669*'Working Sheet'!$K1669</f>
        <v>1500000</v>
      </c>
      <c r="O1669" s="21">
        <f>'Working Sheet'!$M1669*'Working Sheet'!$K1669</f>
        <v>1200000</v>
      </c>
      <c r="P1669" s="20">
        <f>'Working Sheet'!$N1669-'Working Sheet'!$O1669</f>
        <v>300000</v>
      </c>
    </row>
    <row r="1670" spans="1:16" ht="14.25" customHeight="1" x14ac:dyDescent="0.25">
      <c r="A1670" s="23" t="str">
        <f t="shared" ca="1" si="52"/>
        <v>ID_965</v>
      </c>
      <c r="B1670" s="22">
        <v>45714</v>
      </c>
      <c r="C1670" s="23" t="str">
        <f>TEXT('Working Sheet'!$B1670,"mmm")</f>
        <v>Feb</v>
      </c>
      <c r="D1670" s="23" t="s">
        <v>11</v>
      </c>
      <c r="E1670" s="23" t="s">
        <v>19</v>
      </c>
      <c r="F1670" s="23" t="s">
        <v>13</v>
      </c>
      <c r="G1670" s="23" t="s">
        <v>14</v>
      </c>
      <c r="H1670" s="23" t="s">
        <v>36</v>
      </c>
      <c r="I1670" s="23" t="s">
        <v>31</v>
      </c>
      <c r="J1670" s="24">
        <v>150000</v>
      </c>
      <c r="K1670" s="23">
        <v>1</v>
      </c>
      <c r="L1670" s="23" t="s">
        <v>39</v>
      </c>
      <c r="M1670" s="25">
        <f t="shared" si="53"/>
        <v>120000</v>
      </c>
      <c r="N1670" s="25">
        <f>'Working Sheet'!$J1670*'Working Sheet'!$K1670</f>
        <v>150000</v>
      </c>
      <c r="O1670" s="26">
        <f>'Working Sheet'!$M1670*'Working Sheet'!$K1670</f>
        <v>120000</v>
      </c>
      <c r="P1670" s="25">
        <f>'Working Sheet'!$N1670-'Working Sheet'!$O1670</f>
        <v>30000</v>
      </c>
    </row>
    <row r="1671" spans="1:16" ht="14.25" customHeight="1" x14ac:dyDescent="0.25">
      <c r="A1671" s="18" t="str">
        <f t="shared" ca="1" si="52"/>
        <v>ID_979</v>
      </c>
      <c r="B1671" s="17">
        <v>45712</v>
      </c>
      <c r="C1671" s="18" t="str">
        <f>TEXT('Working Sheet'!$B1671,"mmm")</f>
        <v>Feb</v>
      </c>
      <c r="D1671" s="18" t="s">
        <v>29</v>
      </c>
      <c r="E1671" s="18" t="s">
        <v>26</v>
      </c>
      <c r="F1671" s="18" t="s">
        <v>23</v>
      </c>
      <c r="G1671" s="18" t="s">
        <v>20</v>
      </c>
      <c r="H1671" s="18" t="s">
        <v>36</v>
      </c>
      <c r="I1671" s="18" t="s">
        <v>31</v>
      </c>
      <c r="J1671" s="19">
        <v>150000</v>
      </c>
      <c r="K1671" s="18">
        <v>4</v>
      </c>
      <c r="L1671" s="18" t="s">
        <v>24</v>
      </c>
      <c r="M1671" s="20">
        <f t="shared" si="53"/>
        <v>120000</v>
      </c>
      <c r="N1671" s="20">
        <f>'Working Sheet'!$J1671*'Working Sheet'!$K1671</f>
        <v>600000</v>
      </c>
      <c r="O1671" s="21">
        <f>'Working Sheet'!$M1671*'Working Sheet'!$K1671</f>
        <v>480000</v>
      </c>
      <c r="P1671" s="20">
        <f>'Working Sheet'!$N1671-'Working Sheet'!$O1671</f>
        <v>120000</v>
      </c>
    </row>
    <row r="1672" spans="1:16" ht="14.25" customHeight="1" x14ac:dyDescent="0.25">
      <c r="A1672" s="23" t="str">
        <f t="shared" ca="1" si="52"/>
        <v>ID_1937</v>
      </c>
      <c r="B1672" s="22">
        <v>45742</v>
      </c>
      <c r="C1672" s="23" t="str">
        <f>TEXT('Working Sheet'!$B1672,"mmm")</f>
        <v>Mar</v>
      </c>
      <c r="D1672" s="23" t="s">
        <v>11</v>
      </c>
      <c r="E1672" s="23" t="s">
        <v>26</v>
      </c>
      <c r="F1672" s="23" t="s">
        <v>23</v>
      </c>
      <c r="G1672" s="23" t="s">
        <v>14</v>
      </c>
      <c r="H1672" s="23" t="s">
        <v>27</v>
      </c>
      <c r="I1672" s="23" t="s">
        <v>22</v>
      </c>
      <c r="J1672" s="24">
        <v>60000</v>
      </c>
      <c r="K1672" s="23">
        <v>5</v>
      </c>
      <c r="L1672" s="23" t="s">
        <v>37</v>
      </c>
      <c r="M1672" s="25">
        <f t="shared" si="53"/>
        <v>48000</v>
      </c>
      <c r="N1672" s="25">
        <f>'Working Sheet'!$J1672*'Working Sheet'!$K1672</f>
        <v>300000</v>
      </c>
      <c r="O1672" s="26">
        <f>'Working Sheet'!$M1672*'Working Sheet'!$K1672</f>
        <v>240000</v>
      </c>
      <c r="P1672" s="25">
        <f>'Working Sheet'!$N1672-'Working Sheet'!$O1672</f>
        <v>60000</v>
      </c>
    </row>
    <row r="1673" spans="1:16" ht="14.25" customHeight="1" x14ac:dyDescent="0.25">
      <c r="A1673" s="18" t="str">
        <f t="shared" ca="1" si="52"/>
        <v>ID_1833</v>
      </c>
      <c r="B1673" s="17">
        <v>45710</v>
      </c>
      <c r="C1673" s="18" t="str">
        <f>TEXT('Working Sheet'!$B1673,"mmm")</f>
        <v>Feb</v>
      </c>
      <c r="D1673" s="18" t="s">
        <v>25</v>
      </c>
      <c r="E1673" s="18" t="s">
        <v>32</v>
      </c>
      <c r="F1673" s="18" t="s">
        <v>13</v>
      </c>
      <c r="G1673" s="18" t="s">
        <v>20</v>
      </c>
      <c r="H1673" s="18" t="s">
        <v>41</v>
      </c>
      <c r="I1673" s="18" t="s">
        <v>22</v>
      </c>
      <c r="J1673" s="19">
        <v>220000</v>
      </c>
      <c r="K1673" s="18">
        <v>7</v>
      </c>
      <c r="L1673" s="18" t="s">
        <v>17</v>
      </c>
      <c r="M1673" s="20">
        <f t="shared" si="53"/>
        <v>176000</v>
      </c>
      <c r="N1673" s="20">
        <f>'Working Sheet'!$J1673*'Working Sheet'!$K1673</f>
        <v>1540000</v>
      </c>
      <c r="O1673" s="21">
        <f>'Working Sheet'!$M1673*'Working Sheet'!$K1673</f>
        <v>1232000</v>
      </c>
      <c r="P1673" s="20">
        <f>'Working Sheet'!$N1673-'Working Sheet'!$O1673</f>
        <v>308000</v>
      </c>
    </row>
    <row r="1674" spans="1:16" ht="14.25" customHeight="1" x14ac:dyDescent="0.25">
      <c r="A1674" s="23" t="str">
        <f t="shared" ca="1" si="52"/>
        <v>ID_42</v>
      </c>
      <c r="B1674" s="22">
        <v>45661</v>
      </c>
      <c r="C1674" s="23" t="str">
        <f>TEXT('Working Sheet'!$B1674,"mmm")</f>
        <v>Jan</v>
      </c>
      <c r="D1674" s="23" t="s">
        <v>29</v>
      </c>
      <c r="E1674" s="23" t="s">
        <v>19</v>
      </c>
      <c r="F1674" s="23" t="s">
        <v>13</v>
      </c>
      <c r="G1674" s="23" t="s">
        <v>20</v>
      </c>
      <c r="H1674" s="23" t="s">
        <v>36</v>
      </c>
      <c r="I1674" s="23" t="s">
        <v>31</v>
      </c>
      <c r="J1674" s="24">
        <v>150000</v>
      </c>
      <c r="K1674" s="23">
        <v>4</v>
      </c>
      <c r="L1674" s="23" t="s">
        <v>39</v>
      </c>
      <c r="M1674" s="25">
        <f t="shared" si="53"/>
        <v>120000</v>
      </c>
      <c r="N1674" s="25">
        <f>'Working Sheet'!$J1674*'Working Sheet'!$K1674</f>
        <v>600000</v>
      </c>
      <c r="O1674" s="26">
        <f>'Working Sheet'!$M1674*'Working Sheet'!$K1674</f>
        <v>480000</v>
      </c>
      <c r="P1674" s="25">
        <f>'Working Sheet'!$N1674-'Working Sheet'!$O1674</f>
        <v>120000</v>
      </c>
    </row>
    <row r="1675" spans="1:16" ht="14.25" customHeight="1" x14ac:dyDescent="0.25">
      <c r="A1675" s="18" t="str">
        <f t="shared" ca="1" si="52"/>
        <v>ID_1608</v>
      </c>
      <c r="B1675" s="17">
        <v>45766</v>
      </c>
      <c r="C1675" s="18" t="str">
        <f>TEXT('Working Sheet'!$B1675,"mmm")</f>
        <v>Apr</v>
      </c>
      <c r="D1675" s="18" t="s">
        <v>18</v>
      </c>
      <c r="E1675" s="18" t="s">
        <v>26</v>
      </c>
      <c r="F1675" s="18" t="s">
        <v>23</v>
      </c>
      <c r="G1675" s="18" t="s">
        <v>14</v>
      </c>
      <c r="H1675" s="18" t="s">
        <v>34</v>
      </c>
      <c r="I1675" s="18" t="s">
        <v>16</v>
      </c>
      <c r="J1675" s="19">
        <v>320000</v>
      </c>
      <c r="K1675" s="18">
        <v>6</v>
      </c>
      <c r="L1675" s="18" t="s">
        <v>17</v>
      </c>
      <c r="M1675" s="20">
        <f t="shared" si="53"/>
        <v>256000</v>
      </c>
      <c r="N1675" s="20">
        <f>'Working Sheet'!$J1675*'Working Sheet'!$K1675</f>
        <v>1920000</v>
      </c>
      <c r="O1675" s="21">
        <f>'Working Sheet'!$M1675*'Working Sheet'!$K1675</f>
        <v>1536000</v>
      </c>
      <c r="P1675" s="20">
        <f>'Working Sheet'!$N1675-'Working Sheet'!$O1675</f>
        <v>384000</v>
      </c>
    </row>
    <row r="1676" spans="1:16" ht="14.25" customHeight="1" x14ac:dyDescent="0.25">
      <c r="A1676" s="23" t="str">
        <f t="shared" ca="1" si="52"/>
        <v>ID_1508</v>
      </c>
      <c r="B1676" s="22">
        <v>45732</v>
      </c>
      <c r="C1676" s="23" t="str">
        <f>TEXT('Working Sheet'!$B1676,"mmm")</f>
        <v>Mar</v>
      </c>
      <c r="D1676" s="23" t="s">
        <v>25</v>
      </c>
      <c r="E1676" s="23" t="s">
        <v>12</v>
      </c>
      <c r="F1676" s="23" t="s">
        <v>13</v>
      </c>
      <c r="G1676" s="23" t="s">
        <v>20</v>
      </c>
      <c r="H1676" s="23" t="s">
        <v>34</v>
      </c>
      <c r="I1676" s="23" t="s">
        <v>16</v>
      </c>
      <c r="J1676" s="24">
        <v>320000</v>
      </c>
      <c r="K1676" s="23">
        <v>6</v>
      </c>
      <c r="L1676" s="23" t="s">
        <v>37</v>
      </c>
      <c r="M1676" s="25">
        <f t="shared" si="53"/>
        <v>256000</v>
      </c>
      <c r="N1676" s="25">
        <f>'Working Sheet'!$J1676*'Working Sheet'!$K1676</f>
        <v>1920000</v>
      </c>
      <c r="O1676" s="26">
        <f>'Working Sheet'!$M1676*'Working Sheet'!$K1676</f>
        <v>1536000</v>
      </c>
      <c r="P1676" s="25">
        <f>'Working Sheet'!$N1676-'Working Sheet'!$O1676</f>
        <v>384000</v>
      </c>
    </row>
    <row r="1677" spans="1:16" ht="14.25" customHeight="1" x14ac:dyDescent="0.25">
      <c r="A1677" s="18" t="str">
        <f t="shared" ca="1" si="52"/>
        <v>ID_1391</v>
      </c>
      <c r="B1677" s="17">
        <v>45715</v>
      </c>
      <c r="C1677" s="18" t="str">
        <f>TEXT('Working Sheet'!$B1677,"mmm")</f>
        <v>Feb</v>
      </c>
      <c r="D1677" s="18" t="s">
        <v>11</v>
      </c>
      <c r="E1677" s="18" t="s">
        <v>12</v>
      </c>
      <c r="F1677" s="18" t="s">
        <v>23</v>
      </c>
      <c r="G1677" s="18" t="s">
        <v>20</v>
      </c>
      <c r="H1677" s="18" t="s">
        <v>27</v>
      </c>
      <c r="I1677" s="18" t="s">
        <v>22</v>
      </c>
      <c r="J1677" s="19">
        <v>60000</v>
      </c>
      <c r="K1677" s="18">
        <v>4</v>
      </c>
      <c r="L1677" s="18" t="s">
        <v>37</v>
      </c>
      <c r="M1677" s="20">
        <f t="shared" si="53"/>
        <v>48000</v>
      </c>
      <c r="N1677" s="20">
        <f>'Working Sheet'!$J1677*'Working Sheet'!$K1677</f>
        <v>240000</v>
      </c>
      <c r="O1677" s="21">
        <f>'Working Sheet'!$M1677*'Working Sheet'!$K1677</f>
        <v>192000</v>
      </c>
      <c r="P1677" s="20">
        <f>'Working Sheet'!$N1677-'Working Sheet'!$O1677</f>
        <v>48000</v>
      </c>
    </row>
    <row r="1678" spans="1:16" ht="14.25" customHeight="1" x14ac:dyDescent="0.25">
      <c r="A1678" s="23" t="str">
        <f t="shared" ca="1" si="52"/>
        <v>ID_239</v>
      </c>
      <c r="B1678" s="22">
        <v>45749</v>
      </c>
      <c r="C1678" s="23" t="str">
        <f>TEXT('Working Sheet'!$B1678,"mmm")</f>
        <v>Apr</v>
      </c>
      <c r="D1678" s="23" t="s">
        <v>29</v>
      </c>
      <c r="E1678" s="23" t="s">
        <v>19</v>
      </c>
      <c r="F1678" s="23" t="s">
        <v>13</v>
      </c>
      <c r="G1678" s="23" t="s">
        <v>14</v>
      </c>
      <c r="H1678" s="23" t="s">
        <v>15</v>
      </c>
      <c r="I1678" s="23" t="s">
        <v>16</v>
      </c>
      <c r="J1678" s="24">
        <v>85000</v>
      </c>
      <c r="K1678" s="23">
        <v>8</v>
      </c>
      <c r="L1678" s="23" t="s">
        <v>24</v>
      </c>
      <c r="M1678" s="25">
        <f t="shared" si="53"/>
        <v>68000</v>
      </c>
      <c r="N1678" s="25">
        <f>'Working Sheet'!$J1678*'Working Sheet'!$K1678</f>
        <v>680000</v>
      </c>
      <c r="O1678" s="26">
        <f>'Working Sheet'!$M1678*'Working Sheet'!$K1678</f>
        <v>544000</v>
      </c>
      <c r="P1678" s="25">
        <f>'Working Sheet'!$N1678-'Working Sheet'!$O1678</f>
        <v>136000</v>
      </c>
    </row>
    <row r="1679" spans="1:16" ht="14.25" customHeight="1" x14ac:dyDescent="0.25">
      <c r="A1679" s="18" t="str">
        <f t="shared" ca="1" si="52"/>
        <v>ID_1825</v>
      </c>
      <c r="B1679" s="17">
        <v>45716</v>
      </c>
      <c r="C1679" s="18" t="str">
        <f>TEXT('Working Sheet'!$B1679,"mmm")</f>
        <v>Feb</v>
      </c>
      <c r="D1679" s="18" t="s">
        <v>25</v>
      </c>
      <c r="E1679" s="18" t="s">
        <v>26</v>
      </c>
      <c r="F1679" s="18" t="s">
        <v>23</v>
      </c>
      <c r="G1679" s="18" t="s">
        <v>14</v>
      </c>
      <c r="H1679" s="18" t="s">
        <v>15</v>
      </c>
      <c r="I1679" s="18" t="s">
        <v>16</v>
      </c>
      <c r="J1679" s="19">
        <v>85000</v>
      </c>
      <c r="K1679" s="18">
        <v>2</v>
      </c>
      <c r="L1679" s="18" t="s">
        <v>39</v>
      </c>
      <c r="M1679" s="20">
        <f t="shared" si="53"/>
        <v>68000</v>
      </c>
      <c r="N1679" s="20">
        <f>'Working Sheet'!$J1679*'Working Sheet'!$K1679</f>
        <v>170000</v>
      </c>
      <c r="O1679" s="21">
        <f>'Working Sheet'!$M1679*'Working Sheet'!$K1679</f>
        <v>136000</v>
      </c>
      <c r="P1679" s="20">
        <f>'Working Sheet'!$N1679-'Working Sheet'!$O1679</f>
        <v>34000</v>
      </c>
    </row>
    <row r="1680" spans="1:16" ht="14.25" customHeight="1" x14ac:dyDescent="0.25">
      <c r="A1680" s="23" t="str">
        <f t="shared" ca="1" si="52"/>
        <v>ID_2053</v>
      </c>
      <c r="B1680" s="22">
        <v>45697</v>
      </c>
      <c r="C1680" s="23" t="str">
        <f>TEXT('Working Sheet'!$B1680,"mmm")</f>
        <v>Feb</v>
      </c>
      <c r="D1680" s="23" t="s">
        <v>29</v>
      </c>
      <c r="E1680" s="23" t="s">
        <v>26</v>
      </c>
      <c r="F1680" s="23" t="s">
        <v>23</v>
      </c>
      <c r="G1680" s="23" t="s">
        <v>20</v>
      </c>
      <c r="H1680" s="23" t="s">
        <v>15</v>
      </c>
      <c r="I1680" s="23" t="s">
        <v>16</v>
      </c>
      <c r="J1680" s="24">
        <v>85000</v>
      </c>
      <c r="K1680" s="23">
        <v>9</v>
      </c>
      <c r="L1680" s="23" t="s">
        <v>17</v>
      </c>
      <c r="M1680" s="25">
        <f t="shared" si="53"/>
        <v>68000</v>
      </c>
      <c r="N1680" s="25">
        <f>'Working Sheet'!$J1680*'Working Sheet'!$K1680</f>
        <v>765000</v>
      </c>
      <c r="O1680" s="26">
        <f>'Working Sheet'!$M1680*'Working Sheet'!$K1680</f>
        <v>612000</v>
      </c>
      <c r="P1680" s="25">
        <f>'Working Sheet'!$N1680-'Working Sheet'!$O1680</f>
        <v>153000</v>
      </c>
    </row>
    <row r="1681" spans="1:16" ht="14.25" customHeight="1" x14ac:dyDescent="0.25">
      <c r="A1681" s="18" t="str">
        <f t="shared" ca="1" si="52"/>
        <v>ID_1495</v>
      </c>
      <c r="B1681" s="17">
        <v>45734</v>
      </c>
      <c r="C1681" s="18" t="str">
        <f>TEXT('Working Sheet'!$B1681,"mmm")</f>
        <v>Mar</v>
      </c>
      <c r="D1681" s="18" t="s">
        <v>25</v>
      </c>
      <c r="E1681" s="18" t="s">
        <v>26</v>
      </c>
      <c r="F1681" s="18" t="s">
        <v>13</v>
      </c>
      <c r="G1681" s="18" t="s">
        <v>20</v>
      </c>
      <c r="H1681" s="18" t="s">
        <v>38</v>
      </c>
      <c r="I1681" s="18" t="s">
        <v>31</v>
      </c>
      <c r="J1681" s="19">
        <v>420000</v>
      </c>
      <c r="K1681" s="18">
        <v>3</v>
      </c>
      <c r="L1681" s="18" t="s">
        <v>35</v>
      </c>
      <c r="M1681" s="20">
        <f t="shared" si="53"/>
        <v>336000</v>
      </c>
      <c r="N1681" s="20">
        <f>'Working Sheet'!$J1681*'Working Sheet'!$K1681</f>
        <v>1260000</v>
      </c>
      <c r="O1681" s="21">
        <f>'Working Sheet'!$M1681*'Working Sheet'!$K1681</f>
        <v>1008000</v>
      </c>
      <c r="P1681" s="20">
        <f>'Working Sheet'!$N1681-'Working Sheet'!$O1681</f>
        <v>252000</v>
      </c>
    </row>
    <row r="1682" spans="1:16" ht="14.25" customHeight="1" x14ac:dyDescent="0.25">
      <c r="A1682" s="23" t="str">
        <f t="shared" ca="1" si="52"/>
        <v>ID_378</v>
      </c>
      <c r="B1682" s="22">
        <v>45718</v>
      </c>
      <c r="C1682" s="23" t="str">
        <f>TEXT('Working Sheet'!$B1682,"mmm")</f>
        <v>Mar</v>
      </c>
      <c r="D1682" s="23" t="s">
        <v>29</v>
      </c>
      <c r="E1682" s="23" t="s">
        <v>19</v>
      </c>
      <c r="F1682" s="23" t="s">
        <v>13</v>
      </c>
      <c r="G1682" s="23" t="s">
        <v>14</v>
      </c>
      <c r="H1682" s="23" t="s">
        <v>30</v>
      </c>
      <c r="I1682" s="23" t="s">
        <v>31</v>
      </c>
      <c r="J1682" s="24">
        <v>300000</v>
      </c>
      <c r="K1682" s="23">
        <v>5</v>
      </c>
      <c r="L1682" s="23" t="s">
        <v>35</v>
      </c>
      <c r="M1682" s="25">
        <f t="shared" si="53"/>
        <v>240000</v>
      </c>
      <c r="N1682" s="25">
        <f>'Working Sheet'!$J1682*'Working Sheet'!$K1682</f>
        <v>1500000</v>
      </c>
      <c r="O1682" s="26">
        <f>'Working Sheet'!$M1682*'Working Sheet'!$K1682</f>
        <v>1200000</v>
      </c>
      <c r="P1682" s="25">
        <f>'Working Sheet'!$N1682-'Working Sheet'!$O1682</f>
        <v>300000</v>
      </c>
    </row>
    <row r="1683" spans="1:16" ht="14.25" customHeight="1" x14ac:dyDescent="0.25">
      <c r="A1683" s="18" t="str">
        <f t="shared" ca="1" si="52"/>
        <v>ID_1967</v>
      </c>
      <c r="B1683" s="17">
        <v>45735</v>
      </c>
      <c r="C1683" s="18" t="str">
        <f>TEXT('Working Sheet'!$B1683,"mmm")</f>
        <v>Mar</v>
      </c>
      <c r="D1683" s="18" t="s">
        <v>18</v>
      </c>
      <c r="E1683" s="18" t="s">
        <v>26</v>
      </c>
      <c r="F1683" s="18" t="s">
        <v>23</v>
      </c>
      <c r="G1683" s="18" t="s">
        <v>20</v>
      </c>
      <c r="H1683" s="18" t="s">
        <v>21</v>
      </c>
      <c r="I1683" s="18" t="s">
        <v>22</v>
      </c>
      <c r="J1683" s="19">
        <v>30000</v>
      </c>
      <c r="K1683" s="18">
        <v>1</v>
      </c>
      <c r="L1683" s="18" t="s">
        <v>17</v>
      </c>
      <c r="M1683" s="20">
        <f t="shared" si="53"/>
        <v>24000</v>
      </c>
      <c r="N1683" s="20">
        <f>'Working Sheet'!$J1683*'Working Sheet'!$K1683</f>
        <v>30000</v>
      </c>
      <c r="O1683" s="21">
        <f>'Working Sheet'!$M1683*'Working Sheet'!$K1683</f>
        <v>24000</v>
      </c>
      <c r="P1683" s="20">
        <f>'Working Sheet'!$N1683-'Working Sheet'!$O1683</f>
        <v>6000</v>
      </c>
    </row>
    <row r="1684" spans="1:16" ht="14.25" customHeight="1" x14ac:dyDescent="0.25">
      <c r="A1684" s="23" t="str">
        <f t="shared" ca="1" si="52"/>
        <v>ID_1818</v>
      </c>
      <c r="B1684" s="22">
        <v>45684</v>
      </c>
      <c r="C1684" s="23" t="str">
        <f>TEXT('Working Sheet'!$B1684,"mmm")</f>
        <v>Jan</v>
      </c>
      <c r="D1684" s="23" t="s">
        <v>11</v>
      </c>
      <c r="E1684" s="23" t="s">
        <v>32</v>
      </c>
      <c r="F1684" s="23" t="s">
        <v>23</v>
      </c>
      <c r="G1684" s="23" t="s">
        <v>20</v>
      </c>
      <c r="H1684" s="23" t="s">
        <v>41</v>
      </c>
      <c r="I1684" s="23" t="s">
        <v>22</v>
      </c>
      <c r="J1684" s="24">
        <v>220000</v>
      </c>
      <c r="K1684" s="23">
        <v>8</v>
      </c>
      <c r="L1684" s="23" t="s">
        <v>37</v>
      </c>
      <c r="M1684" s="25">
        <f t="shared" si="53"/>
        <v>176000</v>
      </c>
      <c r="N1684" s="25">
        <f>'Working Sheet'!$J1684*'Working Sheet'!$K1684</f>
        <v>1760000</v>
      </c>
      <c r="O1684" s="26">
        <f>'Working Sheet'!$M1684*'Working Sheet'!$K1684</f>
        <v>1408000</v>
      </c>
      <c r="P1684" s="25">
        <f>'Working Sheet'!$N1684-'Working Sheet'!$O1684</f>
        <v>352000</v>
      </c>
    </row>
    <row r="1685" spans="1:16" ht="14.25" customHeight="1" x14ac:dyDescent="0.25">
      <c r="A1685" s="18" t="str">
        <f t="shared" ca="1" si="52"/>
        <v>ID_1400</v>
      </c>
      <c r="B1685" s="17">
        <v>45724</v>
      </c>
      <c r="C1685" s="18" t="str">
        <f>TEXT('Working Sheet'!$B1685,"mmm")</f>
        <v>Mar</v>
      </c>
      <c r="D1685" s="18" t="s">
        <v>29</v>
      </c>
      <c r="E1685" s="18" t="s">
        <v>12</v>
      </c>
      <c r="F1685" s="18" t="s">
        <v>23</v>
      </c>
      <c r="G1685" s="18" t="s">
        <v>14</v>
      </c>
      <c r="H1685" s="18" t="s">
        <v>34</v>
      </c>
      <c r="I1685" s="18" t="s">
        <v>16</v>
      </c>
      <c r="J1685" s="19">
        <v>320000</v>
      </c>
      <c r="K1685" s="18">
        <v>5</v>
      </c>
      <c r="L1685" s="18" t="s">
        <v>17</v>
      </c>
      <c r="M1685" s="20">
        <f t="shared" si="53"/>
        <v>256000</v>
      </c>
      <c r="N1685" s="20">
        <f>'Working Sheet'!$J1685*'Working Sheet'!$K1685</f>
        <v>1600000</v>
      </c>
      <c r="O1685" s="21">
        <f>'Working Sheet'!$M1685*'Working Sheet'!$K1685</f>
        <v>1280000</v>
      </c>
      <c r="P1685" s="20">
        <f>'Working Sheet'!$N1685-'Working Sheet'!$O1685</f>
        <v>320000</v>
      </c>
    </row>
    <row r="1686" spans="1:16" ht="14.25" customHeight="1" x14ac:dyDescent="0.25">
      <c r="A1686" s="23" t="str">
        <f t="shared" ca="1" si="52"/>
        <v>ID_858</v>
      </c>
      <c r="B1686" s="22">
        <v>45723</v>
      </c>
      <c r="C1686" s="23" t="str">
        <f>TEXT('Working Sheet'!$B1686,"mmm")</f>
        <v>Mar</v>
      </c>
      <c r="D1686" s="23" t="s">
        <v>18</v>
      </c>
      <c r="E1686" s="23" t="s">
        <v>19</v>
      </c>
      <c r="F1686" s="23" t="s">
        <v>23</v>
      </c>
      <c r="G1686" s="23" t="s">
        <v>14</v>
      </c>
      <c r="H1686" s="23" t="s">
        <v>30</v>
      </c>
      <c r="I1686" s="23" t="s">
        <v>31</v>
      </c>
      <c r="J1686" s="24">
        <v>300000</v>
      </c>
      <c r="K1686" s="23">
        <v>10</v>
      </c>
      <c r="L1686" s="23" t="s">
        <v>35</v>
      </c>
      <c r="M1686" s="25">
        <f t="shared" si="53"/>
        <v>240000</v>
      </c>
      <c r="N1686" s="25">
        <f>'Working Sheet'!$J1686*'Working Sheet'!$K1686</f>
        <v>3000000</v>
      </c>
      <c r="O1686" s="26">
        <f>'Working Sheet'!$M1686*'Working Sheet'!$K1686</f>
        <v>2400000</v>
      </c>
      <c r="P1686" s="25">
        <f>'Working Sheet'!$N1686-'Working Sheet'!$O1686</f>
        <v>600000</v>
      </c>
    </row>
    <row r="1687" spans="1:16" ht="14.25" customHeight="1" x14ac:dyDescent="0.25">
      <c r="A1687" s="18" t="str">
        <f t="shared" ca="1" si="52"/>
        <v>ID_1751</v>
      </c>
      <c r="B1687" s="17">
        <v>45746</v>
      </c>
      <c r="C1687" s="18" t="str">
        <f>TEXT('Working Sheet'!$B1687,"mmm")</f>
        <v>Mar</v>
      </c>
      <c r="D1687" s="18" t="s">
        <v>29</v>
      </c>
      <c r="E1687" s="18" t="s">
        <v>12</v>
      </c>
      <c r="F1687" s="18" t="s">
        <v>13</v>
      </c>
      <c r="G1687" s="18" t="s">
        <v>20</v>
      </c>
      <c r="H1687" s="18" t="s">
        <v>41</v>
      </c>
      <c r="I1687" s="18" t="s">
        <v>22</v>
      </c>
      <c r="J1687" s="19">
        <v>220000</v>
      </c>
      <c r="K1687" s="18">
        <v>1</v>
      </c>
      <c r="L1687" s="18" t="s">
        <v>17</v>
      </c>
      <c r="M1687" s="20">
        <f t="shared" si="53"/>
        <v>176000</v>
      </c>
      <c r="N1687" s="20">
        <f>'Working Sheet'!$J1687*'Working Sheet'!$K1687</f>
        <v>220000</v>
      </c>
      <c r="O1687" s="21">
        <f>'Working Sheet'!$M1687*'Working Sheet'!$K1687</f>
        <v>176000</v>
      </c>
      <c r="P1687" s="20">
        <f>'Working Sheet'!$N1687-'Working Sheet'!$O1687</f>
        <v>44000</v>
      </c>
    </row>
    <row r="1688" spans="1:16" ht="14.25" customHeight="1" x14ac:dyDescent="0.25">
      <c r="A1688" s="23" t="str">
        <f t="shared" ca="1" si="52"/>
        <v>ID_1621</v>
      </c>
      <c r="B1688" s="22">
        <v>45662</v>
      </c>
      <c r="C1688" s="23" t="str">
        <f>TEXT('Working Sheet'!$B1688,"mmm")</f>
        <v>Jan</v>
      </c>
      <c r="D1688" s="23" t="s">
        <v>25</v>
      </c>
      <c r="E1688" s="23" t="s">
        <v>26</v>
      </c>
      <c r="F1688" s="23" t="s">
        <v>23</v>
      </c>
      <c r="G1688" s="23" t="s">
        <v>14</v>
      </c>
      <c r="H1688" s="23" t="s">
        <v>21</v>
      </c>
      <c r="I1688" s="23" t="s">
        <v>22</v>
      </c>
      <c r="J1688" s="24">
        <v>30000</v>
      </c>
      <c r="K1688" s="23">
        <v>6</v>
      </c>
      <c r="L1688" s="23" t="s">
        <v>24</v>
      </c>
      <c r="M1688" s="25">
        <f t="shared" si="53"/>
        <v>24000</v>
      </c>
      <c r="N1688" s="25">
        <f>'Working Sheet'!$J1688*'Working Sheet'!$K1688</f>
        <v>180000</v>
      </c>
      <c r="O1688" s="26">
        <f>'Working Sheet'!$M1688*'Working Sheet'!$K1688</f>
        <v>144000</v>
      </c>
      <c r="P1688" s="25">
        <f>'Working Sheet'!$N1688-'Working Sheet'!$O1688</f>
        <v>36000</v>
      </c>
    </row>
    <row r="1689" spans="1:16" ht="14.25" customHeight="1" x14ac:dyDescent="0.25">
      <c r="A1689" s="18" t="str">
        <f t="shared" ca="1" si="52"/>
        <v>ID_1515</v>
      </c>
      <c r="B1689" s="17">
        <v>45705</v>
      </c>
      <c r="C1689" s="18" t="str">
        <f>TEXT('Working Sheet'!$B1689,"mmm")</f>
        <v>Feb</v>
      </c>
      <c r="D1689" s="18" t="s">
        <v>29</v>
      </c>
      <c r="E1689" s="18" t="s">
        <v>19</v>
      </c>
      <c r="F1689" s="18" t="s">
        <v>13</v>
      </c>
      <c r="G1689" s="18" t="s">
        <v>14</v>
      </c>
      <c r="H1689" s="18" t="s">
        <v>38</v>
      </c>
      <c r="I1689" s="18" t="s">
        <v>31</v>
      </c>
      <c r="J1689" s="19">
        <v>420000</v>
      </c>
      <c r="K1689" s="18">
        <v>1</v>
      </c>
      <c r="L1689" s="18" t="s">
        <v>39</v>
      </c>
      <c r="M1689" s="20">
        <f t="shared" si="53"/>
        <v>336000</v>
      </c>
      <c r="N1689" s="20">
        <f>'Working Sheet'!$J1689*'Working Sheet'!$K1689</f>
        <v>420000</v>
      </c>
      <c r="O1689" s="21">
        <f>'Working Sheet'!$M1689*'Working Sheet'!$K1689</f>
        <v>336000</v>
      </c>
      <c r="P1689" s="20">
        <f>'Working Sheet'!$N1689-'Working Sheet'!$O1689</f>
        <v>84000</v>
      </c>
    </row>
    <row r="1690" spans="1:16" ht="14.25" customHeight="1" x14ac:dyDescent="0.25">
      <c r="A1690" s="23" t="str">
        <f t="shared" ca="1" si="52"/>
        <v>ID_1862</v>
      </c>
      <c r="B1690" s="22">
        <v>45665</v>
      </c>
      <c r="C1690" s="23" t="str">
        <f>TEXT('Working Sheet'!$B1690,"mmm")</f>
        <v>Jan</v>
      </c>
      <c r="D1690" s="23" t="s">
        <v>25</v>
      </c>
      <c r="E1690" s="23" t="s">
        <v>32</v>
      </c>
      <c r="F1690" s="23" t="s">
        <v>23</v>
      </c>
      <c r="G1690" s="23" t="s">
        <v>20</v>
      </c>
      <c r="H1690" s="23" t="s">
        <v>38</v>
      </c>
      <c r="I1690" s="23" t="s">
        <v>31</v>
      </c>
      <c r="J1690" s="24">
        <v>420000</v>
      </c>
      <c r="K1690" s="23">
        <v>6</v>
      </c>
      <c r="L1690" s="23" t="s">
        <v>37</v>
      </c>
      <c r="M1690" s="25">
        <f t="shared" si="53"/>
        <v>336000</v>
      </c>
      <c r="N1690" s="25">
        <f>'Working Sheet'!$J1690*'Working Sheet'!$K1690</f>
        <v>2520000</v>
      </c>
      <c r="O1690" s="26">
        <f>'Working Sheet'!$M1690*'Working Sheet'!$K1690</f>
        <v>2016000</v>
      </c>
      <c r="P1690" s="25">
        <f>'Working Sheet'!$N1690-'Working Sheet'!$O1690</f>
        <v>504000</v>
      </c>
    </row>
    <row r="1691" spans="1:16" ht="14.25" customHeight="1" x14ac:dyDescent="0.25">
      <c r="A1691" s="18" t="str">
        <f t="shared" ca="1" si="52"/>
        <v>ID_1666</v>
      </c>
      <c r="B1691" s="17">
        <v>45727</v>
      </c>
      <c r="C1691" s="18" t="str">
        <f>TEXT('Working Sheet'!$B1691,"mmm")</f>
        <v>Mar</v>
      </c>
      <c r="D1691" s="18" t="s">
        <v>25</v>
      </c>
      <c r="E1691" s="18" t="s">
        <v>32</v>
      </c>
      <c r="F1691" s="18" t="s">
        <v>13</v>
      </c>
      <c r="G1691" s="18" t="s">
        <v>20</v>
      </c>
      <c r="H1691" s="18" t="s">
        <v>15</v>
      </c>
      <c r="I1691" s="18" t="s">
        <v>16</v>
      </c>
      <c r="J1691" s="19">
        <v>85000</v>
      </c>
      <c r="K1691" s="18">
        <v>7</v>
      </c>
      <c r="L1691" s="18" t="s">
        <v>35</v>
      </c>
      <c r="M1691" s="20">
        <f t="shared" si="53"/>
        <v>68000</v>
      </c>
      <c r="N1691" s="20">
        <f>'Working Sheet'!$J1691*'Working Sheet'!$K1691</f>
        <v>595000</v>
      </c>
      <c r="O1691" s="21">
        <f>'Working Sheet'!$M1691*'Working Sheet'!$K1691</f>
        <v>476000</v>
      </c>
      <c r="P1691" s="20">
        <f>'Working Sheet'!$N1691-'Working Sheet'!$O1691</f>
        <v>119000</v>
      </c>
    </row>
    <row r="1692" spans="1:16" ht="14.25" customHeight="1" x14ac:dyDescent="0.25">
      <c r="A1692" s="23" t="str">
        <f t="shared" ca="1" si="52"/>
        <v>ID_24</v>
      </c>
      <c r="B1692" s="22">
        <v>45660</v>
      </c>
      <c r="C1692" s="23" t="str">
        <f>TEXT('Working Sheet'!$B1692,"mmm")</f>
        <v>Jan</v>
      </c>
      <c r="D1692" s="23" t="s">
        <v>25</v>
      </c>
      <c r="E1692" s="23" t="s">
        <v>19</v>
      </c>
      <c r="F1692" s="23" t="s">
        <v>23</v>
      </c>
      <c r="G1692" s="23" t="s">
        <v>20</v>
      </c>
      <c r="H1692" s="23" t="s">
        <v>36</v>
      </c>
      <c r="I1692" s="23" t="s">
        <v>31</v>
      </c>
      <c r="J1692" s="24">
        <v>150000</v>
      </c>
      <c r="K1692" s="23">
        <v>7</v>
      </c>
      <c r="L1692" s="23" t="s">
        <v>39</v>
      </c>
      <c r="M1692" s="25">
        <f t="shared" si="53"/>
        <v>120000</v>
      </c>
      <c r="N1692" s="25">
        <f>'Working Sheet'!$J1692*'Working Sheet'!$K1692</f>
        <v>1050000</v>
      </c>
      <c r="O1692" s="26">
        <f>'Working Sheet'!$M1692*'Working Sheet'!$K1692</f>
        <v>840000</v>
      </c>
      <c r="P1692" s="25">
        <f>'Working Sheet'!$N1692-'Working Sheet'!$O1692</f>
        <v>210000</v>
      </c>
    </row>
    <row r="1693" spans="1:16" ht="14.25" customHeight="1" x14ac:dyDescent="0.25">
      <c r="A1693" s="18" t="str">
        <f t="shared" ca="1" si="52"/>
        <v>ID_1327</v>
      </c>
      <c r="B1693" s="17">
        <v>45661</v>
      </c>
      <c r="C1693" s="18" t="str">
        <f>TEXT('Working Sheet'!$B1693,"mmm")</f>
        <v>Jan</v>
      </c>
      <c r="D1693" s="18" t="s">
        <v>11</v>
      </c>
      <c r="E1693" s="18" t="s">
        <v>19</v>
      </c>
      <c r="F1693" s="18" t="s">
        <v>13</v>
      </c>
      <c r="G1693" s="18" t="s">
        <v>20</v>
      </c>
      <c r="H1693" s="18" t="s">
        <v>36</v>
      </c>
      <c r="I1693" s="18" t="s">
        <v>31</v>
      </c>
      <c r="J1693" s="19">
        <v>150000</v>
      </c>
      <c r="K1693" s="18">
        <v>10</v>
      </c>
      <c r="L1693" s="18" t="s">
        <v>17</v>
      </c>
      <c r="M1693" s="20">
        <f t="shared" si="53"/>
        <v>120000</v>
      </c>
      <c r="N1693" s="20">
        <f>'Working Sheet'!$J1693*'Working Sheet'!$K1693</f>
        <v>1500000</v>
      </c>
      <c r="O1693" s="21">
        <f>'Working Sheet'!$M1693*'Working Sheet'!$K1693</f>
        <v>1200000</v>
      </c>
      <c r="P1693" s="20">
        <f>'Working Sheet'!$N1693-'Working Sheet'!$O1693</f>
        <v>300000</v>
      </c>
    </row>
    <row r="1694" spans="1:16" ht="14.25" customHeight="1" x14ac:dyDescent="0.25">
      <c r="A1694" s="23" t="str">
        <f t="shared" ca="1" si="52"/>
        <v>ID_1015</v>
      </c>
      <c r="B1694" s="22">
        <v>45723</v>
      </c>
      <c r="C1694" s="23" t="str">
        <f>TEXT('Working Sheet'!$B1694,"mmm")</f>
        <v>Mar</v>
      </c>
      <c r="D1694" s="23" t="s">
        <v>18</v>
      </c>
      <c r="E1694" s="23" t="s">
        <v>12</v>
      </c>
      <c r="F1694" s="23" t="s">
        <v>13</v>
      </c>
      <c r="G1694" s="23" t="s">
        <v>20</v>
      </c>
      <c r="H1694" s="23" t="s">
        <v>21</v>
      </c>
      <c r="I1694" s="23" t="s">
        <v>22</v>
      </c>
      <c r="J1694" s="24">
        <v>30000</v>
      </c>
      <c r="K1694" s="23">
        <v>9</v>
      </c>
      <c r="L1694" s="23" t="s">
        <v>17</v>
      </c>
      <c r="M1694" s="25">
        <f t="shared" si="53"/>
        <v>24000</v>
      </c>
      <c r="N1694" s="25">
        <f>'Working Sheet'!$J1694*'Working Sheet'!$K1694</f>
        <v>270000</v>
      </c>
      <c r="O1694" s="26">
        <f>'Working Sheet'!$M1694*'Working Sheet'!$K1694</f>
        <v>216000</v>
      </c>
      <c r="P1694" s="25">
        <f>'Working Sheet'!$N1694-'Working Sheet'!$O1694</f>
        <v>54000</v>
      </c>
    </row>
    <row r="1695" spans="1:16" ht="14.25" customHeight="1" x14ac:dyDescent="0.25">
      <c r="A1695" s="18" t="str">
        <f t="shared" ca="1" si="52"/>
        <v>ID_1751</v>
      </c>
      <c r="B1695" s="17">
        <v>45748</v>
      </c>
      <c r="C1695" s="18" t="str">
        <f>TEXT('Working Sheet'!$B1695,"mmm")</f>
        <v>Apr</v>
      </c>
      <c r="D1695" s="18" t="s">
        <v>25</v>
      </c>
      <c r="E1695" s="18" t="s">
        <v>26</v>
      </c>
      <c r="F1695" s="18" t="s">
        <v>23</v>
      </c>
      <c r="G1695" s="18" t="s">
        <v>14</v>
      </c>
      <c r="H1695" s="18" t="s">
        <v>34</v>
      </c>
      <c r="I1695" s="18" t="s">
        <v>16</v>
      </c>
      <c r="J1695" s="19">
        <v>320000</v>
      </c>
      <c r="K1695" s="18">
        <v>8</v>
      </c>
      <c r="L1695" s="18" t="s">
        <v>37</v>
      </c>
      <c r="M1695" s="20">
        <f t="shared" si="53"/>
        <v>256000</v>
      </c>
      <c r="N1695" s="20">
        <f>'Working Sheet'!$J1695*'Working Sheet'!$K1695</f>
        <v>2560000</v>
      </c>
      <c r="O1695" s="21">
        <f>'Working Sheet'!$M1695*'Working Sheet'!$K1695</f>
        <v>2048000</v>
      </c>
      <c r="P1695" s="20">
        <f>'Working Sheet'!$N1695-'Working Sheet'!$O1695</f>
        <v>512000</v>
      </c>
    </row>
    <row r="1696" spans="1:16" ht="14.25" customHeight="1" x14ac:dyDescent="0.25">
      <c r="A1696" s="23" t="str">
        <f t="shared" ca="1" si="52"/>
        <v>ID_850</v>
      </c>
      <c r="B1696" s="22">
        <v>45719</v>
      </c>
      <c r="C1696" s="23" t="str">
        <f>TEXT('Working Sheet'!$B1696,"mmm")</f>
        <v>Mar</v>
      </c>
      <c r="D1696" s="23" t="s">
        <v>18</v>
      </c>
      <c r="E1696" s="23" t="s">
        <v>32</v>
      </c>
      <c r="F1696" s="23" t="s">
        <v>13</v>
      </c>
      <c r="G1696" s="23" t="s">
        <v>20</v>
      </c>
      <c r="H1696" s="23" t="s">
        <v>21</v>
      </c>
      <c r="I1696" s="23" t="s">
        <v>22</v>
      </c>
      <c r="J1696" s="24">
        <v>30000</v>
      </c>
      <c r="K1696" s="23">
        <v>9</v>
      </c>
      <c r="L1696" s="23" t="s">
        <v>28</v>
      </c>
      <c r="M1696" s="25">
        <f t="shared" si="53"/>
        <v>24000</v>
      </c>
      <c r="N1696" s="25">
        <f>'Working Sheet'!$J1696*'Working Sheet'!$K1696</f>
        <v>270000</v>
      </c>
      <c r="O1696" s="26">
        <f>'Working Sheet'!$M1696*'Working Sheet'!$K1696</f>
        <v>216000</v>
      </c>
      <c r="P1696" s="25">
        <f>'Working Sheet'!$N1696-'Working Sheet'!$O1696</f>
        <v>54000</v>
      </c>
    </row>
    <row r="1697" spans="1:16" ht="14.25" customHeight="1" x14ac:dyDescent="0.25">
      <c r="A1697" s="18" t="str">
        <f t="shared" ca="1" si="52"/>
        <v>ID_2043</v>
      </c>
      <c r="B1697" s="17">
        <v>45750</v>
      </c>
      <c r="C1697" s="18" t="str">
        <f>TEXT('Working Sheet'!$B1697,"mmm")</f>
        <v>Apr</v>
      </c>
      <c r="D1697" s="18" t="s">
        <v>18</v>
      </c>
      <c r="E1697" s="18" t="s">
        <v>26</v>
      </c>
      <c r="F1697" s="18" t="s">
        <v>23</v>
      </c>
      <c r="G1697" s="18" t="s">
        <v>14</v>
      </c>
      <c r="H1697" s="18" t="s">
        <v>40</v>
      </c>
      <c r="I1697" s="18" t="s">
        <v>31</v>
      </c>
      <c r="J1697" s="19">
        <v>250000</v>
      </c>
      <c r="K1697" s="18">
        <v>3</v>
      </c>
      <c r="L1697" s="18" t="s">
        <v>24</v>
      </c>
      <c r="M1697" s="20">
        <f t="shared" si="53"/>
        <v>200000</v>
      </c>
      <c r="N1697" s="20">
        <f>'Working Sheet'!$J1697*'Working Sheet'!$K1697</f>
        <v>750000</v>
      </c>
      <c r="O1697" s="21">
        <f>'Working Sheet'!$M1697*'Working Sheet'!$K1697</f>
        <v>600000</v>
      </c>
      <c r="P1697" s="20">
        <f>'Working Sheet'!$N1697-'Working Sheet'!$O1697</f>
        <v>150000</v>
      </c>
    </row>
    <row r="1698" spans="1:16" ht="14.25" customHeight="1" x14ac:dyDescent="0.25">
      <c r="A1698" s="23" t="str">
        <f t="shared" ca="1" si="52"/>
        <v>ID_926</v>
      </c>
      <c r="B1698" s="22">
        <v>45664</v>
      </c>
      <c r="C1698" s="23" t="str">
        <f>TEXT('Working Sheet'!$B1698,"mmm")</f>
        <v>Jan</v>
      </c>
      <c r="D1698" s="23" t="s">
        <v>18</v>
      </c>
      <c r="E1698" s="23" t="s">
        <v>19</v>
      </c>
      <c r="F1698" s="23" t="s">
        <v>23</v>
      </c>
      <c r="G1698" s="23" t="s">
        <v>14</v>
      </c>
      <c r="H1698" s="23" t="s">
        <v>27</v>
      </c>
      <c r="I1698" s="23" t="s">
        <v>22</v>
      </c>
      <c r="J1698" s="24">
        <v>60000</v>
      </c>
      <c r="K1698" s="23">
        <v>2</v>
      </c>
      <c r="L1698" s="23" t="s">
        <v>24</v>
      </c>
      <c r="M1698" s="25">
        <f t="shared" si="53"/>
        <v>48000</v>
      </c>
      <c r="N1698" s="25">
        <f>'Working Sheet'!$J1698*'Working Sheet'!$K1698</f>
        <v>120000</v>
      </c>
      <c r="O1698" s="26">
        <f>'Working Sheet'!$M1698*'Working Sheet'!$K1698</f>
        <v>96000</v>
      </c>
      <c r="P1698" s="25">
        <f>'Working Sheet'!$N1698-'Working Sheet'!$O1698</f>
        <v>24000</v>
      </c>
    </row>
    <row r="1699" spans="1:16" ht="14.25" customHeight="1" x14ac:dyDescent="0.25">
      <c r="A1699" s="18" t="str">
        <f t="shared" ca="1" si="52"/>
        <v>ID_394</v>
      </c>
      <c r="B1699" s="17">
        <v>45744</v>
      </c>
      <c r="C1699" s="18" t="str">
        <f>TEXT('Working Sheet'!$B1699,"mmm")</f>
        <v>Mar</v>
      </c>
      <c r="D1699" s="18" t="s">
        <v>11</v>
      </c>
      <c r="E1699" s="18" t="s">
        <v>32</v>
      </c>
      <c r="F1699" s="18" t="s">
        <v>13</v>
      </c>
      <c r="G1699" s="18" t="s">
        <v>20</v>
      </c>
      <c r="H1699" s="18" t="s">
        <v>34</v>
      </c>
      <c r="I1699" s="18" t="s">
        <v>16</v>
      </c>
      <c r="J1699" s="19">
        <v>320000</v>
      </c>
      <c r="K1699" s="18">
        <v>3</v>
      </c>
      <c r="L1699" s="18" t="s">
        <v>28</v>
      </c>
      <c r="M1699" s="20">
        <f t="shared" si="53"/>
        <v>256000</v>
      </c>
      <c r="N1699" s="20">
        <f>'Working Sheet'!$J1699*'Working Sheet'!$K1699</f>
        <v>960000</v>
      </c>
      <c r="O1699" s="21">
        <f>'Working Sheet'!$M1699*'Working Sheet'!$K1699</f>
        <v>768000</v>
      </c>
      <c r="P1699" s="20">
        <f>'Working Sheet'!$N1699-'Working Sheet'!$O1699</f>
        <v>192000</v>
      </c>
    </row>
    <row r="1700" spans="1:16" ht="14.25" customHeight="1" x14ac:dyDescent="0.25">
      <c r="A1700" s="23" t="str">
        <f t="shared" ca="1" si="52"/>
        <v>ID_1892</v>
      </c>
      <c r="B1700" s="22">
        <v>45727</v>
      </c>
      <c r="C1700" s="23" t="str">
        <f>TEXT('Working Sheet'!$B1700,"mmm")</f>
        <v>Mar</v>
      </c>
      <c r="D1700" s="23" t="s">
        <v>18</v>
      </c>
      <c r="E1700" s="23" t="s">
        <v>26</v>
      </c>
      <c r="F1700" s="23" t="s">
        <v>13</v>
      </c>
      <c r="G1700" s="23" t="s">
        <v>14</v>
      </c>
      <c r="H1700" s="23" t="s">
        <v>30</v>
      </c>
      <c r="I1700" s="23" t="s">
        <v>31</v>
      </c>
      <c r="J1700" s="24">
        <v>300000</v>
      </c>
      <c r="K1700" s="23">
        <v>9</v>
      </c>
      <c r="L1700" s="23" t="s">
        <v>24</v>
      </c>
      <c r="M1700" s="25">
        <f t="shared" si="53"/>
        <v>240000</v>
      </c>
      <c r="N1700" s="25">
        <f>'Working Sheet'!$J1700*'Working Sheet'!$K1700</f>
        <v>2700000</v>
      </c>
      <c r="O1700" s="26">
        <f>'Working Sheet'!$M1700*'Working Sheet'!$K1700</f>
        <v>2160000</v>
      </c>
      <c r="P1700" s="25">
        <f>'Working Sheet'!$N1700-'Working Sheet'!$O1700</f>
        <v>540000</v>
      </c>
    </row>
    <row r="1701" spans="1:16" ht="14.25" customHeight="1" x14ac:dyDescent="0.25">
      <c r="A1701" s="18" t="str">
        <f t="shared" ca="1" si="52"/>
        <v>ID_600</v>
      </c>
      <c r="B1701" s="17">
        <v>45666</v>
      </c>
      <c r="C1701" s="18" t="str">
        <f>TEXT('Working Sheet'!$B1701,"mmm")</f>
        <v>Jan</v>
      </c>
      <c r="D1701" s="18" t="s">
        <v>18</v>
      </c>
      <c r="E1701" s="18" t="s">
        <v>32</v>
      </c>
      <c r="F1701" s="18" t="s">
        <v>13</v>
      </c>
      <c r="G1701" s="18" t="s">
        <v>14</v>
      </c>
      <c r="H1701" s="18" t="s">
        <v>38</v>
      </c>
      <c r="I1701" s="18" t="s">
        <v>31</v>
      </c>
      <c r="J1701" s="19">
        <v>420000</v>
      </c>
      <c r="K1701" s="18">
        <v>4</v>
      </c>
      <c r="L1701" s="18" t="s">
        <v>39</v>
      </c>
      <c r="M1701" s="20">
        <f t="shared" si="53"/>
        <v>336000</v>
      </c>
      <c r="N1701" s="20">
        <f>'Working Sheet'!$J1701*'Working Sheet'!$K1701</f>
        <v>1680000</v>
      </c>
      <c r="O1701" s="21">
        <f>'Working Sheet'!$M1701*'Working Sheet'!$K1701</f>
        <v>1344000</v>
      </c>
      <c r="P1701" s="20">
        <f>'Working Sheet'!$N1701-'Working Sheet'!$O1701</f>
        <v>336000</v>
      </c>
    </row>
    <row r="1702" spans="1:16" ht="14.25" customHeight="1" x14ac:dyDescent="0.25">
      <c r="A1702" s="23" t="str">
        <f t="shared" ca="1" si="52"/>
        <v>ID_1618</v>
      </c>
      <c r="B1702" s="22">
        <v>45717</v>
      </c>
      <c r="C1702" s="23" t="str">
        <f>TEXT('Working Sheet'!$B1702,"mmm")</f>
        <v>Mar</v>
      </c>
      <c r="D1702" s="23" t="s">
        <v>11</v>
      </c>
      <c r="E1702" s="23" t="s">
        <v>12</v>
      </c>
      <c r="F1702" s="23" t="s">
        <v>13</v>
      </c>
      <c r="G1702" s="23" t="s">
        <v>20</v>
      </c>
      <c r="H1702" s="23" t="s">
        <v>34</v>
      </c>
      <c r="I1702" s="23" t="s">
        <v>16</v>
      </c>
      <c r="J1702" s="24">
        <v>320000</v>
      </c>
      <c r="K1702" s="23">
        <v>6</v>
      </c>
      <c r="L1702" s="23" t="s">
        <v>35</v>
      </c>
      <c r="M1702" s="25">
        <f t="shared" si="53"/>
        <v>256000</v>
      </c>
      <c r="N1702" s="25">
        <f>'Working Sheet'!$J1702*'Working Sheet'!$K1702</f>
        <v>1920000</v>
      </c>
      <c r="O1702" s="26">
        <f>'Working Sheet'!$M1702*'Working Sheet'!$K1702</f>
        <v>1536000</v>
      </c>
      <c r="P1702" s="25">
        <f>'Working Sheet'!$N1702-'Working Sheet'!$O1702</f>
        <v>384000</v>
      </c>
    </row>
    <row r="1703" spans="1:16" ht="14.25" customHeight="1" x14ac:dyDescent="0.25">
      <c r="A1703" s="18" t="str">
        <f t="shared" ca="1" si="52"/>
        <v>ID_486</v>
      </c>
      <c r="B1703" s="17">
        <v>45777</v>
      </c>
      <c r="C1703" s="18" t="str">
        <f>TEXT('Working Sheet'!$B1703,"mmm")</f>
        <v>Apr</v>
      </c>
      <c r="D1703" s="18" t="s">
        <v>11</v>
      </c>
      <c r="E1703" s="18" t="s">
        <v>32</v>
      </c>
      <c r="F1703" s="18" t="s">
        <v>13</v>
      </c>
      <c r="G1703" s="18" t="s">
        <v>20</v>
      </c>
      <c r="H1703" s="18" t="s">
        <v>41</v>
      </c>
      <c r="I1703" s="18" t="s">
        <v>22</v>
      </c>
      <c r="J1703" s="19">
        <v>220000</v>
      </c>
      <c r="K1703" s="18">
        <v>4</v>
      </c>
      <c r="L1703" s="18" t="s">
        <v>39</v>
      </c>
      <c r="M1703" s="20">
        <f t="shared" si="53"/>
        <v>176000</v>
      </c>
      <c r="N1703" s="20">
        <f>'Working Sheet'!$J1703*'Working Sheet'!$K1703</f>
        <v>880000</v>
      </c>
      <c r="O1703" s="21">
        <f>'Working Sheet'!$M1703*'Working Sheet'!$K1703</f>
        <v>704000</v>
      </c>
      <c r="P1703" s="20">
        <f>'Working Sheet'!$N1703-'Working Sheet'!$O1703</f>
        <v>176000</v>
      </c>
    </row>
    <row r="1704" spans="1:16" ht="14.25" customHeight="1" x14ac:dyDescent="0.25">
      <c r="A1704" s="23" t="str">
        <f t="shared" ca="1" si="52"/>
        <v>ID_909</v>
      </c>
      <c r="B1704" s="22">
        <v>45749</v>
      </c>
      <c r="C1704" s="23" t="str">
        <f>TEXT('Working Sheet'!$B1704,"mmm")</f>
        <v>Apr</v>
      </c>
      <c r="D1704" s="23" t="s">
        <v>25</v>
      </c>
      <c r="E1704" s="23" t="s">
        <v>32</v>
      </c>
      <c r="F1704" s="23" t="s">
        <v>13</v>
      </c>
      <c r="G1704" s="23" t="s">
        <v>20</v>
      </c>
      <c r="H1704" s="23" t="s">
        <v>15</v>
      </c>
      <c r="I1704" s="23" t="s">
        <v>16</v>
      </c>
      <c r="J1704" s="24">
        <v>85000</v>
      </c>
      <c r="K1704" s="23">
        <v>8</v>
      </c>
      <c r="L1704" s="23" t="s">
        <v>24</v>
      </c>
      <c r="M1704" s="25">
        <f t="shared" si="53"/>
        <v>68000</v>
      </c>
      <c r="N1704" s="25">
        <f>'Working Sheet'!$J1704*'Working Sheet'!$K1704</f>
        <v>680000</v>
      </c>
      <c r="O1704" s="26">
        <f>'Working Sheet'!$M1704*'Working Sheet'!$K1704</f>
        <v>544000</v>
      </c>
      <c r="P1704" s="25">
        <f>'Working Sheet'!$N1704-'Working Sheet'!$O1704</f>
        <v>136000</v>
      </c>
    </row>
    <row r="1705" spans="1:16" ht="14.25" customHeight="1" x14ac:dyDescent="0.25">
      <c r="A1705" s="18" t="str">
        <f t="shared" ca="1" si="52"/>
        <v>ID_485</v>
      </c>
      <c r="B1705" s="17">
        <v>45761</v>
      </c>
      <c r="C1705" s="18" t="str">
        <f>TEXT('Working Sheet'!$B1705,"mmm")</f>
        <v>Apr</v>
      </c>
      <c r="D1705" s="18" t="s">
        <v>11</v>
      </c>
      <c r="E1705" s="18" t="s">
        <v>12</v>
      </c>
      <c r="F1705" s="18" t="s">
        <v>13</v>
      </c>
      <c r="G1705" s="18" t="s">
        <v>20</v>
      </c>
      <c r="H1705" s="18" t="s">
        <v>38</v>
      </c>
      <c r="I1705" s="18" t="s">
        <v>31</v>
      </c>
      <c r="J1705" s="19">
        <v>420000</v>
      </c>
      <c r="K1705" s="18">
        <v>7</v>
      </c>
      <c r="L1705" s="18" t="s">
        <v>28</v>
      </c>
      <c r="M1705" s="20">
        <f t="shared" si="53"/>
        <v>336000</v>
      </c>
      <c r="N1705" s="20">
        <f>'Working Sheet'!$J1705*'Working Sheet'!$K1705</f>
        <v>2940000</v>
      </c>
      <c r="O1705" s="21">
        <f>'Working Sheet'!$M1705*'Working Sheet'!$K1705</f>
        <v>2352000</v>
      </c>
      <c r="P1705" s="20">
        <f>'Working Sheet'!$N1705-'Working Sheet'!$O1705</f>
        <v>588000</v>
      </c>
    </row>
    <row r="1706" spans="1:16" ht="14.25" customHeight="1" x14ac:dyDescent="0.25">
      <c r="A1706" s="23" t="str">
        <f t="shared" ca="1" si="52"/>
        <v>ID_624</v>
      </c>
      <c r="B1706" s="22">
        <v>45686</v>
      </c>
      <c r="C1706" s="23" t="str">
        <f>TEXT('Working Sheet'!$B1706,"mmm")</f>
        <v>Jan</v>
      </c>
      <c r="D1706" s="23" t="s">
        <v>18</v>
      </c>
      <c r="E1706" s="23" t="s">
        <v>32</v>
      </c>
      <c r="F1706" s="23" t="s">
        <v>23</v>
      </c>
      <c r="G1706" s="23" t="s">
        <v>20</v>
      </c>
      <c r="H1706" s="23" t="s">
        <v>41</v>
      </c>
      <c r="I1706" s="23" t="s">
        <v>22</v>
      </c>
      <c r="J1706" s="24">
        <v>220000</v>
      </c>
      <c r="K1706" s="23">
        <v>2</v>
      </c>
      <c r="L1706" s="23" t="s">
        <v>17</v>
      </c>
      <c r="M1706" s="25">
        <f t="shared" si="53"/>
        <v>176000</v>
      </c>
      <c r="N1706" s="25">
        <f>'Working Sheet'!$J1706*'Working Sheet'!$K1706</f>
        <v>440000</v>
      </c>
      <c r="O1706" s="26">
        <f>'Working Sheet'!$M1706*'Working Sheet'!$K1706</f>
        <v>352000</v>
      </c>
      <c r="P1706" s="25">
        <f>'Working Sheet'!$N1706-'Working Sheet'!$O1706</f>
        <v>88000</v>
      </c>
    </row>
    <row r="1707" spans="1:16" ht="14.25" customHeight="1" x14ac:dyDescent="0.25">
      <c r="A1707" s="18" t="str">
        <f t="shared" ca="1" si="52"/>
        <v>ID_33</v>
      </c>
      <c r="B1707" s="17">
        <v>45698</v>
      </c>
      <c r="C1707" s="18" t="str">
        <f>TEXT('Working Sheet'!$B1707,"mmm")</f>
        <v>Feb</v>
      </c>
      <c r="D1707" s="18" t="s">
        <v>29</v>
      </c>
      <c r="E1707" s="18" t="s">
        <v>26</v>
      </c>
      <c r="F1707" s="18" t="s">
        <v>13</v>
      </c>
      <c r="G1707" s="18" t="s">
        <v>14</v>
      </c>
      <c r="H1707" s="18" t="s">
        <v>36</v>
      </c>
      <c r="I1707" s="18" t="s">
        <v>31</v>
      </c>
      <c r="J1707" s="19">
        <v>150000</v>
      </c>
      <c r="K1707" s="18">
        <v>1</v>
      </c>
      <c r="L1707" s="18" t="s">
        <v>35</v>
      </c>
      <c r="M1707" s="20">
        <f t="shared" si="53"/>
        <v>120000</v>
      </c>
      <c r="N1707" s="20">
        <f>'Working Sheet'!$J1707*'Working Sheet'!$K1707</f>
        <v>150000</v>
      </c>
      <c r="O1707" s="21">
        <f>'Working Sheet'!$M1707*'Working Sheet'!$K1707</f>
        <v>120000</v>
      </c>
      <c r="P1707" s="20">
        <f>'Working Sheet'!$N1707-'Working Sheet'!$O1707</f>
        <v>30000</v>
      </c>
    </row>
    <row r="1708" spans="1:16" ht="14.25" customHeight="1" x14ac:dyDescent="0.25">
      <c r="A1708" s="23" t="str">
        <f t="shared" ca="1" si="52"/>
        <v>ID_1670</v>
      </c>
      <c r="B1708" s="22">
        <v>45689</v>
      </c>
      <c r="C1708" s="23" t="str">
        <f>TEXT('Working Sheet'!$B1708,"mmm")</f>
        <v>Feb</v>
      </c>
      <c r="D1708" s="23" t="s">
        <v>29</v>
      </c>
      <c r="E1708" s="23" t="s">
        <v>12</v>
      </c>
      <c r="F1708" s="23" t="s">
        <v>23</v>
      </c>
      <c r="G1708" s="23" t="s">
        <v>20</v>
      </c>
      <c r="H1708" s="23" t="s">
        <v>38</v>
      </c>
      <c r="I1708" s="23" t="s">
        <v>31</v>
      </c>
      <c r="J1708" s="24">
        <v>420000</v>
      </c>
      <c r="K1708" s="23">
        <v>4</v>
      </c>
      <c r="L1708" s="23" t="s">
        <v>37</v>
      </c>
      <c r="M1708" s="25">
        <f t="shared" si="53"/>
        <v>336000</v>
      </c>
      <c r="N1708" s="25">
        <f>'Working Sheet'!$J1708*'Working Sheet'!$K1708</f>
        <v>1680000</v>
      </c>
      <c r="O1708" s="26">
        <f>'Working Sheet'!$M1708*'Working Sheet'!$K1708</f>
        <v>1344000</v>
      </c>
      <c r="P1708" s="25">
        <f>'Working Sheet'!$N1708-'Working Sheet'!$O1708</f>
        <v>336000</v>
      </c>
    </row>
    <row r="1709" spans="1:16" ht="14.25" customHeight="1" x14ac:dyDescent="0.25">
      <c r="A1709" s="18" t="str">
        <f t="shared" ca="1" si="52"/>
        <v>ID_1481</v>
      </c>
      <c r="B1709" s="17">
        <v>45672</v>
      </c>
      <c r="C1709" s="18" t="str">
        <f>TEXT('Working Sheet'!$B1709,"mmm")</f>
        <v>Jan</v>
      </c>
      <c r="D1709" s="18" t="s">
        <v>25</v>
      </c>
      <c r="E1709" s="18" t="s">
        <v>19</v>
      </c>
      <c r="F1709" s="18" t="s">
        <v>23</v>
      </c>
      <c r="G1709" s="18" t="s">
        <v>14</v>
      </c>
      <c r="H1709" s="18" t="s">
        <v>30</v>
      </c>
      <c r="I1709" s="18" t="s">
        <v>31</v>
      </c>
      <c r="J1709" s="19">
        <v>300000</v>
      </c>
      <c r="K1709" s="18">
        <v>1</v>
      </c>
      <c r="L1709" s="18" t="s">
        <v>28</v>
      </c>
      <c r="M1709" s="20">
        <f t="shared" si="53"/>
        <v>240000</v>
      </c>
      <c r="N1709" s="20">
        <f>'Working Sheet'!$J1709*'Working Sheet'!$K1709</f>
        <v>300000</v>
      </c>
      <c r="O1709" s="21">
        <f>'Working Sheet'!$M1709*'Working Sheet'!$K1709</f>
        <v>240000</v>
      </c>
      <c r="P1709" s="20">
        <f>'Working Sheet'!$N1709-'Working Sheet'!$O1709</f>
        <v>60000</v>
      </c>
    </row>
    <row r="1710" spans="1:16" ht="14.25" customHeight="1" x14ac:dyDescent="0.25">
      <c r="A1710" s="23" t="str">
        <f t="shared" ca="1" si="52"/>
        <v>ID_934</v>
      </c>
      <c r="B1710" s="22">
        <v>45693</v>
      </c>
      <c r="C1710" s="23" t="str">
        <f>TEXT('Working Sheet'!$B1710,"mmm")</f>
        <v>Feb</v>
      </c>
      <c r="D1710" s="23" t="s">
        <v>11</v>
      </c>
      <c r="E1710" s="23" t="s">
        <v>19</v>
      </c>
      <c r="F1710" s="23" t="s">
        <v>13</v>
      </c>
      <c r="G1710" s="23" t="s">
        <v>20</v>
      </c>
      <c r="H1710" s="23" t="s">
        <v>30</v>
      </c>
      <c r="I1710" s="23" t="s">
        <v>31</v>
      </c>
      <c r="J1710" s="24">
        <v>300000</v>
      </c>
      <c r="K1710" s="23">
        <v>9</v>
      </c>
      <c r="L1710" s="23" t="s">
        <v>24</v>
      </c>
      <c r="M1710" s="25">
        <f t="shared" si="53"/>
        <v>240000</v>
      </c>
      <c r="N1710" s="25">
        <f>'Working Sheet'!$J1710*'Working Sheet'!$K1710</f>
        <v>2700000</v>
      </c>
      <c r="O1710" s="26">
        <f>'Working Sheet'!$M1710*'Working Sheet'!$K1710</f>
        <v>2160000</v>
      </c>
      <c r="P1710" s="25">
        <f>'Working Sheet'!$N1710-'Working Sheet'!$O1710</f>
        <v>540000</v>
      </c>
    </row>
    <row r="1711" spans="1:16" ht="14.25" customHeight="1" x14ac:dyDescent="0.25">
      <c r="A1711" s="18" t="str">
        <f t="shared" ca="1" si="52"/>
        <v>ID_244</v>
      </c>
      <c r="B1711" s="17">
        <v>45707</v>
      </c>
      <c r="C1711" s="18" t="str">
        <f>TEXT('Working Sheet'!$B1711,"mmm")</f>
        <v>Feb</v>
      </c>
      <c r="D1711" s="18" t="s">
        <v>25</v>
      </c>
      <c r="E1711" s="18" t="s">
        <v>32</v>
      </c>
      <c r="F1711" s="18" t="s">
        <v>13</v>
      </c>
      <c r="G1711" s="18" t="s">
        <v>14</v>
      </c>
      <c r="H1711" s="18" t="s">
        <v>40</v>
      </c>
      <c r="I1711" s="18" t="s">
        <v>31</v>
      </c>
      <c r="J1711" s="19">
        <v>250000</v>
      </c>
      <c r="K1711" s="18">
        <v>6</v>
      </c>
      <c r="L1711" s="18" t="s">
        <v>24</v>
      </c>
      <c r="M1711" s="20">
        <f t="shared" si="53"/>
        <v>200000</v>
      </c>
      <c r="N1711" s="20">
        <f>'Working Sheet'!$J1711*'Working Sheet'!$K1711</f>
        <v>1500000</v>
      </c>
      <c r="O1711" s="21">
        <f>'Working Sheet'!$M1711*'Working Sheet'!$K1711</f>
        <v>1200000</v>
      </c>
      <c r="P1711" s="20">
        <f>'Working Sheet'!$N1711-'Working Sheet'!$O1711</f>
        <v>300000</v>
      </c>
    </row>
    <row r="1712" spans="1:16" ht="14.25" customHeight="1" x14ac:dyDescent="0.25">
      <c r="A1712" s="23" t="str">
        <f t="shared" ca="1" si="52"/>
        <v>ID_915</v>
      </c>
      <c r="B1712" s="22">
        <v>45710</v>
      </c>
      <c r="C1712" s="23" t="str">
        <f>TEXT('Working Sheet'!$B1712,"mmm")</f>
        <v>Feb</v>
      </c>
      <c r="D1712" s="23" t="s">
        <v>29</v>
      </c>
      <c r="E1712" s="23" t="s">
        <v>26</v>
      </c>
      <c r="F1712" s="23" t="s">
        <v>13</v>
      </c>
      <c r="G1712" s="23" t="s">
        <v>20</v>
      </c>
      <c r="H1712" s="23" t="s">
        <v>21</v>
      </c>
      <c r="I1712" s="23" t="s">
        <v>22</v>
      </c>
      <c r="J1712" s="24">
        <v>30000</v>
      </c>
      <c r="K1712" s="23">
        <v>7</v>
      </c>
      <c r="L1712" s="23" t="s">
        <v>28</v>
      </c>
      <c r="M1712" s="25">
        <f t="shared" si="53"/>
        <v>24000</v>
      </c>
      <c r="N1712" s="25">
        <f>'Working Sheet'!$J1712*'Working Sheet'!$K1712</f>
        <v>210000</v>
      </c>
      <c r="O1712" s="26">
        <f>'Working Sheet'!$M1712*'Working Sheet'!$K1712</f>
        <v>168000</v>
      </c>
      <c r="P1712" s="25">
        <f>'Working Sheet'!$N1712-'Working Sheet'!$O1712</f>
        <v>42000</v>
      </c>
    </row>
    <row r="1713" spans="1:16" ht="14.25" customHeight="1" x14ac:dyDescent="0.25">
      <c r="A1713" s="18" t="str">
        <f t="shared" ca="1" si="52"/>
        <v>ID_962</v>
      </c>
      <c r="B1713" s="17">
        <v>45658</v>
      </c>
      <c r="C1713" s="18" t="str">
        <f>TEXT('Working Sheet'!$B1713,"mmm")</f>
        <v>Jan</v>
      </c>
      <c r="D1713" s="18" t="s">
        <v>25</v>
      </c>
      <c r="E1713" s="18" t="s">
        <v>12</v>
      </c>
      <c r="F1713" s="18" t="s">
        <v>23</v>
      </c>
      <c r="G1713" s="18" t="s">
        <v>14</v>
      </c>
      <c r="H1713" s="18" t="s">
        <v>15</v>
      </c>
      <c r="I1713" s="18" t="s">
        <v>16</v>
      </c>
      <c r="J1713" s="19">
        <v>85000</v>
      </c>
      <c r="K1713" s="18">
        <v>7</v>
      </c>
      <c r="L1713" s="18" t="s">
        <v>39</v>
      </c>
      <c r="M1713" s="20">
        <f t="shared" si="53"/>
        <v>68000</v>
      </c>
      <c r="N1713" s="20">
        <f>'Working Sheet'!$J1713*'Working Sheet'!$K1713</f>
        <v>595000</v>
      </c>
      <c r="O1713" s="21">
        <f>'Working Sheet'!$M1713*'Working Sheet'!$K1713</f>
        <v>476000</v>
      </c>
      <c r="P1713" s="20">
        <f>'Working Sheet'!$N1713-'Working Sheet'!$O1713</f>
        <v>119000</v>
      </c>
    </row>
    <row r="1714" spans="1:16" ht="14.25" customHeight="1" x14ac:dyDescent="0.25">
      <c r="A1714" s="23" t="str">
        <f t="shared" ca="1" si="52"/>
        <v>ID_2013</v>
      </c>
      <c r="B1714" s="22">
        <v>45740</v>
      </c>
      <c r="C1714" s="23" t="str">
        <f>TEXT('Working Sheet'!$B1714,"mmm")</f>
        <v>Mar</v>
      </c>
      <c r="D1714" s="23" t="s">
        <v>11</v>
      </c>
      <c r="E1714" s="23" t="s">
        <v>32</v>
      </c>
      <c r="F1714" s="23" t="s">
        <v>23</v>
      </c>
      <c r="G1714" s="23" t="s">
        <v>14</v>
      </c>
      <c r="H1714" s="23" t="s">
        <v>15</v>
      </c>
      <c r="I1714" s="23" t="s">
        <v>16</v>
      </c>
      <c r="J1714" s="24">
        <v>85000</v>
      </c>
      <c r="K1714" s="23">
        <v>7</v>
      </c>
      <c r="L1714" s="23" t="s">
        <v>39</v>
      </c>
      <c r="M1714" s="25">
        <f t="shared" si="53"/>
        <v>68000</v>
      </c>
      <c r="N1714" s="25">
        <f>'Working Sheet'!$J1714*'Working Sheet'!$K1714</f>
        <v>595000</v>
      </c>
      <c r="O1714" s="26">
        <f>'Working Sheet'!$M1714*'Working Sheet'!$K1714</f>
        <v>476000</v>
      </c>
      <c r="P1714" s="25">
        <f>'Working Sheet'!$N1714-'Working Sheet'!$O1714</f>
        <v>119000</v>
      </c>
    </row>
    <row r="1715" spans="1:16" ht="14.25" customHeight="1" x14ac:dyDescent="0.25">
      <c r="A1715" s="18" t="str">
        <f t="shared" ca="1" si="52"/>
        <v>ID_1757</v>
      </c>
      <c r="B1715" s="17">
        <v>45683</v>
      </c>
      <c r="C1715" s="18" t="str">
        <f>TEXT('Working Sheet'!$B1715,"mmm")</f>
        <v>Jan</v>
      </c>
      <c r="D1715" s="18" t="s">
        <v>25</v>
      </c>
      <c r="E1715" s="18" t="s">
        <v>26</v>
      </c>
      <c r="F1715" s="18" t="s">
        <v>13</v>
      </c>
      <c r="G1715" s="18" t="s">
        <v>14</v>
      </c>
      <c r="H1715" s="18" t="s">
        <v>21</v>
      </c>
      <c r="I1715" s="18" t="s">
        <v>22</v>
      </c>
      <c r="J1715" s="19">
        <v>30000</v>
      </c>
      <c r="K1715" s="18">
        <v>4</v>
      </c>
      <c r="L1715" s="18" t="s">
        <v>17</v>
      </c>
      <c r="M1715" s="20">
        <f t="shared" si="53"/>
        <v>24000</v>
      </c>
      <c r="N1715" s="20">
        <f>'Working Sheet'!$J1715*'Working Sheet'!$K1715</f>
        <v>120000</v>
      </c>
      <c r="O1715" s="21">
        <f>'Working Sheet'!$M1715*'Working Sheet'!$K1715</f>
        <v>96000</v>
      </c>
      <c r="P1715" s="20">
        <f>'Working Sheet'!$N1715-'Working Sheet'!$O1715</f>
        <v>24000</v>
      </c>
    </row>
    <row r="1716" spans="1:16" ht="14.25" customHeight="1" x14ac:dyDescent="0.25">
      <c r="A1716" s="23" t="str">
        <f t="shared" ca="1" si="52"/>
        <v>ID_176</v>
      </c>
      <c r="B1716" s="22">
        <v>45743</v>
      </c>
      <c r="C1716" s="23" t="str">
        <f>TEXT('Working Sheet'!$B1716,"mmm")</f>
        <v>Mar</v>
      </c>
      <c r="D1716" s="23" t="s">
        <v>11</v>
      </c>
      <c r="E1716" s="23" t="s">
        <v>26</v>
      </c>
      <c r="F1716" s="23" t="s">
        <v>13</v>
      </c>
      <c r="G1716" s="23" t="s">
        <v>14</v>
      </c>
      <c r="H1716" s="23" t="s">
        <v>36</v>
      </c>
      <c r="I1716" s="23" t="s">
        <v>31</v>
      </c>
      <c r="J1716" s="24">
        <v>150000</v>
      </c>
      <c r="K1716" s="23">
        <v>9</v>
      </c>
      <c r="L1716" s="23" t="s">
        <v>24</v>
      </c>
      <c r="M1716" s="25">
        <f t="shared" si="53"/>
        <v>120000</v>
      </c>
      <c r="N1716" s="25">
        <f>'Working Sheet'!$J1716*'Working Sheet'!$K1716</f>
        <v>1350000</v>
      </c>
      <c r="O1716" s="26">
        <f>'Working Sheet'!$M1716*'Working Sheet'!$K1716</f>
        <v>1080000</v>
      </c>
      <c r="P1716" s="25">
        <f>'Working Sheet'!$N1716-'Working Sheet'!$O1716</f>
        <v>270000</v>
      </c>
    </row>
    <row r="1717" spans="1:16" ht="14.25" customHeight="1" x14ac:dyDescent="0.25">
      <c r="A1717" s="18" t="str">
        <f t="shared" ca="1" si="52"/>
        <v>ID_1215</v>
      </c>
      <c r="B1717" s="17">
        <v>45748</v>
      </c>
      <c r="C1717" s="18" t="str">
        <f>TEXT('Working Sheet'!$B1717,"mmm")</f>
        <v>Apr</v>
      </c>
      <c r="D1717" s="18" t="s">
        <v>29</v>
      </c>
      <c r="E1717" s="18" t="s">
        <v>12</v>
      </c>
      <c r="F1717" s="18" t="s">
        <v>23</v>
      </c>
      <c r="G1717" s="18" t="s">
        <v>20</v>
      </c>
      <c r="H1717" s="18" t="s">
        <v>41</v>
      </c>
      <c r="I1717" s="18" t="s">
        <v>22</v>
      </c>
      <c r="J1717" s="19">
        <v>220000</v>
      </c>
      <c r="K1717" s="18">
        <v>9</v>
      </c>
      <c r="L1717" s="18" t="s">
        <v>39</v>
      </c>
      <c r="M1717" s="20">
        <f t="shared" si="53"/>
        <v>176000</v>
      </c>
      <c r="N1717" s="20">
        <f>'Working Sheet'!$J1717*'Working Sheet'!$K1717</f>
        <v>1980000</v>
      </c>
      <c r="O1717" s="21">
        <f>'Working Sheet'!$M1717*'Working Sheet'!$K1717</f>
        <v>1584000</v>
      </c>
      <c r="P1717" s="20">
        <f>'Working Sheet'!$N1717-'Working Sheet'!$O1717</f>
        <v>396000</v>
      </c>
    </row>
    <row r="1718" spans="1:16" ht="14.25" customHeight="1" x14ac:dyDescent="0.25">
      <c r="A1718" s="23" t="str">
        <f t="shared" ca="1" si="52"/>
        <v>ID_658</v>
      </c>
      <c r="B1718" s="22">
        <v>45663</v>
      </c>
      <c r="C1718" s="23" t="str">
        <f>TEXT('Working Sheet'!$B1718,"mmm")</f>
        <v>Jan</v>
      </c>
      <c r="D1718" s="23" t="s">
        <v>18</v>
      </c>
      <c r="E1718" s="23" t="s">
        <v>26</v>
      </c>
      <c r="F1718" s="23" t="s">
        <v>23</v>
      </c>
      <c r="G1718" s="23" t="s">
        <v>14</v>
      </c>
      <c r="H1718" s="23" t="s">
        <v>21</v>
      </c>
      <c r="I1718" s="23" t="s">
        <v>22</v>
      </c>
      <c r="J1718" s="24">
        <v>30000</v>
      </c>
      <c r="K1718" s="23">
        <v>8</v>
      </c>
      <c r="L1718" s="23" t="s">
        <v>37</v>
      </c>
      <c r="M1718" s="25">
        <f t="shared" si="53"/>
        <v>24000</v>
      </c>
      <c r="N1718" s="25">
        <f>'Working Sheet'!$J1718*'Working Sheet'!$K1718</f>
        <v>240000</v>
      </c>
      <c r="O1718" s="26">
        <f>'Working Sheet'!$M1718*'Working Sheet'!$K1718</f>
        <v>192000</v>
      </c>
      <c r="P1718" s="25">
        <f>'Working Sheet'!$N1718-'Working Sheet'!$O1718</f>
        <v>48000</v>
      </c>
    </row>
    <row r="1719" spans="1:16" ht="14.25" customHeight="1" x14ac:dyDescent="0.25">
      <c r="A1719" s="18" t="str">
        <f t="shared" ca="1" si="52"/>
        <v>ID_1074</v>
      </c>
      <c r="B1719" s="17">
        <v>45661</v>
      </c>
      <c r="C1719" s="18" t="str">
        <f>TEXT('Working Sheet'!$B1719,"mmm")</f>
        <v>Jan</v>
      </c>
      <c r="D1719" s="18" t="s">
        <v>18</v>
      </c>
      <c r="E1719" s="18" t="s">
        <v>26</v>
      </c>
      <c r="F1719" s="18" t="s">
        <v>13</v>
      </c>
      <c r="G1719" s="18" t="s">
        <v>14</v>
      </c>
      <c r="H1719" s="18" t="s">
        <v>15</v>
      </c>
      <c r="I1719" s="18" t="s">
        <v>16</v>
      </c>
      <c r="J1719" s="19">
        <v>85000</v>
      </c>
      <c r="K1719" s="18">
        <v>2</v>
      </c>
      <c r="L1719" s="18" t="s">
        <v>24</v>
      </c>
      <c r="M1719" s="20">
        <f t="shared" si="53"/>
        <v>68000</v>
      </c>
      <c r="N1719" s="20">
        <f>'Working Sheet'!$J1719*'Working Sheet'!$K1719</f>
        <v>170000</v>
      </c>
      <c r="O1719" s="21">
        <f>'Working Sheet'!$M1719*'Working Sheet'!$K1719</f>
        <v>136000</v>
      </c>
      <c r="P1719" s="20">
        <f>'Working Sheet'!$N1719-'Working Sheet'!$O1719</f>
        <v>34000</v>
      </c>
    </row>
    <row r="1720" spans="1:16" ht="14.25" customHeight="1" x14ac:dyDescent="0.25">
      <c r="A1720" s="23" t="str">
        <f t="shared" ca="1" si="52"/>
        <v>ID_177</v>
      </c>
      <c r="B1720" s="22">
        <v>45747</v>
      </c>
      <c r="C1720" s="23" t="str">
        <f>TEXT('Working Sheet'!$B1720,"mmm")</f>
        <v>Mar</v>
      </c>
      <c r="D1720" s="23" t="s">
        <v>25</v>
      </c>
      <c r="E1720" s="23" t="s">
        <v>19</v>
      </c>
      <c r="F1720" s="23" t="s">
        <v>23</v>
      </c>
      <c r="G1720" s="23" t="s">
        <v>14</v>
      </c>
      <c r="H1720" s="23" t="s">
        <v>33</v>
      </c>
      <c r="I1720" s="23" t="s">
        <v>22</v>
      </c>
      <c r="J1720" s="24">
        <v>180000</v>
      </c>
      <c r="K1720" s="23">
        <v>9</v>
      </c>
      <c r="L1720" s="23" t="s">
        <v>24</v>
      </c>
      <c r="M1720" s="25">
        <f t="shared" si="53"/>
        <v>144000</v>
      </c>
      <c r="N1720" s="25">
        <f>'Working Sheet'!$J1720*'Working Sheet'!$K1720</f>
        <v>1620000</v>
      </c>
      <c r="O1720" s="26">
        <f>'Working Sheet'!$M1720*'Working Sheet'!$K1720</f>
        <v>1296000</v>
      </c>
      <c r="P1720" s="25">
        <f>'Working Sheet'!$N1720-'Working Sheet'!$O1720</f>
        <v>324000</v>
      </c>
    </row>
    <row r="1721" spans="1:16" ht="14.25" customHeight="1" x14ac:dyDescent="0.25">
      <c r="A1721" s="18" t="str">
        <f t="shared" ca="1" si="52"/>
        <v>ID_1564</v>
      </c>
      <c r="B1721" s="17">
        <v>45696</v>
      </c>
      <c r="C1721" s="18" t="str">
        <f>TEXT('Working Sheet'!$B1721,"mmm")</f>
        <v>Feb</v>
      </c>
      <c r="D1721" s="18" t="s">
        <v>18</v>
      </c>
      <c r="E1721" s="18" t="s">
        <v>26</v>
      </c>
      <c r="F1721" s="18" t="s">
        <v>13</v>
      </c>
      <c r="G1721" s="18" t="s">
        <v>14</v>
      </c>
      <c r="H1721" s="18" t="s">
        <v>36</v>
      </c>
      <c r="I1721" s="18" t="s">
        <v>31</v>
      </c>
      <c r="J1721" s="19">
        <v>150000</v>
      </c>
      <c r="K1721" s="18">
        <v>8</v>
      </c>
      <c r="L1721" s="18" t="s">
        <v>39</v>
      </c>
      <c r="M1721" s="20">
        <f t="shared" si="53"/>
        <v>120000</v>
      </c>
      <c r="N1721" s="20">
        <f>'Working Sheet'!$J1721*'Working Sheet'!$K1721</f>
        <v>1200000</v>
      </c>
      <c r="O1721" s="21">
        <f>'Working Sheet'!$M1721*'Working Sheet'!$K1721</f>
        <v>960000</v>
      </c>
      <c r="P1721" s="20">
        <f>'Working Sheet'!$N1721-'Working Sheet'!$O1721</f>
        <v>240000</v>
      </c>
    </row>
    <row r="1722" spans="1:16" ht="14.25" customHeight="1" x14ac:dyDescent="0.25">
      <c r="A1722" s="23" t="str">
        <f t="shared" ca="1" si="52"/>
        <v>ID_129</v>
      </c>
      <c r="B1722" s="22">
        <v>45685</v>
      </c>
      <c r="C1722" s="23" t="str">
        <f>TEXT('Working Sheet'!$B1722,"mmm")</f>
        <v>Jan</v>
      </c>
      <c r="D1722" s="23" t="s">
        <v>29</v>
      </c>
      <c r="E1722" s="23" t="s">
        <v>12</v>
      </c>
      <c r="F1722" s="23" t="s">
        <v>13</v>
      </c>
      <c r="G1722" s="23" t="s">
        <v>14</v>
      </c>
      <c r="H1722" s="23" t="s">
        <v>27</v>
      </c>
      <c r="I1722" s="23" t="s">
        <v>22</v>
      </c>
      <c r="J1722" s="24">
        <v>60000</v>
      </c>
      <c r="K1722" s="23">
        <v>8</v>
      </c>
      <c r="L1722" s="23" t="s">
        <v>37</v>
      </c>
      <c r="M1722" s="25">
        <f t="shared" si="53"/>
        <v>48000</v>
      </c>
      <c r="N1722" s="25">
        <f>'Working Sheet'!$J1722*'Working Sheet'!$K1722</f>
        <v>480000</v>
      </c>
      <c r="O1722" s="26">
        <f>'Working Sheet'!$M1722*'Working Sheet'!$K1722</f>
        <v>384000</v>
      </c>
      <c r="P1722" s="25">
        <f>'Working Sheet'!$N1722-'Working Sheet'!$O1722</f>
        <v>96000</v>
      </c>
    </row>
    <row r="1723" spans="1:16" ht="14.25" customHeight="1" x14ac:dyDescent="0.25">
      <c r="A1723" s="18" t="str">
        <f t="shared" ca="1" si="52"/>
        <v>ID_164</v>
      </c>
      <c r="B1723" s="17">
        <v>45661</v>
      </c>
      <c r="C1723" s="18" t="str">
        <f>TEXT('Working Sheet'!$B1723,"mmm")</f>
        <v>Jan</v>
      </c>
      <c r="D1723" s="18" t="s">
        <v>11</v>
      </c>
      <c r="E1723" s="18" t="s">
        <v>12</v>
      </c>
      <c r="F1723" s="18" t="s">
        <v>13</v>
      </c>
      <c r="G1723" s="18" t="s">
        <v>20</v>
      </c>
      <c r="H1723" s="18" t="s">
        <v>30</v>
      </c>
      <c r="I1723" s="18" t="s">
        <v>31</v>
      </c>
      <c r="J1723" s="19">
        <v>300000</v>
      </c>
      <c r="K1723" s="18">
        <v>5</v>
      </c>
      <c r="L1723" s="18" t="s">
        <v>28</v>
      </c>
      <c r="M1723" s="20">
        <f t="shared" si="53"/>
        <v>240000</v>
      </c>
      <c r="N1723" s="20">
        <f>'Working Sheet'!$J1723*'Working Sheet'!$K1723</f>
        <v>1500000</v>
      </c>
      <c r="O1723" s="21">
        <f>'Working Sheet'!$M1723*'Working Sheet'!$K1723</f>
        <v>1200000</v>
      </c>
      <c r="P1723" s="20">
        <f>'Working Sheet'!$N1723-'Working Sheet'!$O1723</f>
        <v>300000</v>
      </c>
    </row>
    <row r="1724" spans="1:16" ht="14.25" customHeight="1" x14ac:dyDescent="0.25">
      <c r="A1724" s="23" t="str">
        <f t="shared" ca="1" si="52"/>
        <v>ID_1530</v>
      </c>
      <c r="B1724" s="22">
        <v>45702</v>
      </c>
      <c r="C1724" s="23" t="str">
        <f>TEXT('Working Sheet'!$B1724,"mmm")</f>
        <v>Feb</v>
      </c>
      <c r="D1724" s="23" t="s">
        <v>29</v>
      </c>
      <c r="E1724" s="23" t="s">
        <v>19</v>
      </c>
      <c r="F1724" s="23" t="s">
        <v>13</v>
      </c>
      <c r="G1724" s="23" t="s">
        <v>14</v>
      </c>
      <c r="H1724" s="23" t="s">
        <v>21</v>
      </c>
      <c r="I1724" s="23" t="s">
        <v>22</v>
      </c>
      <c r="J1724" s="24">
        <v>30000</v>
      </c>
      <c r="K1724" s="23">
        <v>8</v>
      </c>
      <c r="L1724" s="23" t="s">
        <v>35</v>
      </c>
      <c r="M1724" s="25">
        <f t="shared" si="53"/>
        <v>24000</v>
      </c>
      <c r="N1724" s="25">
        <f>'Working Sheet'!$J1724*'Working Sheet'!$K1724</f>
        <v>240000</v>
      </c>
      <c r="O1724" s="26">
        <f>'Working Sheet'!$M1724*'Working Sheet'!$K1724</f>
        <v>192000</v>
      </c>
      <c r="P1724" s="25">
        <f>'Working Sheet'!$N1724-'Working Sheet'!$O1724</f>
        <v>48000</v>
      </c>
    </row>
    <row r="1725" spans="1:16" ht="14.25" customHeight="1" x14ac:dyDescent="0.25">
      <c r="A1725" s="18" t="str">
        <f t="shared" ca="1" si="52"/>
        <v>ID_1175</v>
      </c>
      <c r="B1725" s="17">
        <v>45723</v>
      </c>
      <c r="C1725" s="18" t="str">
        <f>TEXT('Working Sheet'!$B1725,"mmm")</f>
        <v>Mar</v>
      </c>
      <c r="D1725" s="18" t="s">
        <v>29</v>
      </c>
      <c r="E1725" s="18" t="s">
        <v>12</v>
      </c>
      <c r="F1725" s="18" t="s">
        <v>23</v>
      </c>
      <c r="G1725" s="18" t="s">
        <v>20</v>
      </c>
      <c r="H1725" s="18" t="s">
        <v>38</v>
      </c>
      <c r="I1725" s="18" t="s">
        <v>31</v>
      </c>
      <c r="J1725" s="19">
        <v>420000</v>
      </c>
      <c r="K1725" s="18">
        <v>3</v>
      </c>
      <c r="L1725" s="18" t="s">
        <v>24</v>
      </c>
      <c r="M1725" s="20">
        <f t="shared" si="53"/>
        <v>336000</v>
      </c>
      <c r="N1725" s="20">
        <f>'Working Sheet'!$J1725*'Working Sheet'!$K1725</f>
        <v>1260000</v>
      </c>
      <c r="O1725" s="21">
        <f>'Working Sheet'!$M1725*'Working Sheet'!$K1725</f>
        <v>1008000</v>
      </c>
      <c r="P1725" s="20">
        <f>'Working Sheet'!$N1725-'Working Sheet'!$O1725</f>
        <v>252000</v>
      </c>
    </row>
    <row r="1726" spans="1:16" ht="14.25" customHeight="1" x14ac:dyDescent="0.25">
      <c r="A1726" s="23" t="str">
        <f t="shared" ca="1" si="52"/>
        <v>ID_1065</v>
      </c>
      <c r="B1726" s="22">
        <v>45708</v>
      </c>
      <c r="C1726" s="23" t="str">
        <f>TEXT('Working Sheet'!$B1726,"mmm")</f>
        <v>Feb</v>
      </c>
      <c r="D1726" s="23" t="s">
        <v>11</v>
      </c>
      <c r="E1726" s="23" t="s">
        <v>12</v>
      </c>
      <c r="F1726" s="23" t="s">
        <v>23</v>
      </c>
      <c r="G1726" s="23" t="s">
        <v>14</v>
      </c>
      <c r="H1726" s="23" t="s">
        <v>38</v>
      </c>
      <c r="I1726" s="23" t="s">
        <v>31</v>
      </c>
      <c r="J1726" s="24">
        <v>420000</v>
      </c>
      <c r="K1726" s="23">
        <v>7</v>
      </c>
      <c r="L1726" s="23" t="s">
        <v>39</v>
      </c>
      <c r="M1726" s="25">
        <f t="shared" si="53"/>
        <v>336000</v>
      </c>
      <c r="N1726" s="25">
        <f>'Working Sheet'!$J1726*'Working Sheet'!$K1726</f>
        <v>2940000</v>
      </c>
      <c r="O1726" s="26">
        <f>'Working Sheet'!$M1726*'Working Sheet'!$K1726</f>
        <v>2352000</v>
      </c>
      <c r="P1726" s="25">
        <f>'Working Sheet'!$N1726-'Working Sheet'!$O1726</f>
        <v>588000</v>
      </c>
    </row>
    <row r="1727" spans="1:16" ht="14.25" customHeight="1" x14ac:dyDescent="0.25">
      <c r="A1727" s="18" t="str">
        <f t="shared" ca="1" si="52"/>
        <v>ID_162</v>
      </c>
      <c r="B1727" s="17">
        <v>45746</v>
      </c>
      <c r="C1727" s="18" t="str">
        <f>TEXT('Working Sheet'!$B1727,"mmm")</f>
        <v>Mar</v>
      </c>
      <c r="D1727" s="18" t="s">
        <v>18</v>
      </c>
      <c r="E1727" s="18" t="s">
        <v>19</v>
      </c>
      <c r="F1727" s="18" t="s">
        <v>23</v>
      </c>
      <c r="G1727" s="18" t="s">
        <v>14</v>
      </c>
      <c r="H1727" s="18" t="s">
        <v>15</v>
      </c>
      <c r="I1727" s="18" t="s">
        <v>16</v>
      </c>
      <c r="J1727" s="19">
        <v>85000</v>
      </c>
      <c r="K1727" s="18">
        <v>9</v>
      </c>
      <c r="L1727" s="18" t="s">
        <v>39</v>
      </c>
      <c r="M1727" s="20">
        <f t="shared" si="53"/>
        <v>68000</v>
      </c>
      <c r="N1727" s="20">
        <f>'Working Sheet'!$J1727*'Working Sheet'!$K1727</f>
        <v>765000</v>
      </c>
      <c r="O1727" s="21">
        <f>'Working Sheet'!$M1727*'Working Sheet'!$K1727</f>
        <v>612000</v>
      </c>
      <c r="P1727" s="20">
        <f>'Working Sheet'!$N1727-'Working Sheet'!$O1727</f>
        <v>153000</v>
      </c>
    </row>
    <row r="1728" spans="1:16" ht="14.25" customHeight="1" x14ac:dyDescent="0.25">
      <c r="A1728" s="23" t="str">
        <f t="shared" ca="1" si="52"/>
        <v>ID_431</v>
      </c>
      <c r="B1728" s="22">
        <v>45742</v>
      </c>
      <c r="C1728" s="23" t="str">
        <f>TEXT('Working Sheet'!$B1728,"mmm")</f>
        <v>Mar</v>
      </c>
      <c r="D1728" s="23" t="s">
        <v>18</v>
      </c>
      <c r="E1728" s="23" t="s">
        <v>19</v>
      </c>
      <c r="F1728" s="23" t="s">
        <v>23</v>
      </c>
      <c r="G1728" s="23" t="s">
        <v>14</v>
      </c>
      <c r="H1728" s="23" t="s">
        <v>30</v>
      </c>
      <c r="I1728" s="23" t="s">
        <v>31</v>
      </c>
      <c r="J1728" s="24">
        <v>300000</v>
      </c>
      <c r="K1728" s="23">
        <v>8</v>
      </c>
      <c r="L1728" s="23" t="s">
        <v>28</v>
      </c>
      <c r="M1728" s="25">
        <f t="shared" si="53"/>
        <v>240000</v>
      </c>
      <c r="N1728" s="25">
        <f>'Working Sheet'!$J1728*'Working Sheet'!$K1728</f>
        <v>2400000</v>
      </c>
      <c r="O1728" s="26">
        <f>'Working Sheet'!$M1728*'Working Sheet'!$K1728</f>
        <v>1920000</v>
      </c>
      <c r="P1728" s="25">
        <f>'Working Sheet'!$N1728-'Working Sheet'!$O1728</f>
        <v>480000</v>
      </c>
    </row>
    <row r="1729" spans="1:16" ht="14.25" customHeight="1" x14ac:dyDescent="0.25">
      <c r="A1729" s="18" t="str">
        <f t="shared" ca="1" si="52"/>
        <v>ID_864</v>
      </c>
      <c r="B1729" s="17">
        <v>45760</v>
      </c>
      <c r="C1729" s="18" t="str">
        <f>TEXT('Working Sheet'!$B1729,"mmm")</f>
        <v>Apr</v>
      </c>
      <c r="D1729" s="18" t="s">
        <v>29</v>
      </c>
      <c r="E1729" s="18" t="s">
        <v>32</v>
      </c>
      <c r="F1729" s="18" t="s">
        <v>13</v>
      </c>
      <c r="G1729" s="18" t="s">
        <v>20</v>
      </c>
      <c r="H1729" s="18" t="s">
        <v>38</v>
      </c>
      <c r="I1729" s="18" t="s">
        <v>31</v>
      </c>
      <c r="J1729" s="19">
        <v>420000</v>
      </c>
      <c r="K1729" s="18">
        <v>6</v>
      </c>
      <c r="L1729" s="18" t="s">
        <v>17</v>
      </c>
      <c r="M1729" s="20">
        <f t="shared" si="53"/>
        <v>336000</v>
      </c>
      <c r="N1729" s="20">
        <f>'Working Sheet'!$J1729*'Working Sheet'!$K1729</f>
        <v>2520000</v>
      </c>
      <c r="O1729" s="21">
        <f>'Working Sheet'!$M1729*'Working Sheet'!$K1729</f>
        <v>2016000</v>
      </c>
      <c r="P1729" s="20">
        <f>'Working Sheet'!$N1729-'Working Sheet'!$O1729</f>
        <v>504000</v>
      </c>
    </row>
    <row r="1730" spans="1:16" ht="14.25" customHeight="1" x14ac:dyDescent="0.25">
      <c r="A1730" s="23" t="str">
        <f t="shared" ref="A1730:A1793" ca="1" si="54">"ID_"&amp; RANDBETWEEN(1,2098)</f>
        <v>ID_426</v>
      </c>
      <c r="B1730" s="22">
        <v>45749</v>
      </c>
      <c r="C1730" s="23" t="str">
        <f>TEXT('Working Sheet'!$B1730,"mmm")</f>
        <v>Apr</v>
      </c>
      <c r="D1730" s="23" t="s">
        <v>25</v>
      </c>
      <c r="E1730" s="23" t="s">
        <v>32</v>
      </c>
      <c r="F1730" s="23" t="s">
        <v>23</v>
      </c>
      <c r="G1730" s="23" t="s">
        <v>14</v>
      </c>
      <c r="H1730" s="23" t="s">
        <v>36</v>
      </c>
      <c r="I1730" s="23" t="s">
        <v>31</v>
      </c>
      <c r="J1730" s="24">
        <v>150000</v>
      </c>
      <c r="K1730" s="23">
        <v>9</v>
      </c>
      <c r="L1730" s="23" t="s">
        <v>35</v>
      </c>
      <c r="M1730" s="25">
        <f t="shared" ref="M1730:M1793" si="55">J1730-J1730*0.2</f>
        <v>120000</v>
      </c>
      <c r="N1730" s="25">
        <f>'Working Sheet'!$J1730*'Working Sheet'!$K1730</f>
        <v>1350000</v>
      </c>
      <c r="O1730" s="26">
        <f>'Working Sheet'!$M1730*'Working Sheet'!$K1730</f>
        <v>1080000</v>
      </c>
      <c r="P1730" s="25">
        <f>'Working Sheet'!$N1730-'Working Sheet'!$O1730</f>
        <v>270000</v>
      </c>
    </row>
    <row r="1731" spans="1:16" ht="14.25" customHeight="1" x14ac:dyDescent="0.25">
      <c r="A1731" s="18" t="str">
        <f t="shared" ca="1" si="54"/>
        <v>ID_313</v>
      </c>
      <c r="B1731" s="17">
        <v>45687</v>
      </c>
      <c r="C1731" s="18" t="str">
        <f>TEXT('Working Sheet'!$B1731,"mmm")</f>
        <v>Jan</v>
      </c>
      <c r="D1731" s="18" t="s">
        <v>18</v>
      </c>
      <c r="E1731" s="18" t="s">
        <v>26</v>
      </c>
      <c r="F1731" s="18" t="s">
        <v>13</v>
      </c>
      <c r="G1731" s="18" t="s">
        <v>20</v>
      </c>
      <c r="H1731" s="18" t="s">
        <v>21</v>
      </c>
      <c r="I1731" s="18" t="s">
        <v>22</v>
      </c>
      <c r="J1731" s="19">
        <v>30000</v>
      </c>
      <c r="K1731" s="18">
        <v>3</v>
      </c>
      <c r="L1731" s="18" t="s">
        <v>28</v>
      </c>
      <c r="M1731" s="20">
        <f t="shared" si="55"/>
        <v>24000</v>
      </c>
      <c r="N1731" s="20">
        <f>'Working Sheet'!$J1731*'Working Sheet'!$K1731</f>
        <v>90000</v>
      </c>
      <c r="O1731" s="21">
        <f>'Working Sheet'!$M1731*'Working Sheet'!$K1731</f>
        <v>72000</v>
      </c>
      <c r="P1731" s="20">
        <f>'Working Sheet'!$N1731-'Working Sheet'!$O1731</f>
        <v>18000</v>
      </c>
    </row>
    <row r="1732" spans="1:16" ht="14.25" customHeight="1" x14ac:dyDescent="0.25">
      <c r="A1732" s="23" t="str">
        <f t="shared" ca="1" si="54"/>
        <v>ID_1557</v>
      </c>
      <c r="B1732" s="22">
        <v>45743</v>
      </c>
      <c r="C1732" s="23" t="str">
        <f>TEXT('Working Sheet'!$B1732,"mmm")</f>
        <v>Mar</v>
      </c>
      <c r="D1732" s="23" t="s">
        <v>18</v>
      </c>
      <c r="E1732" s="23" t="s">
        <v>26</v>
      </c>
      <c r="F1732" s="23" t="s">
        <v>13</v>
      </c>
      <c r="G1732" s="23" t="s">
        <v>20</v>
      </c>
      <c r="H1732" s="23" t="s">
        <v>21</v>
      </c>
      <c r="I1732" s="23" t="s">
        <v>22</v>
      </c>
      <c r="J1732" s="24">
        <v>30000</v>
      </c>
      <c r="K1732" s="23">
        <v>4</v>
      </c>
      <c r="L1732" s="23" t="s">
        <v>37</v>
      </c>
      <c r="M1732" s="25">
        <f t="shared" si="55"/>
        <v>24000</v>
      </c>
      <c r="N1732" s="25">
        <f>'Working Sheet'!$J1732*'Working Sheet'!$K1732</f>
        <v>120000</v>
      </c>
      <c r="O1732" s="26">
        <f>'Working Sheet'!$M1732*'Working Sheet'!$K1732</f>
        <v>96000</v>
      </c>
      <c r="P1732" s="25">
        <f>'Working Sheet'!$N1732-'Working Sheet'!$O1732</f>
        <v>24000</v>
      </c>
    </row>
    <row r="1733" spans="1:16" ht="14.25" customHeight="1" x14ac:dyDescent="0.25">
      <c r="A1733" s="18" t="str">
        <f t="shared" ca="1" si="54"/>
        <v>ID_1941</v>
      </c>
      <c r="B1733" s="17">
        <v>45744</v>
      </c>
      <c r="C1733" s="18" t="str">
        <f>TEXT('Working Sheet'!$B1733,"mmm")</f>
        <v>Mar</v>
      </c>
      <c r="D1733" s="18" t="s">
        <v>29</v>
      </c>
      <c r="E1733" s="18" t="s">
        <v>19</v>
      </c>
      <c r="F1733" s="18" t="s">
        <v>23</v>
      </c>
      <c r="G1733" s="18" t="s">
        <v>14</v>
      </c>
      <c r="H1733" s="18" t="s">
        <v>27</v>
      </c>
      <c r="I1733" s="18" t="s">
        <v>22</v>
      </c>
      <c r="J1733" s="19">
        <v>60000</v>
      </c>
      <c r="K1733" s="18">
        <v>4</v>
      </c>
      <c r="L1733" s="18" t="s">
        <v>37</v>
      </c>
      <c r="M1733" s="20">
        <f t="shared" si="55"/>
        <v>48000</v>
      </c>
      <c r="N1733" s="20">
        <f>'Working Sheet'!$J1733*'Working Sheet'!$K1733</f>
        <v>240000</v>
      </c>
      <c r="O1733" s="21">
        <f>'Working Sheet'!$M1733*'Working Sheet'!$K1733</f>
        <v>192000</v>
      </c>
      <c r="P1733" s="20">
        <f>'Working Sheet'!$N1733-'Working Sheet'!$O1733</f>
        <v>48000</v>
      </c>
    </row>
    <row r="1734" spans="1:16" ht="14.25" customHeight="1" x14ac:dyDescent="0.25">
      <c r="A1734" s="23" t="str">
        <f t="shared" ca="1" si="54"/>
        <v>ID_2056</v>
      </c>
      <c r="B1734" s="22">
        <v>45698</v>
      </c>
      <c r="C1734" s="23" t="str">
        <f>TEXT('Working Sheet'!$B1734,"mmm")</f>
        <v>Feb</v>
      </c>
      <c r="D1734" s="23" t="s">
        <v>29</v>
      </c>
      <c r="E1734" s="23" t="s">
        <v>26</v>
      </c>
      <c r="F1734" s="23" t="s">
        <v>13</v>
      </c>
      <c r="G1734" s="23" t="s">
        <v>20</v>
      </c>
      <c r="H1734" s="23" t="s">
        <v>40</v>
      </c>
      <c r="I1734" s="23" t="s">
        <v>31</v>
      </c>
      <c r="J1734" s="24">
        <v>250000</v>
      </c>
      <c r="K1734" s="23">
        <v>8</v>
      </c>
      <c r="L1734" s="23" t="s">
        <v>17</v>
      </c>
      <c r="M1734" s="25">
        <f t="shared" si="55"/>
        <v>200000</v>
      </c>
      <c r="N1734" s="25">
        <f>'Working Sheet'!$J1734*'Working Sheet'!$K1734</f>
        <v>2000000</v>
      </c>
      <c r="O1734" s="26">
        <f>'Working Sheet'!$M1734*'Working Sheet'!$K1734</f>
        <v>1600000</v>
      </c>
      <c r="P1734" s="25">
        <f>'Working Sheet'!$N1734-'Working Sheet'!$O1734</f>
        <v>400000</v>
      </c>
    </row>
    <row r="1735" spans="1:16" ht="14.25" customHeight="1" x14ac:dyDescent="0.25">
      <c r="A1735" s="18" t="str">
        <f t="shared" ca="1" si="54"/>
        <v>ID_208</v>
      </c>
      <c r="B1735" s="17">
        <v>45745</v>
      </c>
      <c r="C1735" s="18" t="str">
        <f>TEXT('Working Sheet'!$B1735,"mmm")</f>
        <v>Mar</v>
      </c>
      <c r="D1735" s="18" t="s">
        <v>29</v>
      </c>
      <c r="E1735" s="18" t="s">
        <v>32</v>
      </c>
      <c r="F1735" s="18" t="s">
        <v>23</v>
      </c>
      <c r="G1735" s="18" t="s">
        <v>14</v>
      </c>
      <c r="H1735" s="18" t="s">
        <v>21</v>
      </c>
      <c r="I1735" s="18" t="s">
        <v>22</v>
      </c>
      <c r="J1735" s="19">
        <v>30000</v>
      </c>
      <c r="K1735" s="18">
        <v>6</v>
      </c>
      <c r="L1735" s="18" t="s">
        <v>28</v>
      </c>
      <c r="M1735" s="20">
        <f t="shared" si="55"/>
        <v>24000</v>
      </c>
      <c r="N1735" s="20">
        <f>'Working Sheet'!$J1735*'Working Sheet'!$K1735</f>
        <v>180000</v>
      </c>
      <c r="O1735" s="21">
        <f>'Working Sheet'!$M1735*'Working Sheet'!$K1735</f>
        <v>144000</v>
      </c>
      <c r="P1735" s="20">
        <f>'Working Sheet'!$N1735-'Working Sheet'!$O1735</f>
        <v>36000</v>
      </c>
    </row>
    <row r="1736" spans="1:16" ht="14.25" customHeight="1" x14ac:dyDescent="0.25">
      <c r="A1736" s="23" t="str">
        <f t="shared" ca="1" si="54"/>
        <v>ID_849</v>
      </c>
      <c r="B1736" s="22">
        <v>45701</v>
      </c>
      <c r="C1736" s="23" t="str">
        <f>TEXT('Working Sheet'!$B1736,"mmm")</f>
        <v>Feb</v>
      </c>
      <c r="D1736" s="23" t="s">
        <v>25</v>
      </c>
      <c r="E1736" s="23" t="s">
        <v>19</v>
      </c>
      <c r="F1736" s="23" t="s">
        <v>23</v>
      </c>
      <c r="G1736" s="23" t="s">
        <v>20</v>
      </c>
      <c r="H1736" s="23" t="s">
        <v>40</v>
      </c>
      <c r="I1736" s="23" t="s">
        <v>31</v>
      </c>
      <c r="J1736" s="24">
        <v>250000</v>
      </c>
      <c r="K1736" s="23">
        <v>1</v>
      </c>
      <c r="L1736" s="23" t="s">
        <v>24</v>
      </c>
      <c r="M1736" s="25">
        <f t="shared" si="55"/>
        <v>200000</v>
      </c>
      <c r="N1736" s="25">
        <f>'Working Sheet'!$J1736*'Working Sheet'!$K1736</f>
        <v>250000</v>
      </c>
      <c r="O1736" s="26">
        <f>'Working Sheet'!$M1736*'Working Sheet'!$K1736</f>
        <v>200000</v>
      </c>
      <c r="P1736" s="25">
        <f>'Working Sheet'!$N1736-'Working Sheet'!$O1736</f>
        <v>50000</v>
      </c>
    </row>
    <row r="1737" spans="1:16" ht="14.25" customHeight="1" x14ac:dyDescent="0.25">
      <c r="A1737" s="18" t="str">
        <f t="shared" ca="1" si="54"/>
        <v>ID_1829</v>
      </c>
      <c r="B1737" s="17">
        <v>45721</v>
      </c>
      <c r="C1737" s="18" t="str">
        <f>TEXT('Working Sheet'!$B1737,"mmm")</f>
        <v>Mar</v>
      </c>
      <c r="D1737" s="18" t="s">
        <v>11</v>
      </c>
      <c r="E1737" s="18" t="s">
        <v>12</v>
      </c>
      <c r="F1737" s="18" t="s">
        <v>13</v>
      </c>
      <c r="G1737" s="18" t="s">
        <v>14</v>
      </c>
      <c r="H1737" s="18" t="s">
        <v>15</v>
      </c>
      <c r="I1737" s="18" t="s">
        <v>16</v>
      </c>
      <c r="J1737" s="19">
        <v>85000</v>
      </c>
      <c r="K1737" s="18">
        <v>1</v>
      </c>
      <c r="L1737" s="18" t="s">
        <v>35</v>
      </c>
      <c r="M1737" s="20">
        <f t="shared" si="55"/>
        <v>68000</v>
      </c>
      <c r="N1737" s="20">
        <f>'Working Sheet'!$J1737*'Working Sheet'!$K1737</f>
        <v>85000</v>
      </c>
      <c r="O1737" s="21">
        <f>'Working Sheet'!$M1737*'Working Sheet'!$K1737</f>
        <v>68000</v>
      </c>
      <c r="P1737" s="20">
        <f>'Working Sheet'!$N1737-'Working Sheet'!$O1737</f>
        <v>17000</v>
      </c>
    </row>
    <row r="1738" spans="1:16" ht="14.25" customHeight="1" x14ac:dyDescent="0.25">
      <c r="A1738" s="23" t="str">
        <f t="shared" ca="1" si="54"/>
        <v>ID_1361</v>
      </c>
      <c r="B1738" s="22">
        <v>45696</v>
      </c>
      <c r="C1738" s="23" t="str">
        <f>TEXT('Working Sheet'!$B1738,"mmm")</f>
        <v>Feb</v>
      </c>
      <c r="D1738" s="23" t="s">
        <v>29</v>
      </c>
      <c r="E1738" s="23" t="s">
        <v>12</v>
      </c>
      <c r="F1738" s="23" t="s">
        <v>23</v>
      </c>
      <c r="G1738" s="23" t="s">
        <v>20</v>
      </c>
      <c r="H1738" s="23" t="s">
        <v>21</v>
      </c>
      <c r="I1738" s="23" t="s">
        <v>22</v>
      </c>
      <c r="J1738" s="24">
        <v>30000</v>
      </c>
      <c r="K1738" s="23">
        <v>9</v>
      </c>
      <c r="L1738" s="23" t="s">
        <v>17</v>
      </c>
      <c r="M1738" s="25">
        <f t="shared" si="55"/>
        <v>24000</v>
      </c>
      <c r="N1738" s="25">
        <f>'Working Sheet'!$J1738*'Working Sheet'!$K1738</f>
        <v>270000</v>
      </c>
      <c r="O1738" s="26">
        <f>'Working Sheet'!$M1738*'Working Sheet'!$K1738</f>
        <v>216000</v>
      </c>
      <c r="P1738" s="25">
        <f>'Working Sheet'!$N1738-'Working Sheet'!$O1738</f>
        <v>54000</v>
      </c>
    </row>
    <row r="1739" spans="1:16" ht="14.25" customHeight="1" x14ac:dyDescent="0.25">
      <c r="A1739" s="18" t="str">
        <f t="shared" ca="1" si="54"/>
        <v>ID_539</v>
      </c>
      <c r="B1739" s="17">
        <v>45757</v>
      </c>
      <c r="C1739" s="18" t="str">
        <f>TEXT('Working Sheet'!$B1739,"mmm")</f>
        <v>Apr</v>
      </c>
      <c r="D1739" s="18" t="s">
        <v>25</v>
      </c>
      <c r="E1739" s="18" t="s">
        <v>32</v>
      </c>
      <c r="F1739" s="18" t="s">
        <v>23</v>
      </c>
      <c r="G1739" s="18" t="s">
        <v>20</v>
      </c>
      <c r="H1739" s="18" t="s">
        <v>21</v>
      </c>
      <c r="I1739" s="18" t="s">
        <v>22</v>
      </c>
      <c r="J1739" s="19">
        <v>30000</v>
      </c>
      <c r="K1739" s="18">
        <v>3</v>
      </c>
      <c r="L1739" s="18" t="s">
        <v>17</v>
      </c>
      <c r="M1739" s="20">
        <f t="shared" si="55"/>
        <v>24000</v>
      </c>
      <c r="N1739" s="20">
        <f>'Working Sheet'!$J1739*'Working Sheet'!$K1739</f>
        <v>90000</v>
      </c>
      <c r="O1739" s="21">
        <f>'Working Sheet'!$M1739*'Working Sheet'!$K1739</f>
        <v>72000</v>
      </c>
      <c r="P1739" s="20">
        <f>'Working Sheet'!$N1739-'Working Sheet'!$O1739</f>
        <v>18000</v>
      </c>
    </row>
    <row r="1740" spans="1:16" ht="14.25" customHeight="1" x14ac:dyDescent="0.25">
      <c r="A1740" s="23" t="str">
        <f t="shared" ca="1" si="54"/>
        <v>ID_1225</v>
      </c>
      <c r="B1740" s="22">
        <v>45678</v>
      </c>
      <c r="C1740" s="23" t="str">
        <f>TEXT('Working Sheet'!$B1740,"mmm")</f>
        <v>Jan</v>
      </c>
      <c r="D1740" s="23" t="s">
        <v>25</v>
      </c>
      <c r="E1740" s="23" t="s">
        <v>12</v>
      </c>
      <c r="F1740" s="23" t="s">
        <v>23</v>
      </c>
      <c r="G1740" s="23" t="s">
        <v>20</v>
      </c>
      <c r="H1740" s="23" t="s">
        <v>36</v>
      </c>
      <c r="I1740" s="23" t="s">
        <v>31</v>
      </c>
      <c r="J1740" s="24">
        <v>150000</v>
      </c>
      <c r="K1740" s="23">
        <v>8</v>
      </c>
      <c r="L1740" s="23" t="s">
        <v>28</v>
      </c>
      <c r="M1740" s="25">
        <f t="shared" si="55"/>
        <v>120000</v>
      </c>
      <c r="N1740" s="25">
        <f>'Working Sheet'!$J1740*'Working Sheet'!$K1740</f>
        <v>1200000</v>
      </c>
      <c r="O1740" s="26">
        <f>'Working Sheet'!$M1740*'Working Sheet'!$K1740</f>
        <v>960000</v>
      </c>
      <c r="P1740" s="25">
        <f>'Working Sheet'!$N1740-'Working Sheet'!$O1740</f>
        <v>240000</v>
      </c>
    </row>
    <row r="1741" spans="1:16" ht="14.25" customHeight="1" x14ac:dyDescent="0.25">
      <c r="A1741" s="18" t="str">
        <f t="shared" ca="1" si="54"/>
        <v>ID_1408</v>
      </c>
      <c r="B1741" s="17">
        <v>45707</v>
      </c>
      <c r="C1741" s="18" t="str">
        <f>TEXT('Working Sheet'!$B1741,"mmm")</f>
        <v>Feb</v>
      </c>
      <c r="D1741" s="18" t="s">
        <v>29</v>
      </c>
      <c r="E1741" s="18" t="s">
        <v>26</v>
      </c>
      <c r="F1741" s="18" t="s">
        <v>13</v>
      </c>
      <c r="G1741" s="18" t="s">
        <v>20</v>
      </c>
      <c r="H1741" s="18" t="s">
        <v>15</v>
      </c>
      <c r="I1741" s="18" t="s">
        <v>16</v>
      </c>
      <c r="J1741" s="19">
        <v>85000</v>
      </c>
      <c r="K1741" s="18">
        <v>4</v>
      </c>
      <c r="L1741" s="18" t="s">
        <v>24</v>
      </c>
      <c r="M1741" s="20">
        <f t="shared" si="55"/>
        <v>68000</v>
      </c>
      <c r="N1741" s="20">
        <f>'Working Sheet'!$J1741*'Working Sheet'!$K1741</f>
        <v>340000</v>
      </c>
      <c r="O1741" s="21">
        <f>'Working Sheet'!$M1741*'Working Sheet'!$K1741</f>
        <v>272000</v>
      </c>
      <c r="P1741" s="20">
        <f>'Working Sheet'!$N1741-'Working Sheet'!$O1741</f>
        <v>68000</v>
      </c>
    </row>
    <row r="1742" spans="1:16" ht="14.25" customHeight="1" x14ac:dyDescent="0.25">
      <c r="A1742" s="23" t="str">
        <f t="shared" ca="1" si="54"/>
        <v>ID_574</v>
      </c>
      <c r="B1742" s="22">
        <v>45733</v>
      </c>
      <c r="C1742" s="23" t="str">
        <f>TEXT('Working Sheet'!$B1742,"mmm")</f>
        <v>Mar</v>
      </c>
      <c r="D1742" s="23" t="s">
        <v>11</v>
      </c>
      <c r="E1742" s="23" t="s">
        <v>26</v>
      </c>
      <c r="F1742" s="23" t="s">
        <v>23</v>
      </c>
      <c r="G1742" s="23" t="s">
        <v>20</v>
      </c>
      <c r="H1742" s="23" t="s">
        <v>34</v>
      </c>
      <c r="I1742" s="23" t="s">
        <v>16</v>
      </c>
      <c r="J1742" s="24">
        <v>320000</v>
      </c>
      <c r="K1742" s="23">
        <v>3</v>
      </c>
      <c r="L1742" s="23" t="s">
        <v>28</v>
      </c>
      <c r="M1742" s="25">
        <f t="shared" si="55"/>
        <v>256000</v>
      </c>
      <c r="N1742" s="25">
        <f>'Working Sheet'!$J1742*'Working Sheet'!$K1742</f>
        <v>960000</v>
      </c>
      <c r="O1742" s="26">
        <f>'Working Sheet'!$M1742*'Working Sheet'!$K1742</f>
        <v>768000</v>
      </c>
      <c r="P1742" s="25">
        <f>'Working Sheet'!$N1742-'Working Sheet'!$O1742</f>
        <v>192000</v>
      </c>
    </row>
    <row r="1743" spans="1:16" ht="14.25" customHeight="1" x14ac:dyDescent="0.25">
      <c r="A1743" s="18" t="str">
        <f t="shared" ca="1" si="54"/>
        <v>ID_632</v>
      </c>
      <c r="B1743" s="17">
        <v>45745</v>
      </c>
      <c r="C1743" s="18" t="str">
        <f>TEXT('Working Sheet'!$B1743,"mmm")</f>
        <v>Mar</v>
      </c>
      <c r="D1743" s="18" t="s">
        <v>18</v>
      </c>
      <c r="E1743" s="18" t="s">
        <v>32</v>
      </c>
      <c r="F1743" s="18" t="s">
        <v>13</v>
      </c>
      <c r="G1743" s="18" t="s">
        <v>14</v>
      </c>
      <c r="H1743" s="18" t="s">
        <v>27</v>
      </c>
      <c r="I1743" s="18" t="s">
        <v>22</v>
      </c>
      <c r="J1743" s="19">
        <v>60000</v>
      </c>
      <c r="K1743" s="18">
        <v>7</v>
      </c>
      <c r="L1743" s="18" t="s">
        <v>24</v>
      </c>
      <c r="M1743" s="20">
        <f t="shared" si="55"/>
        <v>48000</v>
      </c>
      <c r="N1743" s="20">
        <f>'Working Sheet'!$J1743*'Working Sheet'!$K1743</f>
        <v>420000</v>
      </c>
      <c r="O1743" s="21">
        <f>'Working Sheet'!$M1743*'Working Sheet'!$K1743</f>
        <v>336000</v>
      </c>
      <c r="P1743" s="20">
        <f>'Working Sheet'!$N1743-'Working Sheet'!$O1743</f>
        <v>84000</v>
      </c>
    </row>
    <row r="1744" spans="1:16" ht="14.25" customHeight="1" x14ac:dyDescent="0.25">
      <c r="A1744" s="23" t="str">
        <f t="shared" ca="1" si="54"/>
        <v>ID_730</v>
      </c>
      <c r="B1744" s="22">
        <v>45737</v>
      </c>
      <c r="C1744" s="23" t="str">
        <f>TEXT('Working Sheet'!$B1744,"mmm")</f>
        <v>Mar</v>
      </c>
      <c r="D1744" s="23" t="s">
        <v>18</v>
      </c>
      <c r="E1744" s="23" t="s">
        <v>32</v>
      </c>
      <c r="F1744" s="23" t="s">
        <v>23</v>
      </c>
      <c r="G1744" s="23" t="s">
        <v>20</v>
      </c>
      <c r="H1744" s="23" t="s">
        <v>30</v>
      </c>
      <c r="I1744" s="23" t="s">
        <v>31</v>
      </c>
      <c r="J1744" s="24">
        <v>300000</v>
      </c>
      <c r="K1744" s="23">
        <v>6</v>
      </c>
      <c r="L1744" s="23" t="s">
        <v>24</v>
      </c>
      <c r="M1744" s="25">
        <f t="shared" si="55"/>
        <v>240000</v>
      </c>
      <c r="N1744" s="25">
        <f>'Working Sheet'!$J1744*'Working Sheet'!$K1744</f>
        <v>1800000</v>
      </c>
      <c r="O1744" s="26">
        <f>'Working Sheet'!$M1744*'Working Sheet'!$K1744</f>
        <v>1440000</v>
      </c>
      <c r="P1744" s="25">
        <f>'Working Sheet'!$N1744-'Working Sheet'!$O1744</f>
        <v>360000</v>
      </c>
    </row>
    <row r="1745" spans="1:16" ht="14.25" customHeight="1" x14ac:dyDescent="0.25">
      <c r="A1745" s="18" t="str">
        <f t="shared" ca="1" si="54"/>
        <v>ID_45</v>
      </c>
      <c r="B1745" s="17">
        <v>45719</v>
      </c>
      <c r="C1745" s="18" t="str">
        <f>TEXT('Working Sheet'!$B1745,"mmm")</f>
        <v>Mar</v>
      </c>
      <c r="D1745" s="18" t="s">
        <v>25</v>
      </c>
      <c r="E1745" s="18" t="s">
        <v>32</v>
      </c>
      <c r="F1745" s="18" t="s">
        <v>13</v>
      </c>
      <c r="G1745" s="18" t="s">
        <v>14</v>
      </c>
      <c r="H1745" s="18" t="s">
        <v>36</v>
      </c>
      <c r="I1745" s="18" t="s">
        <v>31</v>
      </c>
      <c r="J1745" s="19">
        <v>150000</v>
      </c>
      <c r="K1745" s="18">
        <v>6</v>
      </c>
      <c r="L1745" s="18" t="s">
        <v>35</v>
      </c>
      <c r="M1745" s="20">
        <f t="shared" si="55"/>
        <v>120000</v>
      </c>
      <c r="N1745" s="20">
        <f>'Working Sheet'!$J1745*'Working Sheet'!$K1745</f>
        <v>900000</v>
      </c>
      <c r="O1745" s="21">
        <f>'Working Sheet'!$M1745*'Working Sheet'!$K1745</f>
        <v>720000</v>
      </c>
      <c r="P1745" s="20">
        <f>'Working Sheet'!$N1745-'Working Sheet'!$O1745</f>
        <v>180000</v>
      </c>
    </row>
    <row r="1746" spans="1:16" ht="14.25" customHeight="1" x14ac:dyDescent="0.25">
      <c r="A1746" s="23" t="str">
        <f t="shared" ca="1" si="54"/>
        <v>ID_491</v>
      </c>
      <c r="B1746" s="22">
        <v>45670</v>
      </c>
      <c r="C1746" s="23" t="str">
        <f>TEXT('Working Sheet'!$B1746,"mmm")</f>
        <v>Jan</v>
      </c>
      <c r="D1746" s="23" t="s">
        <v>25</v>
      </c>
      <c r="E1746" s="23" t="s">
        <v>12</v>
      </c>
      <c r="F1746" s="23" t="s">
        <v>23</v>
      </c>
      <c r="G1746" s="23" t="s">
        <v>14</v>
      </c>
      <c r="H1746" s="23" t="s">
        <v>30</v>
      </c>
      <c r="I1746" s="23" t="s">
        <v>31</v>
      </c>
      <c r="J1746" s="24">
        <v>300000</v>
      </c>
      <c r="K1746" s="23">
        <v>10</v>
      </c>
      <c r="L1746" s="23" t="s">
        <v>28</v>
      </c>
      <c r="M1746" s="25">
        <f t="shared" si="55"/>
        <v>240000</v>
      </c>
      <c r="N1746" s="25">
        <f>'Working Sheet'!$J1746*'Working Sheet'!$K1746</f>
        <v>3000000</v>
      </c>
      <c r="O1746" s="26">
        <f>'Working Sheet'!$M1746*'Working Sheet'!$K1746</f>
        <v>2400000</v>
      </c>
      <c r="P1746" s="25">
        <f>'Working Sheet'!$N1746-'Working Sheet'!$O1746</f>
        <v>600000</v>
      </c>
    </row>
    <row r="1747" spans="1:16" ht="14.25" customHeight="1" x14ac:dyDescent="0.25">
      <c r="A1747" s="18" t="str">
        <f t="shared" ca="1" si="54"/>
        <v>ID_548</v>
      </c>
      <c r="B1747" s="17">
        <v>45707</v>
      </c>
      <c r="C1747" s="18" t="str">
        <f>TEXT('Working Sheet'!$B1747,"mmm")</f>
        <v>Feb</v>
      </c>
      <c r="D1747" s="18" t="s">
        <v>18</v>
      </c>
      <c r="E1747" s="18" t="s">
        <v>19</v>
      </c>
      <c r="F1747" s="18" t="s">
        <v>13</v>
      </c>
      <c r="G1747" s="18" t="s">
        <v>14</v>
      </c>
      <c r="H1747" s="18" t="s">
        <v>38</v>
      </c>
      <c r="I1747" s="18" t="s">
        <v>31</v>
      </c>
      <c r="J1747" s="19">
        <v>420000</v>
      </c>
      <c r="K1747" s="18">
        <v>1</v>
      </c>
      <c r="L1747" s="18" t="s">
        <v>17</v>
      </c>
      <c r="M1747" s="20">
        <f t="shared" si="55"/>
        <v>336000</v>
      </c>
      <c r="N1747" s="20">
        <f>'Working Sheet'!$J1747*'Working Sheet'!$K1747</f>
        <v>420000</v>
      </c>
      <c r="O1747" s="21">
        <f>'Working Sheet'!$M1747*'Working Sheet'!$K1747</f>
        <v>336000</v>
      </c>
      <c r="P1747" s="20">
        <f>'Working Sheet'!$N1747-'Working Sheet'!$O1747</f>
        <v>84000</v>
      </c>
    </row>
    <row r="1748" spans="1:16" ht="14.25" customHeight="1" x14ac:dyDescent="0.25">
      <c r="A1748" s="23" t="str">
        <f t="shared" ca="1" si="54"/>
        <v>ID_1263</v>
      </c>
      <c r="B1748" s="22">
        <v>45737</v>
      </c>
      <c r="C1748" s="23" t="str">
        <f>TEXT('Working Sheet'!$B1748,"mmm")</f>
        <v>Mar</v>
      </c>
      <c r="D1748" s="23" t="s">
        <v>11</v>
      </c>
      <c r="E1748" s="23" t="s">
        <v>12</v>
      </c>
      <c r="F1748" s="23" t="s">
        <v>13</v>
      </c>
      <c r="G1748" s="23" t="s">
        <v>20</v>
      </c>
      <c r="H1748" s="23" t="s">
        <v>27</v>
      </c>
      <c r="I1748" s="23" t="s">
        <v>22</v>
      </c>
      <c r="J1748" s="24">
        <v>60000</v>
      </c>
      <c r="K1748" s="23">
        <v>1</v>
      </c>
      <c r="L1748" s="23" t="s">
        <v>24</v>
      </c>
      <c r="M1748" s="25">
        <f t="shared" si="55"/>
        <v>48000</v>
      </c>
      <c r="N1748" s="25">
        <f>'Working Sheet'!$J1748*'Working Sheet'!$K1748</f>
        <v>60000</v>
      </c>
      <c r="O1748" s="26">
        <f>'Working Sheet'!$M1748*'Working Sheet'!$K1748</f>
        <v>48000</v>
      </c>
      <c r="P1748" s="25">
        <f>'Working Sheet'!$N1748-'Working Sheet'!$O1748</f>
        <v>12000</v>
      </c>
    </row>
    <row r="1749" spans="1:16" ht="14.25" customHeight="1" x14ac:dyDescent="0.25">
      <c r="A1749" s="18" t="str">
        <f t="shared" ca="1" si="54"/>
        <v>ID_817</v>
      </c>
      <c r="B1749" s="17">
        <v>45711</v>
      </c>
      <c r="C1749" s="18" t="str">
        <f>TEXT('Working Sheet'!$B1749,"mmm")</f>
        <v>Feb</v>
      </c>
      <c r="D1749" s="18" t="s">
        <v>29</v>
      </c>
      <c r="E1749" s="18" t="s">
        <v>19</v>
      </c>
      <c r="F1749" s="18" t="s">
        <v>13</v>
      </c>
      <c r="G1749" s="18" t="s">
        <v>14</v>
      </c>
      <c r="H1749" s="18" t="s">
        <v>36</v>
      </c>
      <c r="I1749" s="18" t="s">
        <v>31</v>
      </c>
      <c r="J1749" s="19">
        <v>150000</v>
      </c>
      <c r="K1749" s="18">
        <v>10</v>
      </c>
      <c r="L1749" s="18" t="s">
        <v>39</v>
      </c>
      <c r="M1749" s="20">
        <f t="shared" si="55"/>
        <v>120000</v>
      </c>
      <c r="N1749" s="20">
        <f>'Working Sheet'!$J1749*'Working Sheet'!$K1749</f>
        <v>1500000</v>
      </c>
      <c r="O1749" s="21">
        <f>'Working Sheet'!$M1749*'Working Sheet'!$K1749</f>
        <v>1200000</v>
      </c>
      <c r="P1749" s="20">
        <f>'Working Sheet'!$N1749-'Working Sheet'!$O1749</f>
        <v>300000</v>
      </c>
    </row>
    <row r="1750" spans="1:16" ht="14.25" customHeight="1" x14ac:dyDescent="0.25">
      <c r="A1750" s="23" t="str">
        <f t="shared" ca="1" si="54"/>
        <v>ID_499</v>
      </c>
      <c r="B1750" s="22">
        <v>45663</v>
      </c>
      <c r="C1750" s="23" t="str">
        <f>TEXT('Working Sheet'!$B1750,"mmm")</f>
        <v>Jan</v>
      </c>
      <c r="D1750" s="23" t="s">
        <v>11</v>
      </c>
      <c r="E1750" s="23" t="s">
        <v>32</v>
      </c>
      <c r="F1750" s="23" t="s">
        <v>13</v>
      </c>
      <c r="G1750" s="23" t="s">
        <v>14</v>
      </c>
      <c r="H1750" s="23" t="s">
        <v>33</v>
      </c>
      <c r="I1750" s="23" t="s">
        <v>22</v>
      </c>
      <c r="J1750" s="24">
        <v>180000</v>
      </c>
      <c r="K1750" s="23">
        <v>10</v>
      </c>
      <c r="L1750" s="23" t="s">
        <v>28</v>
      </c>
      <c r="M1750" s="25">
        <f t="shared" si="55"/>
        <v>144000</v>
      </c>
      <c r="N1750" s="25">
        <f>'Working Sheet'!$J1750*'Working Sheet'!$K1750</f>
        <v>1800000</v>
      </c>
      <c r="O1750" s="26">
        <f>'Working Sheet'!$M1750*'Working Sheet'!$K1750</f>
        <v>1440000</v>
      </c>
      <c r="P1750" s="25">
        <f>'Working Sheet'!$N1750-'Working Sheet'!$O1750</f>
        <v>360000</v>
      </c>
    </row>
    <row r="1751" spans="1:16" ht="14.25" customHeight="1" x14ac:dyDescent="0.25">
      <c r="A1751" s="18" t="str">
        <f t="shared" ca="1" si="54"/>
        <v>ID_397</v>
      </c>
      <c r="B1751" s="17">
        <v>45747</v>
      </c>
      <c r="C1751" s="18" t="str">
        <f>TEXT('Working Sheet'!$B1751,"mmm")</f>
        <v>Mar</v>
      </c>
      <c r="D1751" s="18" t="s">
        <v>25</v>
      </c>
      <c r="E1751" s="18" t="s">
        <v>12</v>
      </c>
      <c r="F1751" s="18" t="s">
        <v>23</v>
      </c>
      <c r="G1751" s="18" t="s">
        <v>14</v>
      </c>
      <c r="H1751" s="18" t="s">
        <v>36</v>
      </c>
      <c r="I1751" s="18" t="s">
        <v>31</v>
      </c>
      <c r="J1751" s="19">
        <v>150000</v>
      </c>
      <c r="K1751" s="18">
        <v>10</v>
      </c>
      <c r="L1751" s="18" t="s">
        <v>24</v>
      </c>
      <c r="M1751" s="20">
        <f t="shared" si="55"/>
        <v>120000</v>
      </c>
      <c r="N1751" s="20">
        <f>'Working Sheet'!$J1751*'Working Sheet'!$K1751</f>
        <v>1500000</v>
      </c>
      <c r="O1751" s="21">
        <f>'Working Sheet'!$M1751*'Working Sheet'!$K1751</f>
        <v>1200000</v>
      </c>
      <c r="P1751" s="20">
        <f>'Working Sheet'!$N1751-'Working Sheet'!$O1751</f>
        <v>300000</v>
      </c>
    </row>
    <row r="1752" spans="1:16" ht="14.25" customHeight="1" x14ac:dyDescent="0.25">
      <c r="A1752" s="23" t="str">
        <f t="shared" ca="1" si="54"/>
        <v>ID_2010</v>
      </c>
      <c r="B1752" s="22">
        <v>45665</v>
      </c>
      <c r="C1752" s="23" t="str">
        <f>TEXT('Working Sheet'!$B1752,"mmm")</f>
        <v>Jan</v>
      </c>
      <c r="D1752" s="23" t="s">
        <v>18</v>
      </c>
      <c r="E1752" s="23" t="s">
        <v>12</v>
      </c>
      <c r="F1752" s="23" t="s">
        <v>23</v>
      </c>
      <c r="G1752" s="23" t="s">
        <v>20</v>
      </c>
      <c r="H1752" s="23" t="s">
        <v>27</v>
      </c>
      <c r="I1752" s="23" t="s">
        <v>22</v>
      </c>
      <c r="J1752" s="24">
        <v>60000</v>
      </c>
      <c r="K1752" s="23">
        <v>8</v>
      </c>
      <c r="L1752" s="23" t="s">
        <v>39</v>
      </c>
      <c r="M1752" s="25">
        <f t="shared" si="55"/>
        <v>48000</v>
      </c>
      <c r="N1752" s="25">
        <f>'Working Sheet'!$J1752*'Working Sheet'!$K1752</f>
        <v>480000</v>
      </c>
      <c r="O1752" s="26">
        <f>'Working Sheet'!$M1752*'Working Sheet'!$K1752</f>
        <v>384000</v>
      </c>
      <c r="P1752" s="25">
        <f>'Working Sheet'!$N1752-'Working Sheet'!$O1752</f>
        <v>96000</v>
      </c>
    </row>
    <row r="1753" spans="1:16" ht="14.25" customHeight="1" x14ac:dyDescent="0.25">
      <c r="A1753" s="18" t="str">
        <f t="shared" ca="1" si="54"/>
        <v>ID_269</v>
      </c>
      <c r="B1753" s="17">
        <v>45666</v>
      </c>
      <c r="C1753" s="18" t="str">
        <f>TEXT('Working Sheet'!$B1753,"mmm")</f>
        <v>Jan</v>
      </c>
      <c r="D1753" s="18" t="s">
        <v>29</v>
      </c>
      <c r="E1753" s="18" t="s">
        <v>12</v>
      </c>
      <c r="F1753" s="18" t="s">
        <v>13</v>
      </c>
      <c r="G1753" s="18" t="s">
        <v>14</v>
      </c>
      <c r="H1753" s="18" t="s">
        <v>41</v>
      </c>
      <c r="I1753" s="18" t="s">
        <v>22</v>
      </c>
      <c r="J1753" s="19">
        <v>220000</v>
      </c>
      <c r="K1753" s="18">
        <v>7</v>
      </c>
      <c r="L1753" s="18" t="s">
        <v>37</v>
      </c>
      <c r="M1753" s="20">
        <f t="shared" si="55"/>
        <v>176000</v>
      </c>
      <c r="N1753" s="20">
        <f>'Working Sheet'!$J1753*'Working Sheet'!$K1753</f>
        <v>1540000</v>
      </c>
      <c r="O1753" s="21">
        <f>'Working Sheet'!$M1753*'Working Sheet'!$K1753</f>
        <v>1232000</v>
      </c>
      <c r="P1753" s="20">
        <f>'Working Sheet'!$N1753-'Working Sheet'!$O1753</f>
        <v>308000</v>
      </c>
    </row>
    <row r="1754" spans="1:16" ht="14.25" customHeight="1" x14ac:dyDescent="0.25">
      <c r="A1754" s="23" t="str">
        <f t="shared" ca="1" si="54"/>
        <v>ID_578</v>
      </c>
      <c r="B1754" s="22">
        <v>45727</v>
      </c>
      <c r="C1754" s="23" t="str">
        <f>TEXT('Working Sheet'!$B1754,"mmm")</f>
        <v>Mar</v>
      </c>
      <c r="D1754" s="23" t="s">
        <v>18</v>
      </c>
      <c r="E1754" s="23" t="s">
        <v>32</v>
      </c>
      <c r="F1754" s="23" t="s">
        <v>13</v>
      </c>
      <c r="G1754" s="23" t="s">
        <v>14</v>
      </c>
      <c r="H1754" s="23" t="s">
        <v>21</v>
      </c>
      <c r="I1754" s="23" t="s">
        <v>22</v>
      </c>
      <c r="J1754" s="24">
        <v>30000</v>
      </c>
      <c r="K1754" s="23">
        <v>1</v>
      </c>
      <c r="L1754" s="23" t="s">
        <v>35</v>
      </c>
      <c r="M1754" s="25">
        <f t="shared" si="55"/>
        <v>24000</v>
      </c>
      <c r="N1754" s="25">
        <f>'Working Sheet'!$J1754*'Working Sheet'!$K1754</f>
        <v>30000</v>
      </c>
      <c r="O1754" s="26">
        <f>'Working Sheet'!$M1754*'Working Sheet'!$K1754</f>
        <v>24000</v>
      </c>
      <c r="P1754" s="25">
        <f>'Working Sheet'!$N1754-'Working Sheet'!$O1754</f>
        <v>6000</v>
      </c>
    </row>
    <row r="1755" spans="1:16" ht="14.25" customHeight="1" x14ac:dyDescent="0.25">
      <c r="A1755" s="18" t="str">
        <f t="shared" ca="1" si="54"/>
        <v>ID_1480</v>
      </c>
      <c r="B1755" s="17">
        <v>45717</v>
      </c>
      <c r="C1755" s="18" t="str">
        <f>TEXT('Working Sheet'!$B1755,"mmm")</f>
        <v>Mar</v>
      </c>
      <c r="D1755" s="18" t="s">
        <v>18</v>
      </c>
      <c r="E1755" s="18" t="s">
        <v>19</v>
      </c>
      <c r="F1755" s="18" t="s">
        <v>23</v>
      </c>
      <c r="G1755" s="18" t="s">
        <v>20</v>
      </c>
      <c r="H1755" s="18" t="s">
        <v>36</v>
      </c>
      <c r="I1755" s="18" t="s">
        <v>31</v>
      </c>
      <c r="J1755" s="19">
        <v>150000</v>
      </c>
      <c r="K1755" s="18">
        <v>6</v>
      </c>
      <c r="L1755" s="18" t="s">
        <v>17</v>
      </c>
      <c r="M1755" s="20">
        <f t="shared" si="55"/>
        <v>120000</v>
      </c>
      <c r="N1755" s="20">
        <f>'Working Sheet'!$J1755*'Working Sheet'!$K1755</f>
        <v>900000</v>
      </c>
      <c r="O1755" s="21">
        <f>'Working Sheet'!$M1755*'Working Sheet'!$K1755</f>
        <v>720000</v>
      </c>
      <c r="P1755" s="20">
        <f>'Working Sheet'!$N1755-'Working Sheet'!$O1755</f>
        <v>180000</v>
      </c>
    </row>
    <row r="1756" spans="1:16" ht="14.25" customHeight="1" x14ac:dyDescent="0.25">
      <c r="A1756" s="23" t="str">
        <f t="shared" ca="1" si="54"/>
        <v>ID_1889</v>
      </c>
      <c r="B1756" s="22">
        <v>45701</v>
      </c>
      <c r="C1756" s="23" t="str">
        <f>TEXT('Working Sheet'!$B1756,"mmm")</f>
        <v>Feb</v>
      </c>
      <c r="D1756" s="23" t="s">
        <v>25</v>
      </c>
      <c r="E1756" s="23" t="s">
        <v>32</v>
      </c>
      <c r="F1756" s="23" t="s">
        <v>13</v>
      </c>
      <c r="G1756" s="23" t="s">
        <v>20</v>
      </c>
      <c r="H1756" s="23" t="s">
        <v>21</v>
      </c>
      <c r="I1756" s="23" t="s">
        <v>22</v>
      </c>
      <c r="J1756" s="24">
        <v>30000</v>
      </c>
      <c r="K1756" s="23">
        <v>4</v>
      </c>
      <c r="L1756" s="23" t="s">
        <v>17</v>
      </c>
      <c r="M1756" s="25">
        <f t="shared" si="55"/>
        <v>24000</v>
      </c>
      <c r="N1756" s="25">
        <f>'Working Sheet'!$J1756*'Working Sheet'!$K1756</f>
        <v>120000</v>
      </c>
      <c r="O1756" s="26">
        <f>'Working Sheet'!$M1756*'Working Sheet'!$K1756</f>
        <v>96000</v>
      </c>
      <c r="P1756" s="25">
        <f>'Working Sheet'!$N1756-'Working Sheet'!$O1756</f>
        <v>24000</v>
      </c>
    </row>
    <row r="1757" spans="1:16" ht="14.25" customHeight="1" x14ac:dyDescent="0.25">
      <c r="A1757" s="18" t="str">
        <f t="shared" ca="1" si="54"/>
        <v>ID_546</v>
      </c>
      <c r="B1757" s="17">
        <v>45699</v>
      </c>
      <c r="C1757" s="18" t="str">
        <f>TEXT('Working Sheet'!$B1757,"mmm")</f>
        <v>Feb</v>
      </c>
      <c r="D1757" s="18" t="s">
        <v>25</v>
      </c>
      <c r="E1757" s="18" t="s">
        <v>26</v>
      </c>
      <c r="F1757" s="18" t="s">
        <v>23</v>
      </c>
      <c r="G1757" s="18" t="s">
        <v>14</v>
      </c>
      <c r="H1757" s="18" t="s">
        <v>41</v>
      </c>
      <c r="I1757" s="18" t="s">
        <v>22</v>
      </c>
      <c r="J1757" s="19">
        <v>220000</v>
      </c>
      <c r="K1757" s="18">
        <v>1</v>
      </c>
      <c r="L1757" s="18" t="s">
        <v>28</v>
      </c>
      <c r="M1757" s="20">
        <f t="shared" si="55"/>
        <v>176000</v>
      </c>
      <c r="N1757" s="20">
        <f>'Working Sheet'!$J1757*'Working Sheet'!$K1757</f>
        <v>220000</v>
      </c>
      <c r="O1757" s="21">
        <f>'Working Sheet'!$M1757*'Working Sheet'!$K1757</f>
        <v>176000</v>
      </c>
      <c r="P1757" s="20">
        <f>'Working Sheet'!$N1757-'Working Sheet'!$O1757</f>
        <v>44000</v>
      </c>
    </row>
    <row r="1758" spans="1:16" ht="14.25" customHeight="1" x14ac:dyDescent="0.25">
      <c r="A1758" s="23" t="str">
        <f t="shared" ca="1" si="54"/>
        <v>ID_934</v>
      </c>
      <c r="B1758" s="22">
        <v>45743</v>
      </c>
      <c r="C1758" s="23" t="str">
        <f>TEXT('Working Sheet'!$B1758,"mmm")</f>
        <v>Mar</v>
      </c>
      <c r="D1758" s="23" t="s">
        <v>25</v>
      </c>
      <c r="E1758" s="23" t="s">
        <v>19</v>
      </c>
      <c r="F1758" s="23" t="s">
        <v>13</v>
      </c>
      <c r="G1758" s="23" t="s">
        <v>14</v>
      </c>
      <c r="H1758" s="23" t="s">
        <v>27</v>
      </c>
      <c r="I1758" s="23" t="s">
        <v>22</v>
      </c>
      <c r="J1758" s="24">
        <v>60000</v>
      </c>
      <c r="K1758" s="23">
        <v>6</v>
      </c>
      <c r="L1758" s="23" t="s">
        <v>24</v>
      </c>
      <c r="M1758" s="25">
        <f t="shared" si="55"/>
        <v>48000</v>
      </c>
      <c r="N1758" s="25">
        <f>'Working Sheet'!$J1758*'Working Sheet'!$K1758</f>
        <v>360000</v>
      </c>
      <c r="O1758" s="26">
        <f>'Working Sheet'!$M1758*'Working Sheet'!$K1758</f>
        <v>288000</v>
      </c>
      <c r="P1758" s="25">
        <f>'Working Sheet'!$N1758-'Working Sheet'!$O1758</f>
        <v>72000</v>
      </c>
    </row>
    <row r="1759" spans="1:16" ht="14.25" customHeight="1" x14ac:dyDescent="0.25">
      <c r="A1759" s="18" t="str">
        <f t="shared" ca="1" si="54"/>
        <v>ID_1749</v>
      </c>
      <c r="B1759" s="17">
        <v>45745</v>
      </c>
      <c r="C1759" s="18" t="str">
        <f>TEXT('Working Sheet'!$B1759,"mmm")</f>
        <v>Mar</v>
      </c>
      <c r="D1759" s="18" t="s">
        <v>25</v>
      </c>
      <c r="E1759" s="18" t="s">
        <v>12</v>
      </c>
      <c r="F1759" s="18" t="s">
        <v>23</v>
      </c>
      <c r="G1759" s="18" t="s">
        <v>20</v>
      </c>
      <c r="H1759" s="18" t="s">
        <v>40</v>
      </c>
      <c r="I1759" s="18" t="s">
        <v>31</v>
      </c>
      <c r="J1759" s="19">
        <v>250000</v>
      </c>
      <c r="K1759" s="18">
        <v>7</v>
      </c>
      <c r="L1759" s="18" t="s">
        <v>39</v>
      </c>
      <c r="M1759" s="20">
        <f t="shared" si="55"/>
        <v>200000</v>
      </c>
      <c r="N1759" s="20">
        <f>'Working Sheet'!$J1759*'Working Sheet'!$K1759</f>
        <v>1750000</v>
      </c>
      <c r="O1759" s="21">
        <f>'Working Sheet'!$M1759*'Working Sheet'!$K1759</f>
        <v>1400000</v>
      </c>
      <c r="P1759" s="20">
        <f>'Working Sheet'!$N1759-'Working Sheet'!$O1759</f>
        <v>350000</v>
      </c>
    </row>
    <row r="1760" spans="1:16" ht="14.25" customHeight="1" x14ac:dyDescent="0.25">
      <c r="A1760" s="23" t="str">
        <f t="shared" ca="1" si="54"/>
        <v>ID_565</v>
      </c>
      <c r="B1760" s="22">
        <v>45759</v>
      </c>
      <c r="C1760" s="23" t="str">
        <f>TEXT('Working Sheet'!$B1760,"mmm")</f>
        <v>Apr</v>
      </c>
      <c r="D1760" s="23" t="s">
        <v>18</v>
      </c>
      <c r="E1760" s="23" t="s">
        <v>26</v>
      </c>
      <c r="F1760" s="23" t="s">
        <v>23</v>
      </c>
      <c r="G1760" s="23" t="s">
        <v>14</v>
      </c>
      <c r="H1760" s="23" t="s">
        <v>41</v>
      </c>
      <c r="I1760" s="23" t="s">
        <v>22</v>
      </c>
      <c r="J1760" s="24">
        <v>220000</v>
      </c>
      <c r="K1760" s="23">
        <v>9</v>
      </c>
      <c r="L1760" s="23" t="s">
        <v>35</v>
      </c>
      <c r="M1760" s="25">
        <f t="shared" si="55"/>
        <v>176000</v>
      </c>
      <c r="N1760" s="25">
        <f>'Working Sheet'!$J1760*'Working Sheet'!$K1760</f>
        <v>1980000</v>
      </c>
      <c r="O1760" s="26">
        <f>'Working Sheet'!$M1760*'Working Sheet'!$K1760</f>
        <v>1584000</v>
      </c>
      <c r="P1760" s="25">
        <f>'Working Sheet'!$N1760-'Working Sheet'!$O1760</f>
        <v>396000</v>
      </c>
    </row>
    <row r="1761" spans="1:16" ht="14.25" customHeight="1" x14ac:dyDescent="0.25">
      <c r="A1761" s="18" t="str">
        <f t="shared" ca="1" si="54"/>
        <v>ID_851</v>
      </c>
      <c r="B1761" s="17">
        <v>45770</v>
      </c>
      <c r="C1761" s="18" t="str">
        <f>TEXT('Working Sheet'!$B1761,"mmm")</f>
        <v>Apr</v>
      </c>
      <c r="D1761" s="18" t="s">
        <v>25</v>
      </c>
      <c r="E1761" s="18" t="s">
        <v>26</v>
      </c>
      <c r="F1761" s="18" t="s">
        <v>23</v>
      </c>
      <c r="G1761" s="18" t="s">
        <v>14</v>
      </c>
      <c r="H1761" s="18" t="s">
        <v>21</v>
      </c>
      <c r="I1761" s="18" t="s">
        <v>22</v>
      </c>
      <c r="J1761" s="19">
        <v>30000</v>
      </c>
      <c r="K1761" s="18">
        <v>10</v>
      </c>
      <c r="L1761" s="18" t="s">
        <v>28</v>
      </c>
      <c r="M1761" s="20">
        <f t="shared" si="55"/>
        <v>24000</v>
      </c>
      <c r="N1761" s="20">
        <f>'Working Sheet'!$J1761*'Working Sheet'!$K1761</f>
        <v>300000</v>
      </c>
      <c r="O1761" s="21">
        <f>'Working Sheet'!$M1761*'Working Sheet'!$K1761</f>
        <v>240000</v>
      </c>
      <c r="P1761" s="20">
        <f>'Working Sheet'!$N1761-'Working Sheet'!$O1761</f>
        <v>60000</v>
      </c>
    </row>
    <row r="1762" spans="1:16" ht="14.25" customHeight="1" x14ac:dyDescent="0.25">
      <c r="A1762" s="23" t="str">
        <f t="shared" ca="1" si="54"/>
        <v>ID_744</v>
      </c>
      <c r="B1762" s="22">
        <v>45760</v>
      </c>
      <c r="C1762" s="23" t="str">
        <f>TEXT('Working Sheet'!$B1762,"mmm")</f>
        <v>Apr</v>
      </c>
      <c r="D1762" s="23" t="s">
        <v>18</v>
      </c>
      <c r="E1762" s="23" t="s">
        <v>26</v>
      </c>
      <c r="F1762" s="23" t="s">
        <v>13</v>
      </c>
      <c r="G1762" s="23" t="s">
        <v>14</v>
      </c>
      <c r="H1762" s="23" t="s">
        <v>36</v>
      </c>
      <c r="I1762" s="23" t="s">
        <v>31</v>
      </c>
      <c r="J1762" s="24">
        <v>150000</v>
      </c>
      <c r="K1762" s="23">
        <v>1</v>
      </c>
      <c r="L1762" s="23" t="s">
        <v>24</v>
      </c>
      <c r="M1762" s="25">
        <f t="shared" si="55"/>
        <v>120000</v>
      </c>
      <c r="N1762" s="25">
        <f>'Working Sheet'!$J1762*'Working Sheet'!$K1762</f>
        <v>150000</v>
      </c>
      <c r="O1762" s="26">
        <f>'Working Sheet'!$M1762*'Working Sheet'!$K1762</f>
        <v>120000</v>
      </c>
      <c r="P1762" s="25">
        <f>'Working Sheet'!$N1762-'Working Sheet'!$O1762</f>
        <v>30000</v>
      </c>
    </row>
    <row r="1763" spans="1:16" ht="14.25" customHeight="1" x14ac:dyDescent="0.25">
      <c r="A1763" s="18" t="str">
        <f t="shared" ca="1" si="54"/>
        <v>ID_1588</v>
      </c>
      <c r="B1763" s="17">
        <v>45672</v>
      </c>
      <c r="C1763" s="18" t="str">
        <f>TEXT('Working Sheet'!$B1763,"mmm")</f>
        <v>Jan</v>
      </c>
      <c r="D1763" s="18" t="s">
        <v>29</v>
      </c>
      <c r="E1763" s="18" t="s">
        <v>12</v>
      </c>
      <c r="F1763" s="18" t="s">
        <v>13</v>
      </c>
      <c r="G1763" s="18" t="s">
        <v>14</v>
      </c>
      <c r="H1763" s="18" t="s">
        <v>33</v>
      </c>
      <c r="I1763" s="18" t="s">
        <v>22</v>
      </c>
      <c r="J1763" s="19">
        <v>180000</v>
      </c>
      <c r="K1763" s="18">
        <v>3</v>
      </c>
      <c r="L1763" s="18" t="s">
        <v>35</v>
      </c>
      <c r="M1763" s="20">
        <f t="shared" si="55"/>
        <v>144000</v>
      </c>
      <c r="N1763" s="20">
        <f>'Working Sheet'!$J1763*'Working Sheet'!$K1763</f>
        <v>540000</v>
      </c>
      <c r="O1763" s="21">
        <f>'Working Sheet'!$M1763*'Working Sheet'!$K1763</f>
        <v>432000</v>
      </c>
      <c r="P1763" s="20">
        <f>'Working Sheet'!$N1763-'Working Sheet'!$O1763</f>
        <v>108000</v>
      </c>
    </row>
    <row r="1764" spans="1:16" ht="14.25" customHeight="1" x14ac:dyDescent="0.25">
      <c r="A1764" s="23" t="str">
        <f t="shared" ca="1" si="54"/>
        <v>ID_79</v>
      </c>
      <c r="B1764" s="22">
        <v>45743</v>
      </c>
      <c r="C1764" s="23" t="str">
        <f>TEXT('Working Sheet'!$B1764,"mmm")</f>
        <v>Mar</v>
      </c>
      <c r="D1764" s="23" t="s">
        <v>25</v>
      </c>
      <c r="E1764" s="23" t="s">
        <v>12</v>
      </c>
      <c r="F1764" s="23" t="s">
        <v>23</v>
      </c>
      <c r="G1764" s="23" t="s">
        <v>14</v>
      </c>
      <c r="H1764" s="23" t="s">
        <v>38</v>
      </c>
      <c r="I1764" s="23" t="s">
        <v>31</v>
      </c>
      <c r="J1764" s="24">
        <v>420000</v>
      </c>
      <c r="K1764" s="23">
        <v>10</v>
      </c>
      <c r="L1764" s="23" t="s">
        <v>35</v>
      </c>
      <c r="M1764" s="25">
        <f t="shared" si="55"/>
        <v>336000</v>
      </c>
      <c r="N1764" s="25">
        <f>'Working Sheet'!$J1764*'Working Sheet'!$K1764</f>
        <v>4200000</v>
      </c>
      <c r="O1764" s="26">
        <f>'Working Sheet'!$M1764*'Working Sheet'!$K1764</f>
        <v>3360000</v>
      </c>
      <c r="P1764" s="25">
        <f>'Working Sheet'!$N1764-'Working Sheet'!$O1764</f>
        <v>840000</v>
      </c>
    </row>
    <row r="1765" spans="1:16" ht="14.25" customHeight="1" x14ac:dyDescent="0.25">
      <c r="A1765" s="18" t="str">
        <f t="shared" ca="1" si="54"/>
        <v>ID_1015</v>
      </c>
      <c r="B1765" s="17">
        <v>45778</v>
      </c>
      <c r="C1765" s="18" t="str">
        <f>TEXT('Working Sheet'!$B1765,"mmm")</f>
        <v>May</v>
      </c>
      <c r="D1765" s="18" t="s">
        <v>29</v>
      </c>
      <c r="E1765" s="18" t="s">
        <v>12</v>
      </c>
      <c r="F1765" s="18" t="s">
        <v>23</v>
      </c>
      <c r="G1765" s="18" t="s">
        <v>14</v>
      </c>
      <c r="H1765" s="18" t="s">
        <v>15</v>
      </c>
      <c r="I1765" s="18" t="s">
        <v>16</v>
      </c>
      <c r="J1765" s="19">
        <v>85000</v>
      </c>
      <c r="K1765" s="18">
        <v>2</v>
      </c>
      <c r="L1765" s="18" t="s">
        <v>37</v>
      </c>
      <c r="M1765" s="20">
        <f t="shared" si="55"/>
        <v>68000</v>
      </c>
      <c r="N1765" s="20">
        <f>'Working Sheet'!$J1765*'Working Sheet'!$K1765</f>
        <v>170000</v>
      </c>
      <c r="O1765" s="21">
        <f>'Working Sheet'!$M1765*'Working Sheet'!$K1765</f>
        <v>136000</v>
      </c>
      <c r="P1765" s="20">
        <f>'Working Sheet'!$N1765-'Working Sheet'!$O1765</f>
        <v>34000</v>
      </c>
    </row>
    <row r="1766" spans="1:16" ht="14.25" customHeight="1" x14ac:dyDescent="0.25">
      <c r="A1766" s="23" t="str">
        <f t="shared" ca="1" si="54"/>
        <v>ID_1497</v>
      </c>
      <c r="B1766" s="22">
        <v>45737</v>
      </c>
      <c r="C1766" s="23" t="str">
        <f>TEXT('Working Sheet'!$B1766,"mmm")</f>
        <v>Mar</v>
      </c>
      <c r="D1766" s="23" t="s">
        <v>11</v>
      </c>
      <c r="E1766" s="23" t="s">
        <v>26</v>
      </c>
      <c r="F1766" s="23" t="s">
        <v>23</v>
      </c>
      <c r="G1766" s="23" t="s">
        <v>14</v>
      </c>
      <c r="H1766" s="23" t="s">
        <v>27</v>
      </c>
      <c r="I1766" s="23" t="s">
        <v>22</v>
      </c>
      <c r="J1766" s="24">
        <v>60000</v>
      </c>
      <c r="K1766" s="23">
        <v>4</v>
      </c>
      <c r="L1766" s="23" t="s">
        <v>37</v>
      </c>
      <c r="M1766" s="25">
        <f t="shared" si="55"/>
        <v>48000</v>
      </c>
      <c r="N1766" s="25">
        <f>'Working Sheet'!$J1766*'Working Sheet'!$K1766</f>
        <v>240000</v>
      </c>
      <c r="O1766" s="26">
        <f>'Working Sheet'!$M1766*'Working Sheet'!$K1766</f>
        <v>192000</v>
      </c>
      <c r="P1766" s="25">
        <f>'Working Sheet'!$N1766-'Working Sheet'!$O1766</f>
        <v>48000</v>
      </c>
    </row>
    <row r="1767" spans="1:16" ht="14.25" customHeight="1" x14ac:dyDescent="0.25">
      <c r="A1767" s="18" t="str">
        <f t="shared" ca="1" si="54"/>
        <v>ID_781</v>
      </c>
      <c r="B1767" s="17">
        <v>45669</v>
      </c>
      <c r="C1767" s="18" t="str">
        <f>TEXT('Working Sheet'!$B1767,"mmm")</f>
        <v>Jan</v>
      </c>
      <c r="D1767" s="18" t="s">
        <v>29</v>
      </c>
      <c r="E1767" s="18" t="s">
        <v>19</v>
      </c>
      <c r="F1767" s="18" t="s">
        <v>23</v>
      </c>
      <c r="G1767" s="18" t="s">
        <v>14</v>
      </c>
      <c r="H1767" s="18" t="s">
        <v>36</v>
      </c>
      <c r="I1767" s="18" t="s">
        <v>31</v>
      </c>
      <c r="J1767" s="19">
        <v>150000</v>
      </c>
      <c r="K1767" s="18">
        <v>9</v>
      </c>
      <c r="L1767" s="18" t="s">
        <v>37</v>
      </c>
      <c r="M1767" s="20">
        <f t="shared" si="55"/>
        <v>120000</v>
      </c>
      <c r="N1767" s="20">
        <f>'Working Sheet'!$J1767*'Working Sheet'!$K1767</f>
        <v>1350000</v>
      </c>
      <c r="O1767" s="21">
        <f>'Working Sheet'!$M1767*'Working Sheet'!$K1767</f>
        <v>1080000</v>
      </c>
      <c r="P1767" s="20">
        <f>'Working Sheet'!$N1767-'Working Sheet'!$O1767</f>
        <v>270000</v>
      </c>
    </row>
    <row r="1768" spans="1:16" ht="14.25" customHeight="1" x14ac:dyDescent="0.25">
      <c r="A1768" s="23" t="str">
        <f t="shared" ca="1" si="54"/>
        <v>ID_939</v>
      </c>
      <c r="B1768" s="22">
        <v>45671</v>
      </c>
      <c r="C1768" s="23" t="str">
        <f>TEXT('Working Sheet'!$B1768,"mmm")</f>
        <v>Jan</v>
      </c>
      <c r="D1768" s="23" t="s">
        <v>25</v>
      </c>
      <c r="E1768" s="23" t="s">
        <v>32</v>
      </c>
      <c r="F1768" s="23" t="s">
        <v>13</v>
      </c>
      <c r="G1768" s="23" t="s">
        <v>20</v>
      </c>
      <c r="H1768" s="23" t="s">
        <v>38</v>
      </c>
      <c r="I1768" s="23" t="s">
        <v>31</v>
      </c>
      <c r="J1768" s="24">
        <v>420000</v>
      </c>
      <c r="K1768" s="23">
        <v>1</v>
      </c>
      <c r="L1768" s="23" t="s">
        <v>35</v>
      </c>
      <c r="M1768" s="25">
        <f t="shared" si="55"/>
        <v>336000</v>
      </c>
      <c r="N1768" s="25">
        <f>'Working Sheet'!$J1768*'Working Sheet'!$K1768</f>
        <v>420000</v>
      </c>
      <c r="O1768" s="26">
        <f>'Working Sheet'!$M1768*'Working Sheet'!$K1768</f>
        <v>336000</v>
      </c>
      <c r="P1768" s="25">
        <f>'Working Sheet'!$N1768-'Working Sheet'!$O1768</f>
        <v>84000</v>
      </c>
    </row>
    <row r="1769" spans="1:16" ht="14.25" customHeight="1" x14ac:dyDescent="0.25">
      <c r="A1769" s="18" t="str">
        <f t="shared" ca="1" si="54"/>
        <v>ID_108</v>
      </c>
      <c r="B1769" s="17">
        <v>45759</v>
      </c>
      <c r="C1769" s="18" t="str">
        <f>TEXT('Working Sheet'!$B1769,"mmm")</f>
        <v>Apr</v>
      </c>
      <c r="D1769" s="18" t="s">
        <v>18</v>
      </c>
      <c r="E1769" s="18" t="s">
        <v>19</v>
      </c>
      <c r="F1769" s="18" t="s">
        <v>13</v>
      </c>
      <c r="G1769" s="18" t="s">
        <v>14</v>
      </c>
      <c r="H1769" s="18" t="s">
        <v>38</v>
      </c>
      <c r="I1769" s="18" t="s">
        <v>31</v>
      </c>
      <c r="J1769" s="19">
        <v>420000</v>
      </c>
      <c r="K1769" s="18">
        <v>9</v>
      </c>
      <c r="L1769" s="18" t="s">
        <v>37</v>
      </c>
      <c r="M1769" s="20">
        <f t="shared" si="55"/>
        <v>336000</v>
      </c>
      <c r="N1769" s="20">
        <f>'Working Sheet'!$J1769*'Working Sheet'!$K1769</f>
        <v>3780000</v>
      </c>
      <c r="O1769" s="21">
        <f>'Working Sheet'!$M1769*'Working Sheet'!$K1769</f>
        <v>3024000</v>
      </c>
      <c r="P1769" s="20">
        <f>'Working Sheet'!$N1769-'Working Sheet'!$O1769</f>
        <v>756000</v>
      </c>
    </row>
    <row r="1770" spans="1:16" ht="14.25" customHeight="1" x14ac:dyDescent="0.25">
      <c r="A1770" s="23" t="str">
        <f t="shared" ca="1" si="54"/>
        <v>ID_872</v>
      </c>
      <c r="B1770" s="22">
        <v>45677</v>
      </c>
      <c r="C1770" s="23" t="str">
        <f>TEXT('Working Sheet'!$B1770,"mmm")</f>
        <v>Jan</v>
      </c>
      <c r="D1770" s="23" t="s">
        <v>11</v>
      </c>
      <c r="E1770" s="23" t="s">
        <v>32</v>
      </c>
      <c r="F1770" s="23" t="s">
        <v>23</v>
      </c>
      <c r="G1770" s="23" t="s">
        <v>20</v>
      </c>
      <c r="H1770" s="23" t="s">
        <v>38</v>
      </c>
      <c r="I1770" s="23" t="s">
        <v>31</v>
      </c>
      <c r="J1770" s="24">
        <v>420000</v>
      </c>
      <c r="K1770" s="23">
        <v>9</v>
      </c>
      <c r="L1770" s="23" t="s">
        <v>39</v>
      </c>
      <c r="M1770" s="25">
        <f t="shared" si="55"/>
        <v>336000</v>
      </c>
      <c r="N1770" s="25">
        <f>'Working Sheet'!$J1770*'Working Sheet'!$K1770</f>
        <v>3780000</v>
      </c>
      <c r="O1770" s="26">
        <f>'Working Sheet'!$M1770*'Working Sheet'!$K1770</f>
        <v>3024000</v>
      </c>
      <c r="P1770" s="25">
        <f>'Working Sheet'!$N1770-'Working Sheet'!$O1770</f>
        <v>756000</v>
      </c>
    </row>
    <row r="1771" spans="1:16" ht="14.25" customHeight="1" x14ac:dyDescent="0.25">
      <c r="A1771" s="18" t="str">
        <f t="shared" ca="1" si="54"/>
        <v>ID_2016</v>
      </c>
      <c r="B1771" s="17">
        <v>45661</v>
      </c>
      <c r="C1771" s="18" t="str">
        <f>TEXT('Working Sheet'!$B1771,"mmm")</f>
        <v>Jan</v>
      </c>
      <c r="D1771" s="18" t="s">
        <v>11</v>
      </c>
      <c r="E1771" s="18" t="s">
        <v>32</v>
      </c>
      <c r="F1771" s="18" t="s">
        <v>13</v>
      </c>
      <c r="G1771" s="18" t="s">
        <v>20</v>
      </c>
      <c r="H1771" s="18" t="s">
        <v>15</v>
      </c>
      <c r="I1771" s="18" t="s">
        <v>16</v>
      </c>
      <c r="J1771" s="19">
        <v>85000</v>
      </c>
      <c r="K1771" s="18">
        <v>6</v>
      </c>
      <c r="L1771" s="18" t="s">
        <v>24</v>
      </c>
      <c r="M1771" s="20">
        <f t="shared" si="55"/>
        <v>68000</v>
      </c>
      <c r="N1771" s="20">
        <f>'Working Sheet'!$J1771*'Working Sheet'!$K1771</f>
        <v>510000</v>
      </c>
      <c r="O1771" s="21">
        <f>'Working Sheet'!$M1771*'Working Sheet'!$K1771</f>
        <v>408000</v>
      </c>
      <c r="P1771" s="20">
        <f>'Working Sheet'!$N1771-'Working Sheet'!$O1771</f>
        <v>102000</v>
      </c>
    </row>
    <row r="1772" spans="1:16" ht="14.25" customHeight="1" x14ac:dyDescent="0.25">
      <c r="A1772" s="23" t="str">
        <f t="shared" ca="1" si="54"/>
        <v>ID_694</v>
      </c>
      <c r="B1772" s="22">
        <v>45733</v>
      </c>
      <c r="C1772" s="23" t="str">
        <f>TEXT('Working Sheet'!$B1772,"mmm")</f>
        <v>Mar</v>
      </c>
      <c r="D1772" s="23" t="s">
        <v>29</v>
      </c>
      <c r="E1772" s="23" t="s">
        <v>32</v>
      </c>
      <c r="F1772" s="23" t="s">
        <v>23</v>
      </c>
      <c r="G1772" s="23" t="s">
        <v>14</v>
      </c>
      <c r="H1772" s="23" t="s">
        <v>34</v>
      </c>
      <c r="I1772" s="23" t="s">
        <v>16</v>
      </c>
      <c r="J1772" s="24">
        <v>320000</v>
      </c>
      <c r="K1772" s="23">
        <v>3</v>
      </c>
      <c r="L1772" s="23" t="s">
        <v>35</v>
      </c>
      <c r="M1772" s="25">
        <f t="shared" si="55"/>
        <v>256000</v>
      </c>
      <c r="N1772" s="25">
        <f>'Working Sheet'!$J1772*'Working Sheet'!$K1772</f>
        <v>960000</v>
      </c>
      <c r="O1772" s="26">
        <f>'Working Sheet'!$M1772*'Working Sheet'!$K1772</f>
        <v>768000</v>
      </c>
      <c r="P1772" s="25">
        <f>'Working Sheet'!$N1772-'Working Sheet'!$O1772</f>
        <v>192000</v>
      </c>
    </row>
    <row r="1773" spans="1:16" ht="14.25" customHeight="1" x14ac:dyDescent="0.25">
      <c r="A1773" s="18" t="str">
        <f t="shared" ca="1" si="54"/>
        <v>ID_1796</v>
      </c>
      <c r="B1773" s="17">
        <v>45694</v>
      </c>
      <c r="C1773" s="18" t="str">
        <f>TEXT('Working Sheet'!$B1773,"mmm")</f>
        <v>Feb</v>
      </c>
      <c r="D1773" s="18" t="s">
        <v>29</v>
      </c>
      <c r="E1773" s="18" t="s">
        <v>19</v>
      </c>
      <c r="F1773" s="18" t="s">
        <v>23</v>
      </c>
      <c r="G1773" s="18" t="s">
        <v>14</v>
      </c>
      <c r="H1773" s="18" t="s">
        <v>33</v>
      </c>
      <c r="I1773" s="18" t="s">
        <v>22</v>
      </c>
      <c r="J1773" s="19">
        <v>180000</v>
      </c>
      <c r="K1773" s="18">
        <v>8</v>
      </c>
      <c r="L1773" s="18" t="s">
        <v>28</v>
      </c>
      <c r="M1773" s="20">
        <f t="shared" si="55"/>
        <v>144000</v>
      </c>
      <c r="N1773" s="20">
        <f>'Working Sheet'!$J1773*'Working Sheet'!$K1773</f>
        <v>1440000</v>
      </c>
      <c r="O1773" s="21">
        <f>'Working Sheet'!$M1773*'Working Sheet'!$K1773</f>
        <v>1152000</v>
      </c>
      <c r="P1773" s="20">
        <f>'Working Sheet'!$N1773-'Working Sheet'!$O1773</f>
        <v>288000</v>
      </c>
    </row>
    <row r="1774" spans="1:16" ht="14.25" customHeight="1" x14ac:dyDescent="0.25">
      <c r="A1774" s="23" t="str">
        <f t="shared" ca="1" si="54"/>
        <v>ID_319</v>
      </c>
      <c r="B1774" s="22">
        <v>45668</v>
      </c>
      <c r="C1774" s="23" t="str">
        <f>TEXT('Working Sheet'!$B1774,"mmm")</f>
        <v>Jan</v>
      </c>
      <c r="D1774" s="23" t="s">
        <v>11</v>
      </c>
      <c r="E1774" s="23" t="s">
        <v>12</v>
      </c>
      <c r="F1774" s="23" t="s">
        <v>13</v>
      </c>
      <c r="G1774" s="23" t="s">
        <v>14</v>
      </c>
      <c r="H1774" s="23" t="s">
        <v>15</v>
      </c>
      <c r="I1774" s="23" t="s">
        <v>16</v>
      </c>
      <c r="J1774" s="24">
        <v>85000</v>
      </c>
      <c r="K1774" s="23">
        <v>6</v>
      </c>
      <c r="L1774" s="23" t="s">
        <v>35</v>
      </c>
      <c r="M1774" s="25">
        <f t="shared" si="55"/>
        <v>68000</v>
      </c>
      <c r="N1774" s="25">
        <f>'Working Sheet'!$J1774*'Working Sheet'!$K1774</f>
        <v>510000</v>
      </c>
      <c r="O1774" s="26">
        <f>'Working Sheet'!$M1774*'Working Sheet'!$K1774</f>
        <v>408000</v>
      </c>
      <c r="P1774" s="25">
        <f>'Working Sheet'!$N1774-'Working Sheet'!$O1774</f>
        <v>102000</v>
      </c>
    </row>
    <row r="1775" spans="1:16" ht="14.25" customHeight="1" x14ac:dyDescent="0.25">
      <c r="A1775" s="18" t="str">
        <f t="shared" ca="1" si="54"/>
        <v>ID_1370</v>
      </c>
      <c r="B1775" s="17">
        <v>45684</v>
      </c>
      <c r="C1775" s="18" t="str">
        <f>TEXT('Working Sheet'!$B1775,"mmm")</f>
        <v>Jan</v>
      </c>
      <c r="D1775" s="18" t="s">
        <v>11</v>
      </c>
      <c r="E1775" s="18" t="s">
        <v>32</v>
      </c>
      <c r="F1775" s="18" t="s">
        <v>13</v>
      </c>
      <c r="G1775" s="18" t="s">
        <v>14</v>
      </c>
      <c r="H1775" s="18" t="s">
        <v>30</v>
      </c>
      <c r="I1775" s="18" t="s">
        <v>31</v>
      </c>
      <c r="J1775" s="19">
        <v>300000</v>
      </c>
      <c r="K1775" s="18">
        <v>3</v>
      </c>
      <c r="L1775" s="18" t="s">
        <v>17</v>
      </c>
      <c r="M1775" s="20">
        <f t="shared" si="55"/>
        <v>240000</v>
      </c>
      <c r="N1775" s="20">
        <f>'Working Sheet'!$J1775*'Working Sheet'!$K1775</f>
        <v>900000</v>
      </c>
      <c r="O1775" s="21">
        <f>'Working Sheet'!$M1775*'Working Sheet'!$K1775</f>
        <v>720000</v>
      </c>
      <c r="P1775" s="20">
        <f>'Working Sheet'!$N1775-'Working Sheet'!$O1775</f>
        <v>180000</v>
      </c>
    </row>
    <row r="1776" spans="1:16" ht="14.25" customHeight="1" x14ac:dyDescent="0.25">
      <c r="A1776" s="23" t="str">
        <f t="shared" ca="1" si="54"/>
        <v>ID_1146</v>
      </c>
      <c r="B1776" s="22">
        <v>45730</v>
      </c>
      <c r="C1776" s="23" t="str">
        <f>TEXT('Working Sheet'!$B1776,"mmm")</f>
        <v>Mar</v>
      </c>
      <c r="D1776" s="23" t="s">
        <v>29</v>
      </c>
      <c r="E1776" s="23" t="s">
        <v>12</v>
      </c>
      <c r="F1776" s="23" t="s">
        <v>23</v>
      </c>
      <c r="G1776" s="23" t="s">
        <v>20</v>
      </c>
      <c r="H1776" s="23" t="s">
        <v>33</v>
      </c>
      <c r="I1776" s="23" t="s">
        <v>22</v>
      </c>
      <c r="J1776" s="24">
        <v>180000</v>
      </c>
      <c r="K1776" s="23">
        <v>1</v>
      </c>
      <c r="L1776" s="23" t="s">
        <v>28</v>
      </c>
      <c r="M1776" s="25">
        <f t="shared" si="55"/>
        <v>144000</v>
      </c>
      <c r="N1776" s="25">
        <f>'Working Sheet'!$J1776*'Working Sheet'!$K1776</f>
        <v>180000</v>
      </c>
      <c r="O1776" s="26">
        <f>'Working Sheet'!$M1776*'Working Sheet'!$K1776</f>
        <v>144000</v>
      </c>
      <c r="P1776" s="25">
        <f>'Working Sheet'!$N1776-'Working Sheet'!$O1776</f>
        <v>36000</v>
      </c>
    </row>
    <row r="1777" spans="1:16" ht="14.25" customHeight="1" x14ac:dyDescent="0.25">
      <c r="A1777" s="18" t="str">
        <f t="shared" ca="1" si="54"/>
        <v>ID_1073</v>
      </c>
      <c r="B1777" s="17">
        <v>45664</v>
      </c>
      <c r="C1777" s="18" t="str">
        <f>TEXT('Working Sheet'!$B1777,"mmm")</f>
        <v>Jan</v>
      </c>
      <c r="D1777" s="18" t="s">
        <v>18</v>
      </c>
      <c r="E1777" s="18" t="s">
        <v>26</v>
      </c>
      <c r="F1777" s="18" t="s">
        <v>13</v>
      </c>
      <c r="G1777" s="18" t="s">
        <v>14</v>
      </c>
      <c r="H1777" s="18" t="s">
        <v>41</v>
      </c>
      <c r="I1777" s="18" t="s">
        <v>22</v>
      </c>
      <c r="J1777" s="19">
        <v>220000</v>
      </c>
      <c r="K1777" s="18">
        <v>1</v>
      </c>
      <c r="L1777" s="18" t="s">
        <v>37</v>
      </c>
      <c r="M1777" s="20">
        <f t="shared" si="55"/>
        <v>176000</v>
      </c>
      <c r="N1777" s="20">
        <f>'Working Sheet'!$J1777*'Working Sheet'!$K1777</f>
        <v>220000</v>
      </c>
      <c r="O1777" s="21">
        <f>'Working Sheet'!$M1777*'Working Sheet'!$K1777</f>
        <v>176000</v>
      </c>
      <c r="P1777" s="20">
        <f>'Working Sheet'!$N1777-'Working Sheet'!$O1777</f>
        <v>44000</v>
      </c>
    </row>
    <row r="1778" spans="1:16" ht="14.25" customHeight="1" x14ac:dyDescent="0.25">
      <c r="A1778" s="23" t="str">
        <f t="shared" ca="1" si="54"/>
        <v>ID_572</v>
      </c>
      <c r="B1778" s="22">
        <v>45681</v>
      </c>
      <c r="C1778" s="23" t="str">
        <f>TEXT('Working Sheet'!$B1778,"mmm")</f>
        <v>Jan</v>
      </c>
      <c r="D1778" s="23" t="s">
        <v>25</v>
      </c>
      <c r="E1778" s="23" t="s">
        <v>32</v>
      </c>
      <c r="F1778" s="23" t="s">
        <v>13</v>
      </c>
      <c r="G1778" s="23" t="s">
        <v>20</v>
      </c>
      <c r="H1778" s="23" t="s">
        <v>21</v>
      </c>
      <c r="I1778" s="23" t="s">
        <v>22</v>
      </c>
      <c r="J1778" s="24">
        <v>30000</v>
      </c>
      <c r="K1778" s="23">
        <v>1</v>
      </c>
      <c r="L1778" s="23" t="s">
        <v>37</v>
      </c>
      <c r="M1778" s="25">
        <f t="shared" si="55"/>
        <v>24000</v>
      </c>
      <c r="N1778" s="25">
        <f>'Working Sheet'!$J1778*'Working Sheet'!$K1778</f>
        <v>30000</v>
      </c>
      <c r="O1778" s="26">
        <f>'Working Sheet'!$M1778*'Working Sheet'!$K1778</f>
        <v>24000</v>
      </c>
      <c r="P1778" s="25">
        <f>'Working Sheet'!$N1778-'Working Sheet'!$O1778</f>
        <v>6000</v>
      </c>
    </row>
    <row r="1779" spans="1:16" ht="14.25" customHeight="1" x14ac:dyDescent="0.25">
      <c r="A1779" s="18" t="str">
        <f t="shared" ca="1" si="54"/>
        <v>ID_427</v>
      </c>
      <c r="B1779" s="17">
        <v>45669</v>
      </c>
      <c r="C1779" s="18" t="str">
        <f>TEXT('Working Sheet'!$B1779,"mmm")</f>
        <v>Jan</v>
      </c>
      <c r="D1779" s="18" t="s">
        <v>18</v>
      </c>
      <c r="E1779" s="18" t="s">
        <v>12</v>
      </c>
      <c r="F1779" s="18" t="s">
        <v>23</v>
      </c>
      <c r="G1779" s="18" t="s">
        <v>20</v>
      </c>
      <c r="H1779" s="18" t="s">
        <v>27</v>
      </c>
      <c r="I1779" s="18" t="s">
        <v>22</v>
      </c>
      <c r="J1779" s="19">
        <v>60000</v>
      </c>
      <c r="K1779" s="18">
        <v>2</v>
      </c>
      <c r="L1779" s="18" t="s">
        <v>39</v>
      </c>
      <c r="M1779" s="20">
        <f t="shared" si="55"/>
        <v>48000</v>
      </c>
      <c r="N1779" s="20">
        <f>'Working Sheet'!$J1779*'Working Sheet'!$K1779</f>
        <v>120000</v>
      </c>
      <c r="O1779" s="21">
        <f>'Working Sheet'!$M1779*'Working Sheet'!$K1779</f>
        <v>96000</v>
      </c>
      <c r="P1779" s="20">
        <f>'Working Sheet'!$N1779-'Working Sheet'!$O1779</f>
        <v>24000</v>
      </c>
    </row>
    <row r="1780" spans="1:16" ht="14.25" customHeight="1" x14ac:dyDescent="0.25">
      <c r="A1780" s="23" t="str">
        <f t="shared" ca="1" si="54"/>
        <v>ID_791</v>
      </c>
      <c r="B1780" s="22">
        <v>45719</v>
      </c>
      <c r="C1780" s="23" t="str">
        <f>TEXT('Working Sheet'!$B1780,"mmm")</f>
        <v>Mar</v>
      </c>
      <c r="D1780" s="23" t="s">
        <v>11</v>
      </c>
      <c r="E1780" s="23" t="s">
        <v>19</v>
      </c>
      <c r="F1780" s="23" t="s">
        <v>13</v>
      </c>
      <c r="G1780" s="23" t="s">
        <v>20</v>
      </c>
      <c r="H1780" s="23" t="s">
        <v>40</v>
      </c>
      <c r="I1780" s="23" t="s">
        <v>31</v>
      </c>
      <c r="J1780" s="24">
        <v>250000</v>
      </c>
      <c r="K1780" s="23">
        <v>7</v>
      </c>
      <c r="L1780" s="23" t="s">
        <v>37</v>
      </c>
      <c r="M1780" s="25">
        <f t="shared" si="55"/>
        <v>200000</v>
      </c>
      <c r="N1780" s="25">
        <f>'Working Sheet'!$J1780*'Working Sheet'!$K1780</f>
        <v>1750000</v>
      </c>
      <c r="O1780" s="26">
        <f>'Working Sheet'!$M1780*'Working Sheet'!$K1780</f>
        <v>1400000</v>
      </c>
      <c r="P1780" s="25">
        <f>'Working Sheet'!$N1780-'Working Sheet'!$O1780</f>
        <v>350000</v>
      </c>
    </row>
    <row r="1781" spans="1:16" ht="14.25" customHeight="1" x14ac:dyDescent="0.25">
      <c r="A1781" s="18" t="str">
        <f t="shared" ca="1" si="54"/>
        <v>ID_1255</v>
      </c>
      <c r="B1781" s="17">
        <v>45682</v>
      </c>
      <c r="C1781" s="18" t="str">
        <f>TEXT('Working Sheet'!$B1781,"mmm")</f>
        <v>Jan</v>
      </c>
      <c r="D1781" s="18" t="s">
        <v>11</v>
      </c>
      <c r="E1781" s="18" t="s">
        <v>26</v>
      </c>
      <c r="F1781" s="18" t="s">
        <v>23</v>
      </c>
      <c r="G1781" s="18" t="s">
        <v>14</v>
      </c>
      <c r="H1781" s="18" t="s">
        <v>38</v>
      </c>
      <c r="I1781" s="18" t="s">
        <v>31</v>
      </c>
      <c r="J1781" s="19">
        <v>420000</v>
      </c>
      <c r="K1781" s="18">
        <v>10</v>
      </c>
      <c r="L1781" s="18" t="s">
        <v>28</v>
      </c>
      <c r="M1781" s="20">
        <f t="shared" si="55"/>
        <v>336000</v>
      </c>
      <c r="N1781" s="20">
        <f>'Working Sheet'!$J1781*'Working Sheet'!$K1781</f>
        <v>4200000</v>
      </c>
      <c r="O1781" s="21">
        <f>'Working Sheet'!$M1781*'Working Sheet'!$K1781</f>
        <v>3360000</v>
      </c>
      <c r="P1781" s="20">
        <f>'Working Sheet'!$N1781-'Working Sheet'!$O1781</f>
        <v>840000</v>
      </c>
    </row>
    <row r="1782" spans="1:16" ht="14.25" customHeight="1" x14ac:dyDescent="0.25">
      <c r="A1782" s="23" t="str">
        <f t="shared" ca="1" si="54"/>
        <v>ID_1708</v>
      </c>
      <c r="B1782" s="22">
        <v>45742</v>
      </c>
      <c r="C1782" s="23" t="str">
        <f>TEXT('Working Sheet'!$B1782,"mmm")</f>
        <v>Mar</v>
      </c>
      <c r="D1782" s="23" t="s">
        <v>11</v>
      </c>
      <c r="E1782" s="23" t="s">
        <v>12</v>
      </c>
      <c r="F1782" s="23" t="s">
        <v>23</v>
      </c>
      <c r="G1782" s="23" t="s">
        <v>14</v>
      </c>
      <c r="H1782" s="23" t="s">
        <v>34</v>
      </c>
      <c r="I1782" s="23" t="s">
        <v>16</v>
      </c>
      <c r="J1782" s="24">
        <v>320000</v>
      </c>
      <c r="K1782" s="23">
        <v>10</v>
      </c>
      <c r="L1782" s="23" t="s">
        <v>35</v>
      </c>
      <c r="M1782" s="25">
        <f t="shared" si="55"/>
        <v>256000</v>
      </c>
      <c r="N1782" s="25">
        <f>'Working Sheet'!$J1782*'Working Sheet'!$K1782</f>
        <v>3200000</v>
      </c>
      <c r="O1782" s="26">
        <f>'Working Sheet'!$M1782*'Working Sheet'!$K1782</f>
        <v>2560000</v>
      </c>
      <c r="P1782" s="25">
        <f>'Working Sheet'!$N1782-'Working Sheet'!$O1782</f>
        <v>640000</v>
      </c>
    </row>
    <row r="1783" spans="1:16" ht="14.25" customHeight="1" x14ac:dyDescent="0.25">
      <c r="A1783" s="18" t="str">
        <f t="shared" ca="1" si="54"/>
        <v>ID_1642</v>
      </c>
      <c r="B1783" s="17">
        <v>45670</v>
      </c>
      <c r="C1783" s="18" t="str">
        <f>TEXT('Working Sheet'!$B1783,"mmm")</f>
        <v>Jan</v>
      </c>
      <c r="D1783" s="18" t="s">
        <v>25</v>
      </c>
      <c r="E1783" s="18" t="s">
        <v>32</v>
      </c>
      <c r="F1783" s="18" t="s">
        <v>13</v>
      </c>
      <c r="G1783" s="18" t="s">
        <v>14</v>
      </c>
      <c r="H1783" s="18" t="s">
        <v>30</v>
      </c>
      <c r="I1783" s="18" t="s">
        <v>31</v>
      </c>
      <c r="J1783" s="19">
        <v>300000</v>
      </c>
      <c r="K1783" s="18">
        <v>1</v>
      </c>
      <c r="L1783" s="18" t="s">
        <v>28</v>
      </c>
      <c r="M1783" s="20">
        <f t="shared" si="55"/>
        <v>240000</v>
      </c>
      <c r="N1783" s="20">
        <f>'Working Sheet'!$J1783*'Working Sheet'!$K1783</f>
        <v>300000</v>
      </c>
      <c r="O1783" s="21">
        <f>'Working Sheet'!$M1783*'Working Sheet'!$K1783</f>
        <v>240000</v>
      </c>
      <c r="P1783" s="20">
        <f>'Working Sheet'!$N1783-'Working Sheet'!$O1783</f>
        <v>60000</v>
      </c>
    </row>
    <row r="1784" spans="1:16" ht="14.25" customHeight="1" x14ac:dyDescent="0.25">
      <c r="A1784" s="23" t="str">
        <f t="shared" ca="1" si="54"/>
        <v>ID_929</v>
      </c>
      <c r="B1784" s="22">
        <v>45726</v>
      </c>
      <c r="C1784" s="23" t="str">
        <f>TEXT('Working Sheet'!$B1784,"mmm")</f>
        <v>Mar</v>
      </c>
      <c r="D1784" s="23" t="s">
        <v>25</v>
      </c>
      <c r="E1784" s="23" t="s">
        <v>26</v>
      </c>
      <c r="F1784" s="23" t="s">
        <v>23</v>
      </c>
      <c r="G1784" s="23" t="s">
        <v>20</v>
      </c>
      <c r="H1784" s="23" t="s">
        <v>36</v>
      </c>
      <c r="I1784" s="23" t="s">
        <v>31</v>
      </c>
      <c r="J1784" s="24">
        <v>150000</v>
      </c>
      <c r="K1784" s="23">
        <v>3</v>
      </c>
      <c r="L1784" s="23" t="s">
        <v>24</v>
      </c>
      <c r="M1784" s="25">
        <f t="shared" si="55"/>
        <v>120000</v>
      </c>
      <c r="N1784" s="25">
        <f>'Working Sheet'!$J1784*'Working Sheet'!$K1784</f>
        <v>450000</v>
      </c>
      <c r="O1784" s="26">
        <f>'Working Sheet'!$M1784*'Working Sheet'!$K1784</f>
        <v>360000</v>
      </c>
      <c r="P1784" s="25">
        <f>'Working Sheet'!$N1784-'Working Sheet'!$O1784</f>
        <v>90000</v>
      </c>
    </row>
    <row r="1785" spans="1:16" ht="14.25" customHeight="1" x14ac:dyDescent="0.25">
      <c r="A1785" s="18" t="str">
        <f t="shared" ca="1" si="54"/>
        <v>ID_754</v>
      </c>
      <c r="B1785" s="17">
        <v>45671</v>
      </c>
      <c r="C1785" s="18" t="str">
        <f>TEXT('Working Sheet'!$B1785,"mmm")</f>
        <v>Jan</v>
      </c>
      <c r="D1785" s="18" t="s">
        <v>11</v>
      </c>
      <c r="E1785" s="18" t="s">
        <v>26</v>
      </c>
      <c r="F1785" s="18" t="s">
        <v>23</v>
      </c>
      <c r="G1785" s="18" t="s">
        <v>14</v>
      </c>
      <c r="H1785" s="18" t="s">
        <v>40</v>
      </c>
      <c r="I1785" s="18" t="s">
        <v>31</v>
      </c>
      <c r="J1785" s="19">
        <v>250000</v>
      </c>
      <c r="K1785" s="18">
        <v>3</v>
      </c>
      <c r="L1785" s="18" t="s">
        <v>37</v>
      </c>
      <c r="M1785" s="20">
        <f t="shared" si="55"/>
        <v>200000</v>
      </c>
      <c r="N1785" s="20">
        <f>'Working Sheet'!$J1785*'Working Sheet'!$K1785</f>
        <v>750000</v>
      </c>
      <c r="O1785" s="21">
        <f>'Working Sheet'!$M1785*'Working Sheet'!$K1785</f>
        <v>600000</v>
      </c>
      <c r="P1785" s="20">
        <f>'Working Sheet'!$N1785-'Working Sheet'!$O1785</f>
        <v>150000</v>
      </c>
    </row>
    <row r="1786" spans="1:16" ht="14.25" customHeight="1" x14ac:dyDescent="0.25">
      <c r="A1786" s="23" t="str">
        <f t="shared" ca="1" si="54"/>
        <v>ID_530</v>
      </c>
      <c r="B1786" s="22">
        <v>45677</v>
      </c>
      <c r="C1786" s="23" t="str">
        <f>TEXT('Working Sheet'!$B1786,"mmm")</f>
        <v>Jan</v>
      </c>
      <c r="D1786" s="23" t="s">
        <v>29</v>
      </c>
      <c r="E1786" s="23" t="s">
        <v>19</v>
      </c>
      <c r="F1786" s="23" t="s">
        <v>13</v>
      </c>
      <c r="G1786" s="23" t="s">
        <v>20</v>
      </c>
      <c r="H1786" s="23" t="s">
        <v>38</v>
      </c>
      <c r="I1786" s="23" t="s">
        <v>31</v>
      </c>
      <c r="J1786" s="24">
        <v>420000</v>
      </c>
      <c r="K1786" s="23">
        <v>4</v>
      </c>
      <c r="L1786" s="23" t="s">
        <v>24</v>
      </c>
      <c r="M1786" s="25">
        <f t="shared" si="55"/>
        <v>336000</v>
      </c>
      <c r="N1786" s="25">
        <f>'Working Sheet'!$J1786*'Working Sheet'!$K1786</f>
        <v>1680000</v>
      </c>
      <c r="O1786" s="26">
        <f>'Working Sheet'!$M1786*'Working Sheet'!$K1786</f>
        <v>1344000</v>
      </c>
      <c r="P1786" s="25">
        <f>'Working Sheet'!$N1786-'Working Sheet'!$O1786</f>
        <v>336000</v>
      </c>
    </row>
    <row r="1787" spans="1:16" ht="14.25" customHeight="1" x14ac:dyDescent="0.25">
      <c r="A1787" s="18" t="str">
        <f t="shared" ca="1" si="54"/>
        <v>ID_1263</v>
      </c>
      <c r="B1787" s="17">
        <v>45711</v>
      </c>
      <c r="C1787" s="18" t="str">
        <f>TEXT('Working Sheet'!$B1787,"mmm")</f>
        <v>Feb</v>
      </c>
      <c r="D1787" s="18" t="s">
        <v>29</v>
      </c>
      <c r="E1787" s="18" t="s">
        <v>19</v>
      </c>
      <c r="F1787" s="18" t="s">
        <v>23</v>
      </c>
      <c r="G1787" s="18" t="s">
        <v>14</v>
      </c>
      <c r="H1787" s="18" t="s">
        <v>33</v>
      </c>
      <c r="I1787" s="18" t="s">
        <v>22</v>
      </c>
      <c r="J1787" s="19">
        <v>180000</v>
      </c>
      <c r="K1787" s="18">
        <v>1</v>
      </c>
      <c r="L1787" s="18" t="s">
        <v>17</v>
      </c>
      <c r="M1787" s="20">
        <f t="shared" si="55"/>
        <v>144000</v>
      </c>
      <c r="N1787" s="20">
        <f>'Working Sheet'!$J1787*'Working Sheet'!$K1787</f>
        <v>180000</v>
      </c>
      <c r="O1787" s="21">
        <f>'Working Sheet'!$M1787*'Working Sheet'!$K1787</f>
        <v>144000</v>
      </c>
      <c r="P1787" s="20">
        <f>'Working Sheet'!$N1787-'Working Sheet'!$O1787</f>
        <v>36000</v>
      </c>
    </row>
    <row r="1788" spans="1:16" ht="14.25" customHeight="1" x14ac:dyDescent="0.25">
      <c r="A1788" s="23" t="str">
        <f t="shared" ca="1" si="54"/>
        <v>ID_443</v>
      </c>
      <c r="B1788" s="22">
        <v>45724</v>
      </c>
      <c r="C1788" s="23" t="str">
        <f>TEXT('Working Sheet'!$B1788,"mmm")</f>
        <v>Mar</v>
      </c>
      <c r="D1788" s="23" t="s">
        <v>29</v>
      </c>
      <c r="E1788" s="23" t="s">
        <v>12</v>
      </c>
      <c r="F1788" s="23" t="s">
        <v>23</v>
      </c>
      <c r="G1788" s="23" t="s">
        <v>20</v>
      </c>
      <c r="H1788" s="23" t="s">
        <v>36</v>
      </c>
      <c r="I1788" s="23" t="s">
        <v>31</v>
      </c>
      <c r="J1788" s="24">
        <v>150000</v>
      </c>
      <c r="K1788" s="23">
        <v>3</v>
      </c>
      <c r="L1788" s="23" t="s">
        <v>35</v>
      </c>
      <c r="M1788" s="25">
        <f t="shared" si="55"/>
        <v>120000</v>
      </c>
      <c r="N1788" s="25">
        <f>'Working Sheet'!$J1788*'Working Sheet'!$K1788</f>
        <v>450000</v>
      </c>
      <c r="O1788" s="26">
        <f>'Working Sheet'!$M1788*'Working Sheet'!$K1788</f>
        <v>360000</v>
      </c>
      <c r="P1788" s="25">
        <f>'Working Sheet'!$N1788-'Working Sheet'!$O1788</f>
        <v>90000</v>
      </c>
    </row>
    <row r="1789" spans="1:16" ht="14.25" customHeight="1" x14ac:dyDescent="0.25">
      <c r="A1789" s="18" t="str">
        <f t="shared" ca="1" si="54"/>
        <v>ID_742</v>
      </c>
      <c r="B1789" s="17">
        <v>45659</v>
      </c>
      <c r="C1789" s="18" t="str">
        <f>TEXT('Working Sheet'!$B1789,"mmm")</f>
        <v>Jan</v>
      </c>
      <c r="D1789" s="18" t="s">
        <v>25</v>
      </c>
      <c r="E1789" s="18" t="s">
        <v>32</v>
      </c>
      <c r="F1789" s="18" t="s">
        <v>23</v>
      </c>
      <c r="G1789" s="18" t="s">
        <v>14</v>
      </c>
      <c r="H1789" s="18" t="s">
        <v>41</v>
      </c>
      <c r="I1789" s="18" t="s">
        <v>22</v>
      </c>
      <c r="J1789" s="19">
        <v>220000</v>
      </c>
      <c r="K1789" s="18">
        <v>9</v>
      </c>
      <c r="L1789" s="18" t="s">
        <v>28</v>
      </c>
      <c r="M1789" s="20">
        <f t="shared" si="55"/>
        <v>176000</v>
      </c>
      <c r="N1789" s="20">
        <f>'Working Sheet'!$J1789*'Working Sheet'!$K1789</f>
        <v>1980000</v>
      </c>
      <c r="O1789" s="21">
        <f>'Working Sheet'!$M1789*'Working Sheet'!$K1789</f>
        <v>1584000</v>
      </c>
      <c r="P1789" s="20">
        <f>'Working Sheet'!$N1789-'Working Sheet'!$O1789</f>
        <v>396000</v>
      </c>
    </row>
    <row r="1790" spans="1:16" ht="14.25" customHeight="1" x14ac:dyDescent="0.25">
      <c r="A1790" s="23" t="str">
        <f t="shared" ca="1" si="54"/>
        <v>ID_218</v>
      </c>
      <c r="B1790" s="22">
        <v>45692</v>
      </c>
      <c r="C1790" s="23" t="str">
        <f>TEXT('Working Sheet'!$B1790,"mmm")</f>
        <v>Feb</v>
      </c>
      <c r="D1790" s="23" t="s">
        <v>29</v>
      </c>
      <c r="E1790" s="23" t="s">
        <v>26</v>
      </c>
      <c r="F1790" s="23" t="s">
        <v>23</v>
      </c>
      <c r="G1790" s="23" t="s">
        <v>14</v>
      </c>
      <c r="H1790" s="23" t="s">
        <v>38</v>
      </c>
      <c r="I1790" s="23" t="s">
        <v>31</v>
      </c>
      <c r="J1790" s="24">
        <v>420000</v>
      </c>
      <c r="K1790" s="23">
        <v>4</v>
      </c>
      <c r="L1790" s="23" t="s">
        <v>28</v>
      </c>
      <c r="M1790" s="25">
        <f t="shared" si="55"/>
        <v>336000</v>
      </c>
      <c r="N1790" s="25">
        <f>'Working Sheet'!$J1790*'Working Sheet'!$K1790</f>
        <v>1680000</v>
      </c>
      <c r="O1790" s="26">
        <f>'Working Sheet'!$M1790*'Working Sheet'!$K1790</f>
        <v>1344000</v>
      </c>
      <c r="P1790" s="25">
        <f>'Working Sheet'!$N1790-'Working Sheet'!$O1790</f>
        <v>336000</v>
      </c>
    </row>
    <row r="1791" spans="1:16" ht="14.25" customHeight="1" x14ac:dyDescent="0.25">
      <c r="A1791" s="18" t="str">
        <f t="shared" ca="1" si="54"/>
        <v>ID_964</v>
      </c>
      <c r="B1791" s="17">
        <v>45716</v>
      </c>
      <c r="C1791" s="18" t="str">
        <f>TEXT('Working Sheet'!$B1791,"mmm")</f>
        <v>Feb</v>
      </c>
      <c r="D1791" s="18" t="s">
        <v>29</v>
      </c>
      <c r="E1791" s="18" t="s">
        <v>26</v>
      </c>
      <c r="F1791" s="18" t="s">
        <v>23</v>
      </c>
      <c r="G1791" s="18" t="s">
        <v>20</v>
      </c>
      <c r="H1791" s="18" t="s">
        <v>30</v>
      </c>
      <c r="I1791" s="18" t="s">
        <v>31</v>
      </c>
      <c r="J1791" s="19">
        <v>300000</v>
      </c>
      <c r="K1791" s="18">
        <v>2</v>
      </c>
      <c r="L1791" s="18" t="s">
        <v>39</v>
      </c>
      <c r="M1791" s="20">
        <f t="shared" si="55"/>
        <v>240000</v>
      </c>
      <c r="N1791" s="20">
        <f>'Working Sheet'!$J1791*'Working Sheet'!$K1791</f>
        <v>600000</v>
      </c>
      <c r="O1791" s="21">
        <f>'Working Sheet'!$M1791*'Working Sheet'!$K1791</f>
        <v>480000</v>
      </c>
      <c r="P1791" s="20">
        <f>'Working Sheet'!$N1791-'Working Sheet'!$O1791</f>
        <v>120000</v>
      </c>
    </row>
    <row r="1792" spans="1:16" ht="14.25" customHeight="1" x14ac:dyDescent="0.25">
      <c r="A1792" s="23" t="str">
        <f t="shared" ca="1" si="54"/>
        <v>ID_734</v>
      </c>
      <c r="B1792" s="22">
        <v>45770</v>
      </c>
      <c r="C1792" s="23" t="str">
        <f>TEXT('Working Sheet'!$B1792,"mmm")</f>
        <v>Apr</v>
      </c>
      <c r="D1792" s="23" t="s">
        <v>18</v>
      </c>
      <c r="E1792" s="23" t="s">
        <v>19</v>
      </c>
      <c r="F1792" s="23" t="s">
        <v>23</v>
      </c>
      <c r="G1792" s="23" t="s">
        <v>20</v>
      </c>
      <c r="H1792" s="23" t="s">
        <v>15</v>
      </c>
      <c r="I1792" s="23" t="s">
        <v>16</v>
      </c>
      <c r="J1792" s="24">
        <v>85000</v>
      </c>
      <c r="K1792" s="23">
        <v>8</v>
      </c>
      <c r="L1792" s="23" t="s">
        <v>24</v>
      </c>
      <c r="M1792" s="25">
        <f t="shared" si="55"/>
        <v>68000</v>
      </c>
      <c r="N1792" s="25">
        <f>'Working Sheet'!$J1792*'Working Sheet'!$K1792</f>
        <v>680000</v>
      </c>
      <c r="O1792" s="26">
        <f>'Working Sheet'!$M1792*'Working Sheet'!$K1792</f>
        <v>544000</v>
      </c>
      <c r="P1792" s="25">
        <f>'Working Sheet'!$N1792-'Working Sheet'!$O1792</f>
        <v>136000</v>
      </c>
    </row>
    <row r="1793" spans="1:16" ht="14.25" customHeight="1" x14ac:dyDescent="0.25">
      <c r="A1793" s="18" t="str">
        <f t="shared" ca="1" si="54"/>
        <v>ID_271</v>
      </c>
      <c r="B1793" s="17">
        <v>45738</v>
      </c>
      <c r="C1793" s="18" t="str">
        <f>TEXT('Working Sheet'!$B1793,"mmm")</f>
        <v>Mar</v>
      </c>
      <c r="D1793" s="18" t="s">
        <v>25</v>
      </c>
      <c r="E1793" s="18" t="s">
        <v>32</v>
      </c>
      <c r="F1793" s="18" t="s">
        <v>13</v>
      </c>
      <c r="G1793" s="18" t="s">
        <v>20</v>
      </c>
      <c r="H1793" s="18" t="s">
        <v>41</v>
      </c>
      <c r="I1793" s="18" t="s">
        <v>22</v>
      </c>
      <c r="J1793" s="19">
        <v>220000</v>
      </c>
      <c r="K1793" s="18">
        <v>10</v>
      </c>
      <c r="L1793" s="18" t="s">
        <v>28</v>
      </c>
      <c r="M1793" s="20">
        <f t="shared" si="55"/>
        <v>176000</v>
      </c>
      <c r="N1793" s="20">
        <f>'Working Sheet'!$J1793*'Working Sheet'!$K1793</f>
        <v>2200000</v>
      </c>
      <c r="O1793" s="21">
        <f>'Working Sheet'!$M1793*'Working Sheet'!$K1793</f>
        <v>1760000</v>
      </c>
      <c r="P1793" s="20">
        <f>'Working Sheet'!$N1793-'Working Sheet'!$O1793</f>
        <v>440000</v>
      </c>
    </row>
    <row r="1794" spans="1:16" ht="14.25" customHeight="1" x14ac:dyDescent="0.25">
      <c r="A1794" s="23" t="str">
        <f t="shared" ref="A1794:A1857" ca="1" si="56">"ID_"&amp; RANDBETWEEN(1,2098)</f>
        <v>ID_1355</v>
      </c>
      <c r="B1794" s="22">
        <v>45665</v>
      </c>
      <c r="C1794" s="23" t="str">
        <f>TEXT('Working Sheet'!$B1794,"mmm")</f>
        <v>Jan</v>
      </c>
      <c r="D1794" s="23" t="s">
        <v>11</v>
      </c>
      <c r="E1794" s="23" t="s">
        <v>12</v>
      </c>
      <c r="F1794" s="23" t="s">
        <v>13</v>
      </c>
      <c r="G1794" s="23" t="s">
        <v>20</v>
      </c>
      <c r="H1794" s="23" t="s">
        <v>41</v>
      </c>
      <c r="I1794" s="23" t="s">
        <v>22</v>
      </c>
      <c r="J1794" s="24">
        <v>220000</v>
      </c>
      <c r="K1794" s="23">
        <v>7</v>
      </c>
      <c r="L1794" s="23" t="s">
        <v>28</v>
      </c>
      <c r="M1794" s="25">
        <f t="shared" ref="M1794:M1857" si="57">J1794-J1794*0.2</f>
        <v>176000</v>
      </c>
      <c r="N1794" s="25">
        <f>'Working Sheet'!$J1794*'Working Sheet'!$K1794</f>
        <v>1540000</v>
      </c>
      <c r="O1794" s="26">
        <f>'Working Sheet'!$M1794*'Working Sheet'!$K1794</f>
        <v>1232000</v>
      </c>
      <c r="P1794" s="25">
        <f>'Working Sheet'!$N1794-'Working Sheet'!$O1794</f>
        <v>308000</v>
      </c>
    </row>
    <row r="1795" spans="1:16" ht="14.25" customHeight="1" x14ac:dyDescent="0.25">
      <c r="A1795" s="18" t="str">
        <f t="shared" ca="1" si="56"/>
        <v>ID_473</v>
      </c>
      <c r="B1795" s="17">
        <v>45753</v>
      </c>
      <c r="C1795" s="18" t="str">
        <f>TEXT('Working Sheet'!$B1795,"mmm")</f>
        <v>Apr</v>
      </c>
      <c r="D1795" s="18" t="s">
        <v>18</v>
      </c>
      <c r="E1795" s="18" t="s">
        <v>26</v>
      </c>
      <c r="F1795" s="18" t="s">
        <v>13</v>
      </c>
      <c r="G1795" s="18" t="s">
        <v>20</v>
      </c>
      <c r="H1795" s="18" t="s">
        <v>34</v>
      </c>
      <c r="I1795" s="18" t="s">
        <v>16</v>
      </c>
      <c r="J1795" s="19">
        <v>320000</v>
      </c>
      <c r="K1795" s="18">
        <v>10</v>
      </c>
      <c r="L1795" s="18" t="s">
        <v>28</v>
      </c>
      <c r="M1795" s="20">
        <f t="shared" si="57"/>
        <v>256000</v>
      </c>
      <c r="N1795" s="20">
        <f>'Working Sheet'!$J1795*'Working Sheet'!$K1795</f>
        <v>3200000</v>
      </c>
      <c r="O1795" s="21">
        <f>'Working Sheet'!$M1795*'Working Sheet'!$K1795</f>
        <v>2560000</v>
      </c>
      <c r="P1795" s="20">
        <f>'Working Sheet'!$N1795-'Working Sheet'!$O1795</f>
        <v>640000</v>
      </c>
    </row>
    <row r="1796" spans="1:16" ht="14.25" customHeight="1" x14ac:dyDescent="0.25">
      <c r="A1796" s="23" t="str">
        <f t="shared" ca="1" si="56"/>
        <v>ID_1061</v>
      </c>
      <c r="B1796" s="22">
        <v>45695</v>
      </c>
      <c r="C1796" s="23" t="str">
        <f>TEXT('Working Sheet'!$B1796,"mmm")</f>
        <v>Feb</v>
      </c>
      <c r="D1796" s="23" t="s">
        <v>11</v>
      </c>
      <c r="E1796" s="23" t="s">
        <v>19</v>
      </c>
      <c r="F1796" s="23" t="s">
        <v>23</v>
      </c>
      <c r="G1796" s="23" t="s">
        <v>14</v>
      </c>
      <c r="H1796" s="23" t="s">
        <v>33</v>
      </c>
      <c r="I1796" s="23" t="s">
        <v>22</v>
      </c>
      <c r="J1796" s="24">
        <v>180000</v>
      </c>
      <c r="K1796" s="23">
        <v>9</v>
      </c>
      <c r="L1796" s="23" t="s">
        <v>37</v>
      </c>
      <c r="M1796" s="25">
        <f t="shared" si="57"/>
        <v>144000</v>
      </c>
      <c r="N1796" s="25">
        <f>'Working Sheet'!$J1796*'Working Sheet'!$K1796</f>
        <v>1620000</v>
      </c>
      <c r="O1796" s="26">
        <f>'Working Sheet'!$M1796*'Working Sheet'!$K1796</f>
        <v>1296000</v>
      </c>
      <c r="P1796" s="25">
        <f>'Working Sheet'!$N1796-'Working Sheet'!$O1796</f>
        <v>324000</v>
      </c>
    </row>
    <row r="1797" spans="1:16" ht="14.25" customHeight="1" x14ac:dyDescent="0.25">
      <c r="A1797" s="18" t="str">
        <f t="shared" ca="1" si="56"/>
        <v>ID_1432</v>
      </c>
      <c r="B1797" s="17">
        <v>45748</v>
      </c>
      <c r="C1797" s="18" t="str">
        <f>TEXT('Working Sheet'!$B1797,"mmm")</f>
        <v>Apr</v>
      </c>
      <c r="D1797" s="18" t="s">
        <v>29</v>
      </c>
      <c r="E1797" s="18" t="s">
        <v>26</v>
      </c>
      <c r="F1797" s="18" t="s">
        <v>23</v>
      </c>
      <c r="G1797" s="18" t="s">
        <v>14</v>
      </c>
      <c r="H1797" s="18" t="s">
        <v>27</v>
      </c>
      <c r="I1797" s="18" t="s">
        <v>22</v>
      </c>
      <c r="J1797" s="19">
        <v>60000</v>
      </c>
      <c r="K1797" s="18">
        <v>4</v>
      </c>
      <c r="L1797" s="18" t="s">
        <v>39</v>
      </c>
      <c r="M1797" s="20">
        <f t="shared" si="57"/>
        <v>48000</v>
      </c>
      <c r="N1797" s="20">
        <f>'Working Sheet'!$J1797*'Working Sheet'!$K1797</f>
        <v>240000</v>
      </c>
      <c r="O1797" s="21">
        <f>'Working Sheet'!$M1797*'Working Sheet'!$K1797</f>
        <v>192000</v>
      </c>
      <c r="P1797" s="20">
        <f>'Working Sheet'!$N1797-'Working Sheet'!$O1797</f>
        <v>48000</v>
      </c>
    </row>
    <row r="1798" spans="1:16" ht="14.25" customHeight="1" x14ac:dyDescent="0.25">
      <c r="A1798" s="23" t="str">
        <f t="shared" ca="1" si="56"/>
        <v>ID_2013</v>
      </c>
      <c r="B1798" s="22">
        <v>45713</v>
      </c>
      <c r="C1798" s="23" t="str">
        <f>TEXT('Working Sheet'!$B1798,"mmm")</f>
        <v>Feb</v>
      </c>
      <c r="D1798" s="23" t="s">
        <v>25</v>
      </c>
      <c r="E1798" s="23" t="s">
        <v>26</v>
      </c>
      <c r="F1798" s="23" t="s">
        <v>23</v>
      </c>
      <c r="G1798" s="23" t="s">
        <v>20</v>
      </c>
      <c r="H1798" s="23" t="s">
        <v>40</v>
      </c>
      <c r="I1798" s="23" t="s">
        <v>31</v>
      </c>
      <c r="J1798" s="24">
        <v>250000</v>
      </c>
      <c r="K1798" s="23">
        <v>10</v>
      </c>
      <c r="L1798" s="23" t="s">
        <v>39</v>
      </c>
      <c r="M1798" s="25">
        <f t="shared" si="57"/>
        <v>200000</v>
      </c>
      <c r="N1798" s="25">
        <f>'Working Sheet'!$J1798*'Working Sheet'!$K1798</f>
        <v>2500000</v>
      </c>
      <c r="O1798" s="26">
        <f>'Working Sheet'!$M1798*'Working Sheet'!$K1798</f>
        <v>2000000</v>
      </c>
      <c r="P1798" s="25">
        <f>'Working Sheet'!$N1798-'Working Sheet'!$O1798</f>
        <v>500000</v>
      </c>
    </row>
    <row r="1799" spans="1:16" ht="14.25" customHeight="1" x14ac:dyDescent="0.25">
      <c r="A1799" s="18" t="str">
        <f t="shared" ca="1" si="56"/>
        <v>ID_1556</v>
      </c>
      <c r="B1799" s="17">
        <v>45756</v>
      </c>
      <c r="C1799" s="18" t="str">
        <f>TEXT('Working Sheet'!$B1799,"mmm")</f>
        <v>Apr</v>
      </c>
      <c r="D1799" s="18" t="s">
        <v>29</v>
      </c>
      <c r="E1799" s="18" t="s">
        <v>26</v>
      </c>
      <c r="F1799" s="18" t="s">
        <v>23</v>
      </c>
      <c r="G1799" s="18" t="s">
        <v>14</v>
      </c>
      <c r="H1799" s="18" t="s">
        <v>34</v>
      </c>
      <c r="I1799" s="18" t="s">
        <v>16</v>
      </c>
      <c r="J1799" s="19">
        <v>320000</v>
      </c>
      <c r="K1799" s="18">
        <v>2</v>
      </c>
      <c r="L1799" s="18" t="s">
        <v>28</v>
      </c>
      <c r="M1799" s="20">
        <f t="shared" si="57"/>
        <v>256000</v>
      </c>
      <c r="N1799" s="20">
        <f>'Working Sheet'!$J1799*'Working Sheet'!$K1799</f>
        <v>640000</v>
      </c>
      <c r="O1799" s="21">
        <f>'Working Sheet'!$M1799*'Working Sheet'!$K1799</f>
        <v>512000</v>
      </c>
      <c r="P1799" s="20">
        <f>'Working Sheet'!$N1799-'Working Sheet'!$O1799</f>
        <v>128000</v>
      </c>
    </row>
    <row r="1800" spans="1:16" ht="14.25" customHeight="1" x14ac:dyDescent="0.25">
      <c r="A1800" s="23" t="str">
        <f t="shared" ca="1" si="56"/>
        <v>ID_1989</v>
      </c>
      <c r="B1800" s="22">
        <v>45741</v>
      </c>
      <c r="C1800" s="23" t="str">
        <f>TEXT('Working Sheet'!$B1800,"mmm")</f>
        <v>Mar</v>
      </c>
      <c r="D1800" s="23" t="s">
        <v>25</v>
      </c>
      <c r="E1800" s="23" t="s">
        <v>32</v>
      </c>
      <c r="F1800" s="23" t="s">
        <v>23</v>
      </c>
      <c r="G1800" s="23" t="s">
        <v>20</v>
      </c>
      <c r="H1800" s="23" t="s">
        <v>38</v>
      </c>
      <c r="I1800" s="23" t="s">
        <v>31</v>
      </c>
      <c r="J1800" s="24">
        <v>420000</v>
      </c>
      <c r="K1800" s="23">
        <v>7</v>
      </c>
      <c r="L1800" s="23" t="s">
        <v>35</v>
      </c>
      <c r="M1800" s="25">
        <f t="shared" si="57"/>
        <v>336000</v>
      </c>
      <c r="N1800" s="25">
        <f>'Working Sheet'!$J1800*'Working Sheet'!$K1800</f>
        <v>2940000</v>
      </c>
      <c r="O1800" s="26">
        <f>'Working Sheet'!$M1800*'Working Sheet'!$K1800</f>
        <v>2352000</v>
      </c>
      <c r="P1800" s="25">
        <f>'Working Sheet'!$N1800-'Working Sheet'!$O1800</f>
        <v>588000</v>
      </c>
    </row>
    <row r="1801" spans="1:16" ht="14.25" customHeight="1" x14ac:dyDescent="0.25">
      <c r="A1801" s="18" t="str">
        <f t="shared" ca="1" si="56"/>
        <v>ID_647</v>
      </c>
      <c r="B1801" s="17">
        <v>45661</v>
      </c>
      <c r="C1801" s="18" t="str">
        <f>TEXT('Working Sheet'!$B1801,"mmm")</f>
        <v>Jan</v>
      </c>
      <c r="D1801" s="18" t="s">
        <v>29</v>
      </c>
      <c r="E1801" s="18" t="s">
        <v>26</v>
      </c>
      <c r="F1801" s="18" t="s">
        <v>23</v>
      </c>
      <c r="G1801" s="18" t="s">
        <v>20</v>
      </c>
      <c r="H1801" s="18" t="s">
        <v>30</v>
      </c>
      <c r="I1801" s="18" t="s">
        <v>31</v>
      </c>
      <c r="J1801" s="19">
        <v>300000</v>
      </c>
      <c r="K1801" s="18">
        <v>5</v>
      </c>
      <c r="L1801" s="18" t="s">
        <v>35</v>
      </c>
      <c r="M1801" s="20">
        <f t="shared" si="57"/>
        <v>240000</v>
      </c>
      <c r="N1801" s="20">
        <f>'Working Sheet'!$J1801*'Working Sheet'!$K1801</f>
        <v>1500000</v>
      </c>
      <c r="O1801" s="21">
        <f>'Working Sheet'!$M1801*'Working Sheet'!$K1801</f>
        <v>1200000</v>
      </c>
      <c r="P1801" s="20">
        <f>'Working Sheet'!$N1801-'Working Sheet'!$O1801</f>
        <v>300000</v>
      </c>
    </row>
    <row r="1802" spans="1:16" ht="14.25" customHeight="1" x14ac:dyDescent="0.25">
      <c r="A1802" s="23" t="str">
        <f t="shared" ca="1" si="56"/>
        <v>ID_167</v>
      </c>
      <c r="B1802" s="22">
        <v>45751</v>
      </c>
      <c r="C1802" s="23" t="str">
        <f>TEXT('Working Sheet'!$B1802,"mmm")</f>
        <v>Apr</v>
      </c>
      <c r="D1802" s="23" t="s">
        <v>25</v>
      </c>
      <c r="E1802" s="23" t="s">
        <v>12</v>
      </c>
      <c r="F1802" s="23" t="s">
        <v>23</v>
      </c>
      <c r="G1802" s="23" t="s">
        <v>20</v>
      </c>
      <c r="H1802" s="23" t="s">
        <v>27</v>
      </c>
      <c r="I1802" s="23" t="s">
        <v>22</v>
      </c>
      <c r="J1802" s="24">
        <v>60000</v>
      </c>
      <c r="K1802" s="23">
        <v>5</v>
      </c>
      <c r="L1802" s="23" t="s">
        <v>37</v>
      </c>
      <c r="M1802" s="25">
        <f t="shared" si="57"/>
        <v>48000</v>
      </c>
      <c r="N1802" s="25">
        <f>'Working Sheet'!$J1802*'Working Sheet'!$K1802</f>
        <v>300000</v>
      </c>
      <c r="O1802" s="26">
        <f>'Working Sheet'!$M1802*'Working Sheet'!$K1802</f>
        <v>240000</v>
      </c>
      <c r="P1802" s="25">
        <f>'Working Sheet'!$N1802-'Working Sheet'!$O1802</f>
        <v>60000</v>
      </c>
    </row>
    <row r="1803" spans="1:16" ht="14.25" customHeight="1" x14ac:dyDescent="0.25">
      <c r="A1803" s="18" t="str">
        <f t="shared" ca="1" si="56"/>
        <v>ID_2064</v>
      </c>
      <c r="B1803" s="17">
        <v>45727</v>
      </c>
      <c r="C1803" s="18" t="str">
        <f>TEXT('Working Sheet'!$B1803,"mmm")</f>
        <v>Mar</v>
      </c>
      <c r="D1803" s="18" t="s">
        <v>18</v>
      </c>
      <c r="E1803" s="18" t="s">
        <v>12</v>
      </c>
      <c r="F1803" s="18" t="s">
        <v>13</v>
      </c>
      <c r="G1803" s="18" t="s">
        <v>20</v>
      </c>
      <c r="H1803" s="18" t="s">
        <v>38</v>
      </c>
      <c r="I1803" s="18" t="s">
        <v>31</v>
      </c>
      <c r="J1803" s="19">
        <v>420000</v>
      </c>
      <c r="K1803" s="18">
        <v>9</v>
      </c>
      <c r="L1803" s="18" t="s">
        <v>28</v>
      </c>
      <c r="M1803" s="20">
        <f t="shared" si="57"/>
        <v>336000</v>
      </c>
      <c r="N1803" s="20">
        <f>'Working Sheet'!$J1803*'Working Sheet'!$K1803</f>
        <v>3780000</v>
      </c>
      <c r="O1803" s="21">
        <f>'Working Sheet'!$M1803*'Working Sheet'!$K1803</f>
        <v>3024000</v>
      </c>
      <c r="P1803" s="20">
        <f>'Working Sheet'!$N1803-'Working Sheet'!$O1803</f>
        <v>756000</v>
      </c>
    </row>
    <row r="1804" spans="1:16" ht="14.25" customHeight="1" x14ac:dyDescent="0.25">
      <c r="A1804" s="23" t="str">
        <f t="shared" ca="1" si="56"/>
        <v>ID_1169</v>
      </c>
      <c r="B1804" s="22">
        <v>45668</v>
      </c>
      <c r="C1804" s="23" t="str">
        <f>TEXT('Working Sheet'!$B1804,"mmm")</f>
        <v>Jan</v>
      </c>
      <c r="D1804" s="23" t="s">
        <v>25</v>
      </c>
      <c r="E1804" s="23" t="s">
        <v>12</v>
      </c>
      <c r="F1804" s="23" t="s">
        <v>13</v>
      </c>
      <c r="G1804" s="23" t="s">
        <v>20</v>
      </c>
      <c r="H1804" s="23" t="s">
        <v>40</v>
      </c>
      <c r="I1804" s="23" t="s">
        <v>31</v>
      </c>
      <c r="J1804" s="24">
        <v>250000</v>
      </c>
      <c r="K1804" s="23">
        <v>9</v>
      </c>
      <c r="L1804" s="23" t="s">
        <v>39</v>
      </c>
      <c r="M1804" s="25">
        <f t="shared" si="57"/>
        <v>200000</v>
      </c>
      <c r="N1804" s="25">
        <f>'Working Sheet'!$J1804*'Working Sheet'!$K1804</f>
        <v>2250000</v>
      </c>
      <c r="O1804" s="26">
        <f>'Working Sheet'!$M1804*'Working Sheet'!$K1804</f>
        <v>1800000</v>
      </c>
      <c r="P1804" s="25">
        <f>'Working Sheet'!$N1804-'Working Sheet'!$O1804</f>
        <v>450000</v>
      </c>
    </row>
    <row r="1805" spans="1:16" ht="14.25" customHeight="1" x14ac:dyDescent="0.25">
      <c r="A1805" s="18" t="str">
        <f t="shared" ca="1" si="56"/>
        <v>ID_881</v>
      </c>
      <c r="B1805" s="17">
        <v>45705</v>
      </c>
      <c r="C1805" s="18" t="str">
        <f>TEXT('Working Sheet'!$B1805,"mmm")</f>
        <v>Feb</v>
      </c>
      <c r="D1805" s="18" t="s">
        <v>11</v>
      </c>
      <c r="E1805" s="18" t="s">
        <v>32</v>
      </c>
      <c r="F1805" s="18" t="s">
        <v>13</v>
      </c>
      <c r="G1805" s="18" t="s">
        <v>20</v>
      </c>
      <c r="H1805" s="18" t="s">
        <v>41</v>
      </c>
      <c r="I1805" s="18" t="s">
        <v>22</v>
      </c>
      <c r="J1805" s="19">
        <v>220000</v>
      </c>
      <c r="K1805" s="18">
        <v>1</v>
      </c>
      <c r="L1805" s="18" t="s">
        <v>39</v>
      </c>
      <c r="M1805" s="20">
        <f t="shared" si="57"/>
        <v>176000</v>
      </c>
      <c r="N1805" s="20">
        <f>'Working Sheet'!$J1805*'Working Sheet'!$K1805</f>
        <v>220000</v>
      </c>
      <c r="O1805" s="21">
        <f>'Working Sheet'!$M1805*'Working Sheet'!$K1805</f>
        <v>176000</v>
      </c>
      <c r="P1805" s="20">
        <f>'Working Sheet'!$N1805-'Working Sheet'!$O1805</f>
        <v>44000</v>
      </c>
    </row>
    <row r="1806" spans="1:16" ht="14.25" customHeight="1" x14ac:dyDescent="0.25">
      <c r="A1806" s="23" t="str">
        <f t="shared" ca="1" si="56"/>
        <v>ID_898</v>
      </c>
      <c r="B1806" s="22">
        <v>45676</v>
      </c>
      <c r="C1806" s="23" t="str">
        <f>TEXT('Working Sheet'!$B1806,"mmm")</f>
        <v>Jan</v>
      </c>
      <c r="D1806" s="23" t="s">
        <v>11</v>
      </c>
      <c r="E1806" s="23" t="s">
        <v>19</v>
      </c>
      <c r="F1806" s="23" t="s">
        <v>13</v>
      </c>
      <c r="G1806" s="23" t="s">
        <v>20</v>
      </c>
      <c r="H1806" s="23" t="s">
        <v>41</v>
      </c>
      <c r="I1806" s="23" t="s">
        <v>22</v>
      </c>
      <c r="J1806" s="24">
        <v>220000</v>
      </c>
      <c r="K1806" s="23">
        <v>3</v>
      </c>
      <c r="L1806" s="23" t="s">
        <v>39</v>
      </c>
      <c r="M1806" s="25">
        <f t="shared" si="57"/>
        <v>176000</v>
      </c>
      <c r="N1806" s="25">
        <f>'Working Sheet'!$J1806*'Working Sheet'!$K1806</f>
        <v>660000</v>
      </c>
      <c r="O1806" s="26">
        <f>'Working Sheet'!$M1806*'Working Sheet'!$K1806</f>
        <v>528000</v>
      </c>
      <c r="P1806" s="25">
        <f>'Working Sheet'!$N1806-'Working Sheet'!$O1806</f>
        <v>132000</v>
      </c>
    </row>
    <row r="1807" spans="1:16" ht="14.25" customHeight="1" x14ac:dyDescent="0.25">
      <c r="A1807" s="18" t="str">
        <f t="shared" ca="1" si="56"/>
        <v>ID_782</v>
      </c>
      <c r="B1807" s="17">
        <v>45726</v>
      </c>
      <c r="C1807" s="18" t="str">
        <f>TEXT('Working Sheet'!$B1807,"mmm")</f>
        <v>Mar</v>
      </c>
      <c r="D1807" s="18" t="s">
        <v>11</v>
      </c>
      <c r="E1807" s="18" t="s">
        <v>19</v>
      </c>
      <c r="F1807" s="18" t="s">
        <v>23</v>
      </c>
      <c r="G1807" s="18" t="s">
        <v>20</v>
      </c>
      <c r="H1807" s="18" t="s">
        <v>40</v>
      </c>
      <c r="I1807" s="18" t="s">
        <v>31</v>
      </c>
      <c r="J1807" s="19">
        <v>250000</v>
      </c>
      <c r="K1807" s="18">
        <v>8</v>
      </c>
      <c r="L1807" s="18" t="s">
        <v>28</v>
      </c>
      <c r="M1807" s="20">
        <f t="shared" si="57"/>
        <v>200000</v>
      </c>
      <c r="N1807" s="20">
        <f>'Working Sheet'!$J1807*'Working Sheet'!$K1807</f>
        <v>2000000</v>
      </c>
      <c r="O1807" s="21">
        <f>'Working Sheet'!$M1807*'Working Sheet'!$K1807</f>
        <v>1600000</v>
      </c>
      <c r="P1807" s="20">
        <f>'Working Sheet'!$N1807-'Working Sheet'!$O1807</f>
        <v>400000</v>
      </c>
    </row>
    <row r="1808" spans="1:16" ht="14.25" customHeight="1" x14ac:dyDescent="0.25">
      <c r="A1808" s="23" t="str">
        <f t="shared" ca="1" si="56"/>
        <v>ID_1607</v>
      </c>
      <c r="B1808" s="22">
        <v>45755</v>
      </c>
      <c r="C1808" s="23" t="str">
        <f>TEXT('Working Sheet'!$B1808,"mmm")</f>
        <v>Apr</v>
      </c>
      <c r="D1808" s="23" t="s">
        <v>11</v>
      </c>
      <c r="E1808" s="23" t="s">
        <v>26</v>
      </c>
      <c r="F1808" s="23" t="s">
        <v>13</v>
      </c>
      <c r="G1808" s="23" t="s">
        <v>20</v>
      </c>
      <c r="H1808" s="23" t="s">
        <v>21</v>
      </c>
      <c r="I1808" s="23" t="s">
        <v>22</v>
      </c>
      <c r="J1808" s="24">
        <v>30000</v>
      </c>
      <c r="K1808" s="23">
        <v>1</v>
      </c>
      <c r="L1808" s="23" t="s">
        <v>35</v>
      </c>
      <c r="M1808" s="25">
        <f t="shared" si="57"/>
        <v>24000</v>
      </c>
      <c r="N1808" s="25">
        <f>'Working Sheet'!$J1808*'Working Sheet'!$K1808</f>
        <v>30000</v>
      </c>
      <c r="O1808" s="26">
        <f>'Working Sheet'!$M1808*'Working Sheet'!$K1808</f>
        <v>24000</v>
      </c>
      <c r="P1808" s="25">
        <f>'Working Sheet'!$N1808-'Working Sheet'!$O1808</f>
        <v>6000</v>
      </c>
    </row>
    <row r="1809" spans="1:16" ht="14.25" customHeight="1" x14ac:dyDescent="0.25">
      <c r="A1809" s="18" t="str">
        <f t="shared" ca="1" si="56"/>
        <v>ID_1378</v>
      </c>
      <c r="B1809" s="17">
        <v>45660</v>
      </c>
      <c r="C1809" s="18" t="str">
        <f>TEXT('Working Sheet'!$B1809,"mmm")</f>
        <v>Jan</v>
      </c>
      <c r="D1809" s="18" t="s">
        <v>11</v>
      </c>
      <c r="E1809" s="18" t="s">
        <v>32</v>
      </c>
      <c r="F1809" s="18" t="s">
        <v>23</v>
      </c>
      <c r="G1809" s="18" t="s">
        <v>20</v>
      </c>
      <c r="H1809" s="18" t="s">
        <v>21</v>
      </c>
      <c r="I1809" s="18" t="s">
        <v>22</v>
      </c>
      <c r="J1809" s="19">
        <v>30000</v>
      </c>
      <c r="K1809" s="18">
        <v>1</v>
      </c>
      <c r="L1809" s="18" t="s">
        <v>37</v>
      </c>
      <c r="M1809" s="20">
        <f t="shared" si="57"/>
        <v>24000</v>
      </c>
      <c r="N1809" s="20">
        <f>'Working Sheet'!$J1809*'Working Sheet'!$K1809</f>
        <v>30000</v>
      </c>
      <c r="O1809" s="21">
        <f>'Working Sheet'!$M1809*'Working Sheet'!$K1809</f>
        <v>24000</v>
      </c>
      <c r="P1809" s="20">
        <f>'Working Sheet'!$N1809-'Working Sheet'!$O1809</f>
        <v>6000</v>
      </c>
    </row>
    <row r="1810" spans="1:16" ht="14.25" customHeight="1" x14ac:dyDescent="0.25">
      <c r="A1810" s="23" t="str">
        <f t="shared" ca="1" si="56"/>
        <v>ID_1249</v>
      </c>
      <c r="B1810" s="22">
        <v>45712</v>
      </c>
      <c r="C1810" s="23" t="str">
        <f>TEXT('Working Sheet'!$B1810,"mmm")</f>
        <v>Feb</v>
      </c>
      <c r="D1810" s="23" t="s">
        <v>29</v>
      </c>
      <c r="E1810" s="23" t="s">
        <v>26</v>
      </c>
      <c r="F1810" s="23" t="s">
        <v>13</v>
      </c>
      <c r="G1810" s="23" t="s">
        <v>20</v>
      </c>
      <c r="H1810" s="23" t="s">
        <v>21</v>
      </c>
      <c r="I1810" s="23" t="s">
        <v>22</v>
      </c>
      <c r="J1810" s="24">
        <v>30000</v>
      </c>
      <c r="K1810" s="23">
        <v>8</v>
      </c>
      <c r="L1810" s="23" t="s">
        <v>17</v>
      </c>
      <c r="M1810" s="25">
        <f t="shared" si="57"/>
        <v>24000</v>
      </c>
      <c r="N1810" s="25">
        <f>'Working Sheet'!$J1810*'Working Sheet'!$K1810</f>
        <v>240000</v>
      </c>
      <c r="O1810" s="26">
        <f>'Working Sheet'!$M1810*'Working Sheet'!$K1810</f>
        <v>192000</v>
      </c>
      <c r="P1810" s="25">
        <f>'Working Sheet'!$N1810-'Working Sheet'!$O1810</f>
        <v>48000</v>
      </c>
    </row>
    <row r="1811" spans="1:16" ht="14.25" customHeight="1" x14ac:dyDescent="0.25">
      <c r="A1811" s="18" t="str">
        <f t="shared" ca="1" si="56"/>
        <v>ID_1924</v>
      </c>
      <c r="B1811" s="17">
        <v>45726</v>
      </c>
      <c r="C1811" s="18" t="str">
        <f>TEXT('Working Sheet'!$B1811,"mmm")</f>
        <v>Mar</v>
      </c>
      <c r="D1811" s="18" t="s">
        <v>11</v>
      </c>
      <c r="E1811" s="18" t="s">
        <v>12</v>
      </c>
      <c r="F1811" s="18" t="s">
        <v>13</v>
      </c>
      <c r="G1811" s="18" t="s">
        <v>20</v>
      </c>
      <c r="H1811" s="18" t="s">
        <v>27</v>
      </c>
      <c r="I1811" s="18" t="s">
        <v>22</v>
      </c>
      <c r="J1811" s="19">
        <v>60000</v>
      </c>
      <c r="K1811" s="18">
        <v>6</v>
      </c>
      <c r="L1811" s="18" t="s">
        <v>35</v>
      </c>
      <c r="M1811" s="20">
        <f t="shared" si="57"/>
        <v>48000</v>
      </c>
      <c r="N1811" s="20">
        <f>'Working Sheet'!$J1811*'Working Sheet'!$K1811</f>
        <v>360000</v>
      </c>
      <c r="O1811" s="21">
        <f>'Working Sheet'!$M1811*'Working Sheet'!$K1811</f>
        <v>288000</v>
      </c>
      <c r="P1811" s="20">
        <f>'Working Sheet'!$N1811-'Working Sheet'!$O1811</f>
        <v>72000</v>
      </c>
    </row>
    <row r="1812" spans="1:16" ht="14.25" customHeight="1" x14ac:dyDescent="0.25">
      <c r="A1812" s="23" t="str">
        <f t="shared" ca="1" si="56"/>
        <v>ID_95</v>
      </c>
      <c r="B1812" s="22">
        <v>45674</v>
      </c>
      <c r="C1812" s="23" t="str">
        <f>TEXT('Working Sheet'!$B1812,"mmm")</f>
        <v>Jan</v>
      </c>
      <c r="D1812" s="23" t="s">
        <v>11</v>
      </c>
      <c r="E1812" s="23" t="s">
        <v>12</v>
      </c>
      <c r="F1812" s="23" t="s">
        <v>23</v>
      </c>
      <c r="G1812" s="23" t="s">
        <v>20</v>
      </c>
      <c r="H1812" s="23" t="s">
        <v>40</v>
      </c>
      <c r="I1812" s="23" t="s">
        <v>31</v>
      </c>
      <c r="J1812" s="24">
        <v>250000</v>
      </c>
      <c r="K1812" s="23">
        <v>5</v>
      </c>
      <c r="L1812" s="23" t="s">
        <v>24</v>
      </c>
      <c r="M1812" s="25">
        <f t="shared" si="57"/>
        <v>200000</v>
      </c>
      <c r="N1812" s="25">
        <f>'Working Sheet'!$J1812*'Working Sheet'!$K1812</f>
        <v>1250000</v>
      </c>
      <c r="O1812" s="26">
        <f>'Working Sheet'!$M1812*'Working Sheet'!$K1812</f>
        <v>1000000</v>
      </c>
      <c r="P1812" s="25">
        <f>'Working Sheet'!$N1812-'Working Sheet'!$O1812</f>
        <v>250000</v>
      </c>
    </row>
    <row r="1813" spans="1:16" ht="14.25" customHeight="1" x14ac:dyDescent="0.25">
      <c r="A1813" s="18" t="str">
        <f t="shared" ca="1" si="56"/>
        <v>ID_1925</v>
      </c>
      <c r="B1813" s="17">
        <v>45682</v>
      </c>
      <c r="C1813" s="18" t="str">
        <f>TEXT('Working Sheet'!$B1813,"mmm")</f>
        <v>Jan</v>
      </c>
      <c r="D1813" s="18" t="s">
        <v>25</v>
      </c>
      <c r="E1813" s="18" t="s">
        <v>32</v>
      </c>
      <c r="F1813" s="18" t="s">
        <v>13</v>
      </c>
      <c r="G1813" s="18" t="s">
        <v>20</v>
      </c>
      <c r="H1813" s="18" t="s">
        <v>21</v>
      </c>
      <c r="I1813" s="18" t="s">
        <v>22</v>
      </c>
      <c r="J1813" s="19">
        <v>30000</v>
      </c>
      <c r="K1813" s="18">
        <v>1</v>
      </c>
      <c r="L1813" s="18" t="s">
        <v>37</v>
      </c>
      <c r="M1813" s="20">
        <f t="shared" si="57"/>
        <v>24000</v>
      </c>
      <c r="N1813" s="20">
        <f>'Working Sheet'!$J1813*'Working Sheet'!$K1813</f>
        <v>30000</v>
      </c>
      <c r="O1813" s="21">
        <f>'Working Sheet'!$M1813*'Working Sheet'!$K1813</f>
        <v>24000</v>
      </c>
      <c r="P1813" s="20">
        <f>'Working Sheet'!$N1813-'Working Sheet'!$O1813</f>
        <v>6000</v>
      </c>
    </row>
    <row r="1814" spans="1:16" ht="14.25" customHeight="1" x14ac:dyDescent="0.25">
      <c r="A1814" s="23" t="str">
        <f t="shared" ca="1" si="56"/>
        <v>ID_46</v>
      </c>
      <c r="B1814" s="22">
        <v>45749</v>
      </c>
      <c r="C1814" s="23" t="str">
        <f>TEXT('Working Sheet'!$B1814,"mmm")</f>
        <v>Apr</v>
      </c>
      <c r="D1814" s="23" t="s">
        <v>25</v>
      </c>
      <c r="E1814" s="23" t="s">
        <v>26</v>
      </c>
      <c r="F1814" s="23" t="s">
        <v>23</v>
      </c>
      <c r="G1814" s="23" t="s">
        <v>20</v>
      </c>
      <c r="H1814" s="23" t="s">
        <v>36</v>
      </c>
      <c r="I1814" s="23" t="s">
        <v>31</v>
      </c>
      <c r="J1814" s="24">
        <v>150000</v>
      </c>
      <c r="K1814" s="23">
        <v>9</v>
      </c>
      <c r="L1814" s="23" t="s">
        <v>37</v>
      </c>
      <c r="M1814" s="25">
        <f t="shared" si="57"/>
        <v>120000</v>
      </c>
      <c r="N1814" s="25">
        <f>'Working Sheet'!$J1814*'Working Sheet'!$K1814</f>
        <v>1350000</v>
      </c>
      <c r="O1814" s="26">
        <f>'Working Sheet'!$M1814*'Working Sheet'!$K1814</f>
        <v>1080000</v>
      </c>
      <c r="P1814" s="25">
        <f>'Working Sheet'!$N1814-'Working Sheet'!$O1814</f>
        <v>270000</v>
      </c>
    </row>
    <row r="1815" spans="1:16" ht="14.25" customHeight="1" x14ac:dyDescent="0.25">
      <c r="A1815" s="18" t="str">
        <f t="shared" ca="1" si="56"/>
        <v>ID_1299</v>
      </c>
      <c r="B1815" s="17">
        <v>45679</v>
      </c>
      <c r="C1815" s="18" t="str">
        <f>TEXT('Working Sheet'!$B1815,"mmm")</f>
        <v>Jan</v>
      </c>
      <c r="D1815" s="18" t="s">
        <v>18</v>
      </c>
      <c r="E1815" s="18" t="s">
        <v>32</v>
      </c>
      <c r="F1815" s="18" t="s">
        <v>13</v>
      </c>
      <c r="G1815" s="18" t="s">
        <v>20</v>
      </c>
      <c r="H1815" s="18" t="s">
        <v>33</v>
      </c>
      <c r="I1815" s="18" t="s">
        <v>22</v>
      </c>
      <c r="J1815" s="19">
        <v>180000</v>
      </c>
      <c r="K1815" s="18">
        <v>2</v>
      </c>
      <c r="L1815" s="18" t="s">
        <v>37</v>
      </c>
      <c r="M1815" s="20">
        <f t="shared" si="57"/>
        <v>144000</v>
      </c>
      <c r="N1815" s="20">
        <f>'Working Sheet'!$J1815*'Working Sheet'!$K1815</f>
        <v>360000</v>
      </c>
      <c r="O1815" s="21">
        <f>'Working Sheet'!$M1815*'Working Sheet'!$K1815</f>
        <v>288000</v>
      </c>
      <c r="P1815" s="20">
        <f>'Working Sheet'!$N1815-'Working Sheet'!$O1815</f>
        <v>72000</v>
      </c>
    </row>
    <row r="1816" spans="1:16" ht="14.25" customHeight="1" x14ac:dyDescent="0.25">
      <c r="A1816" s="23" t="str">
        <f t="shared" ca="1" si="56"/>
        <v>ID_981</v>
      </c>
      <c r="B1816" s="22">
        <v>45740</v>
      </c>
      <c r="C1816" s="23" t="str">
        <f>TEXT('Working Sheet'!$B1816,"mmm")</f>
        <v>Mar</v>
      </c>
      <c r="D1816" s="23" t="s">
        <v>18</v>
      </c>
      <c r="E1816" s="23" t="s">
        <v>32</v>
      </c>
      <c r="F1816" s="23" t="s">
        <v>13</v>
      </c>
      <c r="G1816" s="23" t="s">
        <v>20</v>
      </c>
      <c r="H1816" s="23" t="s">
        <v>38</v>
      </c>
      <c r="I1816" s="23" t="s">
        <v>31</v>
      </c>
      <c r="J1816" s="24">
        <v>420000</v>
      </c>
      <c r="K1816" s="23">
        <v>10</v>
      </c>
      <c r="L1816" s="23" t="s">
        <v>28</v>
      </c>
      <c r="M1816" s="25">
        <f t="shared" si="57"/>
        <v>336000</v>
      </c>
      <c r="N1816" s="25">
        <f>'Working Sheet'!$J1816*'Working Sheet'!$K1816</f>
        <v>4200000</v>
      </c>
      <c r="O1816" s="26">
        <f>'Working Sheet'!$M1816*'Working Sheet'!$K1816</f>
        <v>3360000</v>
      </c>
      <c r="P1816" s="25">
        <f>'Working Sheet'!$N1816-'Working Sheet'!$O1816</f>
        <v>840000</v>
      </c>
    </row>
    <row r="1817" spans="1:16" ht="14.25" customHeight="1" x14ac:dyDescent="0.25">
      <c r="A1817" s="18" t="str">
        <f t="shared" ca="1" si="56"/>
        <v>ID_708</v>
      </c>
      <c r="B1817" s="17">
        <v>45774</v>
      </c>
      <c r="C1817" s="18" t="str">
        <f>TEXT('Working Sheet'!$B1817,"mmm")</f>
        <v>Apr</v>
      </c>
      <c r="D1817" s="18" t="s">
        <v>11</v>
      </c>
      <c r="E1817" s="18" t="s">
        <v>26</v>
      </c>
      <c r="F1817" s="18" t="s">
        <v>23</v>
      </c>
      <c r="G1817" s="18" t="s">
        <v>20</v>
      </c>
      <c r="H1817" s="18" t="s">
        <v>30</v>
      </c>
      <c r="I1817" s="18" t="s">
        <v>31</v>
      </c>
      <c r="J1817" s="19">
        <v>300000</v>
      </c>
      <c r="K1817" s="18">
        <v>4</v>
      </c>
      <c r="L1817" s="18" t="s">
        <v>39</v>
      </c>
      <c r="M1817" s="20">
        <f t="shared" si="57"/>
        <v>240000</v>
      </c>
      <c r="N1817" s="20">
        <f>'Working Sheet'!$J1817*'Working Sheet'!$K1817</f>
        <v>1200000</v>
      </c>
      <c r="O1817" s="21">
        <f>'Working Sheet'!$M1817*'Working Sheet'!$K1817</f>
        <v>960000</v>
      </c>
      <c r="P1817" s="20">
        <f>'Working Sheet'!$N1817-'Working Sheet'!$O1817</f>
        <v>240000</v>
      </c>
    </row>
    <row r="1818" spans="1:16" ht="14.25" customHeight="1" x14ac:dyDescent="0.25">
      <c r="A1818" s="23" t="str">
        <f t="shared" ca="1" si="56"/>
        <v>ID_525</v>
      </c>
      <c r="B1818" s="22">
        <v>45710</v>
      </c>
      <c r="C1818" s="23" t="str">
        <f>TEXT('Working Sheet'!$B1818,"mmm")</f>
        <v>Feb</v>
      </c>
      <c r="D1818" s="23" t="s">
        <v>11</v>
      </c>
      <c r="E1818" s="23" t="s">
        <v>12</v>
      </c>
      <c r="F1818" s="23" t="s">
        <v>13</v>
      </c>
      <c r="G1818" s="23" t="s">
        <v>20</v>
      </c>
      <c r="H1818" s="23" t="s">
        <v>33</v>
      </c>
      <c r="I1818" s="23" t="s">
        <v>22</v>
      </c>
      <c r="J1818" s="24">
        <v>180000</v>
      </c>
      <c r="K1818" s="23">
        <v>8</v>
      </c>
      <c r="L1818" s="23" t="s">
        <v>37</v>
      </c>
      <c r="M1818" s="25">
        <f t="shared" si="57"/>
        <v>144000</v>
      </c>
      <c r="N1818" s="25">
        <f>'Working Sheet'!$J1818*'Working Sheet'!$K1818</f>
        <v>1440000</v>
      </c>
      <c r="O1818" s="26">
        <f>'Working Sheet'!$M1818*'Working Sheet'!$K1818</f>
        <v>1152000</v>
      </c>
      <c r="P1818" s="25">
        <f>'Working Sheet'!$N1818-'Working Sheet'!$O1818</f>
        <v>288000</v>
      </c>
    </row>
    <row r="1819" spans="1:16" ht="14.25" customHeight="1" x14ac:dyDescent="0.25">
      <c r="A1819" s="18" t="str">
        <f t="shared" ca="1" si="56"/>
        <v>ID_558</v>
      </c>
      <c r="B1819" s="17">
        <v>45699</v>
      </c>
      <c r="C1819" s="18" t="str">
        <f>TEXT('Working Sheet'!$B1819,"mmm")</f>
        <v>Feb</v>
      </c>
      <c r="D1819" s="18" t="s">
        <v>18</v>
      </c>
      <c r="E1819" s="18" t="s">
        <v>32</v>
      </c>
      <c r="F1819" s="18" t="s">
        <v>13</v>
      </c>
      <c r="G1819" s="18" t="s">
        <v>20</v>
      </c>
      <c r="H1819" s="18" t="s">
        <v>38</v>
      </c>
      <c r="I1819" s="18" t="s">
        <v>31</v>
      </c>
      <c r="J1819" s="19">
        <v>420000</v>
      </c>
      <c r="K1819" s="18">
        <v>5</v>
      </c>
      <c r="L1819" s="18" t="s">
        <v>37</v>
      </c>
      <c r="M1819" s="20">
        <f t="shared" si="57"/>
        <v>336000</v>
      </c>
      <c r="N1819" s="20">
        <f>'Working Sheet'!$J1819*'Working Sheet'!$K1819</f>
        <v>2100000</v>
      </c>
      <c r="O1819" s="21">
        <f>'Working Sheet'!$M1819*'Working Sheet'!$K1819</f>
        <v>1680000</v>
      </c>
      <c r="P1819" s="20">
        <f>'Working Sheet'!$N1819-'Working Sheet'!$O1819</f>
        <v>420000</v>
      </c>
    </row>
    <row r="1820" spans="1:16" ht="14.25" customHeight="1" x14ac:dyDescent="0.25">
      <c r="A1820" s="23" t="str">
        <f t="shared" ca="1" si="56"/>
        <v>ID_2032</v>
      </c>
      <c r="B1820" s="22">
        <v>45716</v>
      </c>
      <c r="C1820" s="23" t="str">
        <f>TEXT('Working Sheet'!$B1820,"mmm")</f>
        <v>Feb</v>
      </c>
      <c r="D1820" s="23" t="s">
        <v>25</v>
      </c>
      <c r="E1820" s="23" t="s">
        <v>19</v>
      </c>
      <c r="F1820" s="23" t="s">
        <v>23</v>
      </c>
      <c r="G1820" s="23" t="s">
        <v>20</v>
      </c>
      <c r="H1820" s="23" t="s">
        <v>33</v>
      </c>
      <c r="I1820" s="23" t="s">
        <v>22</v>
      </c>
      <c r="J1820" s="24">
        <v>180000</v>
      </c>
      <c r="K1820" s="23">
        <v>5</v>
      </c>
      <c r="L1820" s="23" t="s">
        <v>17</v>
      </c>
      <c r="M1820" s="25">
        <f t="shared" si="57"/>
        <v>144000</v>
      </c>
      <c r="N1820" s="25">
        <f>'Working Sheet'!$J1820*'Working Sheet'!$K1820</f>
        <v>900000</v>
      </c>
      <c r="O1820" s="26">
        <f>'Working Sheet'!$M1820*'Working Sheet'!$K1820</f>
        <v>720000</v>
      </c>
      <c r="P1820" s="25">
        <f>'Working Sheet'!$N1820-'Working Sheet'!$O1820</f>
        <v>180000</v>
      </c>
    </row>
    <row r="1821" spans="1:16" ht="14.25" customHeight="1" x14ac:dyDescent="0.25">
      <c r="A1821" s="18" t="str">
        <f t="shared" ca="1" si="56"/>
        <v>ID_729</v>
      </c>
      <c r="B1821" s="17">
        <v>45725</v>
      </c>
      <c r="C1821" s="18" t="str">
        <f>TEXT('Working Sheet'!$B1821,"mmm")</f>
        <v>Mar</v>
      </c>
      <c r="D1821" s="18" t="s">
        <v>11</v>
      </c>
      <c r="E1821" s="18" t="s">
        <v>12</v>
      </c>
      <c r="F1821" s="18" t="s">
        <v>23</v>
      </c>
      <c r="G1821" s="18" t="s">
        <v>20</v>
      </c>
      <c r="H1821" s="18" t="s">
        <v>30</v>
      </c>
      <c r="I1821" s="18" t="s">
        <v>31</v>
      </c>
      <c r="J1821" s="19">
        <v>300000</v>
      </c>
      <c r="K1821" s="18">
        <v>1</v>
      </c>
      <c r="L1821" s="18" t="s">
        <v>37</v>
      </c>
      <c r="M1821" s="20">
        <f t="shared" si="57"/>
        <v>240000</v>
      </c>
      <c r="N1821" s="20">
        <f>'Working Sheet'!$J1821*'Working Sheet'!$K1821</f>
        <v>300000</v>
      </c>
      <c r="O1821" s="21">
        <f>'Working Sheet'!$M1821*'Working Sheet'!$K1821</f>
        <v>240000</v>
      </c>
      <c r="P1821" s="20">
        <f>'Working Sheet'!$N1821-'Working Sheet'!$O1821</f>
        <v>60000</v>
      </c>
    </row>
    <row r="1822" spans="1:16" ht="14.25" customHeight="1" x14ac:dyDescent="0.25">
      <c r="A1822" s="23" t="str">
        <f t="shared" ca="1" si="56"/>
        <v>ID_482</v>
      </c>
      <c r="B1822" s="22">
        <v>45665</v>
      </c>
      <c r="C1822" s="23" t="str">
        <f>TEXT('Working Sheet'!$B1822,"mmm")</f>
        <v>Jan</v>
      </c>
      <c r="D1822" s="23" t="s">
        <v>25</v>
      </c>
      <c r="E1822" s="23" t="s">
        <v>12</v>
      </c>
      <c r="F1822" s="23" t="s">
        <v>13</v>
      </c>
      <c r="G1822" s="23" t="s">
        <v>20</v>
      </c>
      <c r="H1822" s="23" t="s">
        <v>33</v>
      </c>
      <c r="I1822" s="23" t="s">
        <v>22</v>
      </c>
      <c r="J1822" s="24">
        <v>180000</v>
      </c>
      <c r="K1822" s="23">
        <v>7</v>
      </c>
      <c r="L1822" s="23" t="s">
        <v>37</v>
      </c>
      <c r="M1822" s="25">
        <f t="shared" si="57"/>
        <v>144000</v>
      </c>
      <c r="N1822" s="25">
        <f>'Working Sheet'!$J1822*'Working Sheet'!$K1822</f>
        <v>1260000</v>
      </c>
      <c r="O1822" s="26">
        <f>'Working Sheet'!$M1822*'Working Sheet'!$K1822</f>
        <v>1008000</v>
      </c>
      <c r="P1822" s="25">
        <f>'Working Sheet'!$N1822-'Working Sheet'!$O1822</f>
        <v>252000</v>
      </c>
    </row>
    <row r="1823" spans="1:16" ht="14.25" customHeight="1" x14ac:dyDescent="0.25">
      <c r="A1823" s="18" t="str">
        <f t="shared" ca="1" si="56"/>
        <v>ID_154</v>
      </c>
      <c r="B1823" s="17">
        <v>45661</v>
      </c>
      <c r="C1823" s="18" t="str">
        <f>TEXT('Working Sheet'!$B1823,"mmm")</f>
        <v>Jan</v>
      </c>
      <c r="D1823" s="18" t="s">
        <v>18</v>
      </c>
      <c r="E1823" s="18" t="s">
        <v>26</v>
      </c>
      <c r="F1823" s="18" t="s">
        <v>23</v>
      </c>
      <c r="G1823" s="18" t="s">
        <v>20</v>
      </c>
      <c r="H1823" s="18" t="s">
        <v>21</v>
      </c>
      <c r="I1823" s="18" t="s">
        <v>22</v>
      </c>
      <c r="J1823" s="19">
        <v>30000</v>
      </c>
      <c r="K1823" s="18">
        <v>8</v>
      </c>
      <c r="L1823" s="18" t="s">
        <v>37</v>
      </c>
      <c r="M1823" s="20">
        <f t="shared" si="57"/>
        <v>24000</v>
      </c>
      <c r="N1823" s="20">
        <f>'Working Sheet'!$J1823*'Working Sheet'!$K1823</f>
        <v>240000</v>
      </c>
      <c r="O1823" s="21">
        <f>'Working Sheet'!$M1823*'Working Sheet'!$K1823</f>
        <v>192000</v>
      </c>
      <c r="P1823" s="20">
        <f>'Working Sheet'!$N1823-'Working Sheet'!$O1823</f>
        <v>48000</v>
      </c>
    </row>
    <row r="1824" spans="1:16" ht="14.25" customHeight="1" x14ac:dyDescent="0.25">
      <c r="A1824" s="23" t="str">
        <f t="shared" ca="1" si="56"/>
        <v>ID_1786</v>
      </c>
      <c r="B1824" s="22">
        <v>45685</v>
      </c>
      <c r="C1824" s="23" t="str">
        <f>TEXT('Working Sheet'!$B1824,"mmm")</f>
        <v>Jan</v>
      </c>
      <c r="D1824" s="23" t="s">
        <v>29</v>
      </c>
      <c r="E1824" s="23" t="s">
        <v>12</v>
      </c>
      <c r="F1824" s="23" t="s">
        <v>13</v>
      </c>
      <c r="G1824" s="23" t="s">
        <v>20</v>
      </c>
      <c r="H1824" s="23" t="s">
        <v>15</v>
      </c>
      <c r="I1824" s="23" t="s">
        <v>16</v>
      </c>
      <c r="J1824" s="24">
        <v>85000</v>
      </c>
      <c r="K1824" s="23">
        <v>10</v>
      </c>
      <c r="L1824" s="23" t="s">
        <v>28</v>
      </c>
      <c r="M1824" s="25">
        <f t="shared" si="57"/>
        <v>68000</v>
      </c>
      <c r="N1824" s="25">
        <f>'Working Sheet'!$J1824*'Working Sheet'!$K1824</f>
        <v>850000</v>
      </c>
      <c r="O1824" s="26">
        <f>'Working Sheet'!$M1824*'Working Sheet'!$K1824</f>
        <v>680000</v>
      </c>
      <c r="P1824" s="25">
        <f>'Working Sheet'!$N1824-'Working Sheet'!$O1824</f>
        <v>170000</v>
      </c>
    </row>
    <row r="1825" spans="1:16" ht="14.25" customHeight="1" x14ac:dyDescent="0.25">
      <c r="A1825" s="18" t="str">
        <f t="shared" ca="1" si="56"/>
        <v>ID_1505</v>
      </c>
      <c r="B1825" s="17">
        <v>45676</v>
      </c>
      <c r="C1825" s="18" t="str">
        <f>TEXT('Working Sheet'!$B1825,"mmm")</f>
        <v>Jan</v>
      </c>
      <c r="D1825" s="18" t="s">
        <v>18</v>
      </c>
      <c r="E1825" s="18" t="s">
        <v>26</v>
      </c>
      <c r="F1825" s="18" t="s">
        <v>13</v>
      </c>
      <c r="G1825" s="18" t="s">
        <v>20</v>
      </c>
      <c r="H1825" s="18" t="s">
        <v>15</v>
      </c>
      <c r="I1825" s="18" t="s">
        <v>16</v>
      </c>
      <c r="J1825" s="19">
        <v>85000</v>
      </c>
      <c r="K1825" s="18">
        <v>1</v>
      </c>
      <c r="L1825" s="18" t="s">
        <v>17</v>
      </c>
      <c r="M1825" s="20">
        <f t="shared" si="57"/>
        <v>68000</v>
      </c>
      <c r="N1825" s="20">
        <f>'Working Sheet'!$J1825*'Working Sheet'!$K1825</f>
        <v>85000</v>
      </c>
      <c r="O1825" s="21">
        <f>'Working Sheet'!$M1825*'Working Sheet'!$K1825</f>
        <v>68000</v>
      </c>
      <c r="P1825" s="20">
        <f>'Working Sheet'!$N1825-'Working Sheet'!$O1825</f>
        <v>17000</v>
      </c>
    </row>
    <row r="1826" spans="1:16" ht="14.25" customHeight="1" x14ac:dyDescent="0.25">
      <c r="A1826" s="23" t="str">
        <f t="shared" ca="1" si="56"/>
        <v>ID_246</v>
      </c>
      <c r="B1826" s="22">
        <v>45700</v>
      </c>
      <c r="C1826" s="23" t="str">
        <f>TEXT('Working Sheet'!$B1826,"mmm")</f>
        <v>Feb</v>
      </c>
      <c r="D1826" s="23" t="s">
        <v>29</v>
      </c>
      <c r="E1826" s="23" t="s">
        <v>19</v>
      </c>
      <c r="F1826" s="23" t="s">
        <v>23</v>
      </c>
      <c r="G1826" s="23" t="s">
        <v>20</v>
      </c>
      <c r="H1826" s="23" t="s">
        <v>36</v>
      </c>
      <c r="I1826" s="23" t="s">
        <v>31</v>
      </c>
      <c r="J1826" s="24">
        <v>150000</v>
      </c>
      <c r="K1826" s="23">
        <v>8</v>
      </c>
      <c r="L1826" s="23" t="s">
        <v>37</v>
      </c>
      <c r="M1826" s="25">
        <f t="shared" si="57"/>
        <v>120000</v>
      </c>
      <c r="N1826" s="25">
        <f>'Working Sheet'!$J1826*'Working Sheet'!$K1826</f>
        <v>1200000</v>
      </c>
      <c r="O1826" s="26">
        <f>'Working Sheet'!$M1826*'Working Sheet'!$K1826</f>
        <v>960000</v>
      </c>
      <c r="P1826" s="25">
        <f>'Working Sheet'!$N1826-'Working Sheet'!$O1826</f>
        <v>240000</v>
      </c>
    </row>
    <row r="1827" spans="1:16" ht="14.25" customHeight="1" x14ac:dyDescent="0.25">
      <c r="A1827" s="18" t="str">
        <f t="shared" ca="1" si="56"/>
        <v>ID_77</v>
      </c>
      <c r="B1827" s="17">
        <v>45730</v>
      </c>
      <c r="C1827" s="18" t="str">
        <f>TEXT('Working Sheet'!$B1827,"mmm")</f>
        <v>Mar</v>
      </c>
      <c r="D1827" s="18" t="s">
        <v>11</v>
      </c>
      <c r="E1827" s="18" t="s">
        <v>19</v>
      </c>
      <c r="F1827" s="18" t="s">
        <v>23</v>
      </c>
      <c r="G1827" s="18" t="s">
        <v>20</v>
      </c>
      <c r="H1827" s="18" t="s">
        <v>38</v>
      </c>
      <c r="I1827" s="18" t="s">
        <v>31</v>
      </c>
      <c r="J1827" s="19">
        <v>420000</v>
      </c>
      <c r="K1827" s="18">
        <v>6</v>
      </c>
      <c r="L1827" s="18" t="s">
        <v>35</v>
      </c>
      <c r="M1827" s="20">
        <f t="shared" si="57"/>
        <v>336000</v>
      </c>
      <c r="N1827" s="20">
        <f>'Working Sheet'!$J1827*'Working Sheet'!$K1827</f>
        <v>2520000</v>
      </c>
      <c r="O1827" s="21">
        <f>'Working Sheet'!$M1827*'Working Sheet'!$K1827</f>
        <v>2016000</v>
      </c>
      <c r="P1827" s="20">
        <f>'Working Sheet'!$N1827-'Working Sheet'!$O1827</f>
        <v>504000</v>
      </c>
    </row>
    <row r="1828" spans="1:16" ht="14.25" customHeight="1" x14ac:dyDescent="0.25">
      <c r="A1828" s="23" t="str">
        <f t="shared" ca="1" si="56"/>
        <v>ID_247</v>
      </c>
      <c r="B1828" s="22">
        <v>45738</v>
      </c>
      <c r="C1828" s="23" t="str">
        <f>TEXT('Working Sheet'!$B1828,"mmm")</f>
        <v>Mar</v>
      </c>
      <c r="D1828" s="23" t="s">
        <v>25</v>
      </c>
      <c r="E1828" s="23" t="s">
        <v>32</v>
      </c>
      <c r="F1828" s="23" t="s">
        <v>13</v>
      </c>
      <c r="G1828" s="23" t="s">
        <v>20</v>
      </c>
      <c r="H1828" s="23" t="s">
        <v>27</v>
      </c>
      <c r="I1828" s="23" t="s">
        <v>22</v>
      </c>
      <c r="J1828" s="24">
        <v>60000</v>
      </c>
      <c r="K1828" s="23">
        <v>8</v>
      </c>
      <c r="L1828" s="23" t="s">
        <v>35</v>
      </c>
      <c r="M1828" s="25">
        <f t="shared" si="57"/>
        <v>48000</v>
      </c>
      <c r="N1828" s="25">
        <f>'Working Sheet'!$J1828*'Working Sheet'!$K1828</f>
        <v>480000</v>
      </c>
      <c r="O1828" s="26">
        <f>'Working Sheet'!$M1828*'Working Sheet'!$K1828</f>
        <v>384000</v>
      </c>
      <c r="P1828" s="25">
        <f>'Working Sheet'!$N1828-'Working Sheet'!$O1828</f>
        <v>96000</v>
      </c>
    </row>
    <row r="1829" spans="1:16" ht="14.25" customHeight="1" x14ac:dyDescent="0.25">
      <c r="A1829" s="18" t="str">
        <f t="shared" ca="1" si="56"/>
        <v>ID_146</v>
      </c>
      <c r="B1829" s="17">
        <v>45776</v>
      </c>
      <c r="C1829" s="18" t="str">
        <f>TEXT('Working Sheet'!$B1829,"mmm")</f>
        <v>Apr</v>
      </c>
      <c r="D1829" s="18" t="s">
        <v>25</v>
      </c>
      <c r="E1829" s="18" t="s">
        <v>12</v>
      </c>
      <c r="F1829" s="18" t="s">
        <v>13</v>
      </c>
      <c r="G1829" s="18" t="s">
        <v>20</v>
      </c>
      <c r="H1829" s="18" t="s">
        <v>30</v>
      </c>
      <c r="I1829" s="18" t="s">
        <v>31</v>
      </c>
      <c r="J1829" s="19">
        <v>300000</v>
      </c>
      <c r="K1829" s="18">
        <v>7</v>
      </c>
      <c r="L1829" s="18" t="s">
        <v>28</v>
      </c>
      <c r="M1829" s="20">
        <f t="shared" si="57"/>
        <v>240000</v>
      </c>
      <c r="N1829" s="20">
        <f>'Working Sheet'!$J1829*'Working Sheet'!$K1829</f>
        <v>2100000</v>
      </c>
      <c r="O1829" s="21">
        <f>'Working Sheet'!$M1829*'Working Sheet'!$K1829</f>
        <v>1680000</v>
      </c>
      <c r="P1829" s="20">
        <f>'Working Sheet'!$N1829-'Working Sheet'!$O1829</f>
        <v>420000</v>
      </c>
    </row>
    <row r="1830" spans="1:16" ht="14.25" customHeight="1" x14ac:dyDescent="0.25">
      <c r="A1830" s="23" t="str">
        <f t="shared" ca="1" si="56"/>
        <v>ID_371</v>
      </c>
      <c r="B1830" s="22">
        <v>45698</v>
      </c>
      <c r="C1830" s="23" t="str">
        <f>TEXT('Working Sheet'!$B1830,"mmm")</f>
        <v>Feb</v>
      </c>
      <c r="D1830" s="23" t="s">
        <v>18</v>
      </c>
      <c r="E1830" s="23" t="s">
        <v>19</v>
      </c>
      <c r="F1830" s="23" t="s">
        <v>23</v>
      </c>
      <c r="G1830" s="23" t="s">
        <v>20</v>
      </c>
      <c r="H1830" s="23" t="s">
        <v>36</v>
      </c>
      <c r="I1830" s="23" t="s">
        <v>31</v>
      </c>
      <c r="J1830" s="24">
        <v>150000</v>
      </c>
      <c r="K1830" s="23">
        <v>8</v>
      </c>
      <c r="L1830" s="23" t="s">
        <v>37</v>
      </c>
      <c r="M1830" s="25">
        <f t="shared" si="57"/>
        <v>120000</v>
      </c>
      <c r="N1830" s="25">
        <f>'Working Sheet'!$J1830*'Working Sheet'!$K1830</f>
        <v>1200000</v>
      </c>
      <c r="O1830" s="26">
        <f>'Working Sheet'!$M1830*'Working Sheet'!$K1830</f>
        <v>960000</v>
      </c>
      <c r="P1830" s="25">
        <f>'Working Sheet'!$N1830-'Working Sheet'!$O1830</f>
        <v>240000</v>
      </c>
    </row>
    <row r="1831" spans="1:16" ht="14.25" customHeight="1" x14ac:dyDescent="0.25">
      <c r="A1831" s="18" t="str">
        <f t="shared" ca="1" si="56"/>
        <v>ID_1960</v>
      </c>
      <c r="B1831" s="17">
        <v>45760</v>
      </c>
      <c r="C1831" s="18" t="str">
        <f>TEXT('Working Sheet'!$B1831,"mmm")</f>
        <v>Apr</v>
      </c>
      <c r="D1831" s="18" t="s">
        <v>18</v>
      </c>
      <c r="E1831" s="18" t="s">
        <v>12</v>
      </c>
      <c r="F1831" s="18" t="s">
        <v>23</v>
      </c>
      <c r="G1831" s="18" t="s">
        <v>20</v>
      </c>
      <c r="H1831" s="18" t="s">
        <v>27</v>
      </c>
      <c r="I1831" s="18" t="s">
        <v>22</v>
      </c>
      <c r="J1831" s="19">
        <v>60000</v>
      </c>
      <c r="K1831" s="18">
        <v>10</v>
      </c>
      <c r="L1831" s="18" t="s">
        <v>17</v>
      </c>
      <c r="M1831" s="20">
        <f t="shared" si="57"/>
        <v>48000</v>
      </c>
      <c r="N1831" s="20">
        <f>'Working Sheet'!$J1831*'Working Sheet'!$K1831</f>
        <v>600000</v>
      </c>
      <c r="O1831" s="21">
        <f>'Working Sheet'!$M1831*'Working Sheet'!$K1831</f>
        <v>480000</v>
      </c>
      <c r="P1831" s="20">
        <f>'Working Sheet'!$N1831-'Working Sheet'!$O1831</f>
        <v>120000</v>
      </c>
    </row>
    <row r="1832" spans="1:16" ht="14.25" customHeight="1" x14ac:dyDescent="0.25">
      <c r="A1832" s="23" t="str">
        <f t="shared" ca="1" si="56"/>
        <v>ID_1996</v>
      </c>
      <c r="B1832" s="22">
        <v>45724</v>
      </c>
      <c r="C1832" s="23" t="str">
        <f>TEXT('Working Sheet'!$B1832,"mmm")</f>
        <v>Mar</v>
      </c>
      <c r="D1832" s="23" t="s">
        <v>29</v>
      </c>
      <c r="E1832" s="23" t="s">
        <v>26</v>
      </c>
      <c r="F1832" s="23" t="s">
        <v>13</v>
      </c>
      <c r="G1832" s="23" t="s">
        <v>20</v>
      </c>
      <c r="H1832" s="23" t="s">
        <v>34</v>
      </c>
      <c r="I1832" s="23" t="s">
        <v>16</v>
      </c>
      <c r="J1832" s="24">
        <v>320000</v>
      </c>
      <c r="K1832" s="23">
        <v>9</v>
      </c>
      <c r="L1832" s="23" t="s">
        <v>35</v>
      </c>
      <c r="M1832" s="25">
        <f t="shared" si="57"/>
        <v>256000</v>
      </c>
      <c r="N1832" s="25">
        <f>'Working Sheet'!$J1832*'Working Sheet'!$K1832</f>
        <v>2880000</v>
      </c>
      <c r="O1832" s="26">
        <f>'Working Sheet'!$M1832*'Working Sheet'!$K1832</f>
        <v>2304000</v>
      </c>
      <c r="P1832" s="25">
        <f>'Working Sheet'!$N1832-'Working Sheet'!$O1832</f>
        <v>576000</v>
      </c>
    </row>
    <row r="1833" spans="1:16" ht="14.25" customHeight="1" x14ac:dyDescent="0.25">
      <c r="A1833" s="18" t="str">
        <f t="shared" ca="1" si="56"/>
        <v>ID_711</v>
      </c>
      <c r="B1833" s="17">
        <v>45743</v>
      </c>
      <c r="C1833" s="18" t="str">
        <f>TEXT('Working Sheet'!$B1833,"mmm")</f>
        <v>Mar</v>
      </c>
      <c r="D1833" s="18" t="s">
        <v>11</v>
      </c>
      <c r="E1833" s="18" t="s">
        <v>12</v>
      </c>
      <c r="F1833" s="18" t="s">
        <v>13</v>
      </c>
      <c r="G1833" s="18" t="s">
        <v>20</v>
      </c>
      <c r="H1833" s="18" t="s">
        <v>40</v>
      </c>
      <c r="I1833" s="18" t="s">
        <v>31</v>
      </c>
      <c r="J1833" s="19">
        <v>250000</v>
      </c>
      <c r="K1833" s="18">
        <v>9</v>
      </c>
      <c r="L1833" s="18" t="s">
        <v>28</v>
      </c>
      <c r="M1833" s="20">
        <f t="shared" si="57"/>
        <v>200000</v>
      </c>
      <c r="N1833" s="20">
        <f>'Working Sheet'!$J1833*'Working Sheet'!$K1833</f>
        <v>2250000</v>
      </c>
      <c r="O1833" s="21">
        <f>'Working Sheet'!$M1833*'Working Sheet'!$K1833</f>
        <v>1800000</v>
      </c>
      <c r="P1833" s="20">
        <f>'Working Sheet'!$N1833-'Working Sheet'!$O1833</f>
        <v>450000</v>
      </c>
    </row>
    <row r="1834" spans="1:16" ht="14.25" customHeight="1" x14ac:dyDescent="0.25">
      <c r="A1834" s="23" t="str">
        <f t="shared" ca="1" si="56"/>
        <v>ID_1247</v>
      </c>
      <c r="B1834" s="22">
        <v>45667</v>
      </c>
      <c r="C1834" s="23" t="str">
        <f>TEXT('Working Sheet'!$B1834,"mmm")</f>
        <v>Jan</v>
      </c>
      <c r="D1834" s="23" t="s">
        <v>25</v>
      </c>
      <c r="E1834" s="23" t="s">
        <v>26</v>
      </c>
      <c r="F1834" s="23" t="s">
        <v>13</v>
      </c>
      <c r="G1834" s="23" t="s">
        <v>20</v>
      </c>
      <c r="H1834" s="23" t="s">
        <v>41</v>
      </c>
      <c r="I1834" s="23" t="s">
        <v>22</v>
      </c>
      <c r="J1834" s="24">
        <v>220000</v>
      </c>
      <c r="K1834" s="23">
        <v>7</v>
      </c>
      <c r="L1834" s="23" t="s">
        <v>35</v>
      </c>
      <c r="M1834" s="25">
        <f t="shared" si="57"/>
        <v>176000</v>
      </c>
      <c r="N1834" s="25">
        <f>'Working Sheet'!$J1834*'Working Sheet'!$K1834</f>
        <v>1540000</v>
      </c>
      <c r="O1834" s="26">
        <f>'Working Sheet'!$M1834*'Working Sheet'!$K1834</f>
        <v>1232000</v>
      </c>
      <c r="P1834" s="25">
        <f>'Working Sheet'!$N1834-'Working Sheet'!$O1834</f>
        <v>308000</v>
      </c>
    </row>
    <row r="1835" spans="1:16" ht="14.25" customHeight="1" x14ac:dyDescent="0.25">
      <c r="A1835" s="18" t="str">
        <f t="shared" ca="1" si="56"/>
        <v>ID_1483</v>
      </c>
      <c r="B1835" s="17">
        <v>45726</v>
      </c>
      <c r="C1835" s="18" t="str">
        <f>TEXT('Working Sheet'!$B1835,"mmm")</f>
        <v>Mar</v>
      </c>
      <c r="D1835" s="18" t="s">
        <v>25</v>
      </c>
      <c r="E1835" s="18" t="s">
        <v>19</v>
      </c>
      <c r="F1835" s="18" t="s">
        <v>13</v>
      </c>
      <c r="G1835" s="18" t="s">
        <v>20</v>
      </c>
      <c r="H1835" s="18" t="s">
        <v>34</v>
      </c>
      <c r="I1835" s="18" t="s">
        <v>16</v>
      </c>
      <c r="J1835" s="19">
        <v>320000</v>
      </c>
      <c r="K1835" s="18">
        <v>4</v>
      </c>
      <c r="L1835" s="18" t="s">
        <v>24</v>
      </c>
      <c r="M1835" s="20">
        <f t="shared" si="57"/>
        <v>256000</v>
      </c>
      <c r="N1835" s="20">
        <f>'Working Sheet'!$J1835*'Working Sheet'!$K1835</f>
        <v>1280000</v>
      </c>
      <c r="O1835" s="21">
        <f>'Working Sheet'!$M1835*'Working Sheet'!$K1835</f>
        <v>1024000</v>
      </c>
      <c r="P1835" s="20">
        <f>'Working Sheet'!$N1835-'Working Sheet'!$O1835</f>
        <v>256000</v>
      </c>
    </row>
    <row r="1836" spans="1:16" ht="14.25" customHeight="1" x14ac:dyDescent="0.25">
      <c r="A1836" s="23" t="str">
        <f t="shared" ca="1" si="56"/>
        <v>ID_966</v>
      </c>
      <c r="B1836" s="22">
        <v>45763</v>
      </c>
      <c r="C1836" s="23" t="str">
        <f>TEXT('Working Sheet'!$B1836,"mmm")</f>
        <v>Apr</v>
      </c>
      <c r="D1836" s="23" t="s">
        <v>25</v>
      </c>
      <c r="E1836" s="23" t="s">
        <v>19</v>
      </c>
      <c r="F1836" s="23" t="s">
        <v>23</v>
      </c>
      <c r="G1836" s="23" t="s">
        <v>20</v>
      </c>
      <c r="H1836" s="23" t="s">
        <v>41</v>
      </c>
      <c r="I1836" s="23" t="s">
        <v>22</v>
      </c>
      <c r="J1836" s="24">
        <v>220000</v>
      </c>
      <c r="K1836" s="23">
        <v>1</v>
      </c>
      <c r="L1836" s="23" t="s">
        <v>37</v>
      </c>
      <c r="M1836" s="25">
        <f t="shared" si="57"/>
        <v>176000</v>
      </c>
      <c r="N1836" s="25">
        <f>'Working Sheet'!$J1836*'Working Sheet'!$K1836</f>
        <v>220000</v>
      </c>
      <c r="O1836" s="26">
        <f>'Working Sheet'!$M1836*'Working Sheet'!$K1836</f>
        <v>176000</v>
      </c>
      <c r="P1836" s="25">
        <f>'Working Sheet'!$N1836-'Working Sheet'!$O1836</f>
        <v>44000</v>
      </c>
    </row>
    <row r="1837" spans="1:16" ht="14.25" customHeight="1" x14ac:dyDescent="0.25">
      <c r="A1837" s="18" t="str">
        <f t="shared" ca="1" si="56"/>
        <v>ID_789</v>
      </c>
      <c r="B1837" s="17">
        <v>45716</v>
      </c>
      <c r="C1837" s="18" t="str">
        <f>TEXT('Working Sheet'!$B1837,"mmm")</f>
        <v>Feb</v>
      </c>
      <c r="D1837" s="18" t="s">
        <v>11</v>
      </c>
      <c r="E1837" s="18" t="s">
        <v>19</v>
      </c>
      <c r="F1837" s="18" t="s">
        <v>13</v>
      </c>
      <c r="G1837" s="18" t="s">
        <v>20</v>
      </c>
      <c r="H1837" s="18" t="s">
        <v>21</v>
      </c>
      <c r="I1837" s="18" t="s">
        <v>22</v>
      </c>
      <c r="J1837" s="19">
        <v>30000</v>
      </c>
      <c r="K1837" s="18">
        <v>9</v>
      </c>
      <c r="L1837" s="18" t="s">
        <v>37</v>
      </c>
      <c r="M1837" s="20">
        <f t="shared" si="57"/>
        <v>24000</v>
      </c>
      <c r="N1837" s="20">
        <f>'Working Sheet'!$J1837*'Working Sheet'!$K1837</f>
        <v>270000</v>
      </c>
      <c r="O1837" s="21">
        <f>'Working Sheet'!$M1837*'Working Sheet'!$K1837</f>
        <v>216000</v>
      </c>
      <c r="P1837" s="20">
        <f>'Working Sheet'!$N1837-'Working Sheet'!$O1837</f>
        <v>54000</v>
      </c>
    </row>
    <row r="1838" spans="1:16" ht="14.25" customHeight="1" x14ac:dyDescent="0.25">
      <c r="A1838" s="23" t="str">
        <f t="shared" ca="1" si="56"/>
        <v>ID_919</v>
      </c>
      <c r="B1838" s="22">
        <v>45775</v>
      </c>
      <c r="C1838" s="23" t="str">
        <f>TEXT('Working Sheet'!$B1838,"mmm")</f>
        <v>Apr</v>
      </c>
      <c r="D1838" s="23" t="s">
        <v>29</v>
      </c>
      <c r="E1838" s="23" t="s">
        <v>19</v>
      </c>
      <c r="F1838" s="23" t="s">
        <v>23</v>
      </c>
      <c r="G1838" s="23" t="s">
        <v>20</v>
      </c>
      <c r="H1838" s="23" t="s">
        <v>21</v>
      </c>
      <c r="I1838" s="23" t="s">
        <v>22</v>
      </c>
      <c r="J1838" s="24">
        <v>30000</v>
      </c>
      <c r="K1838" s="23">
        <v>8</v>
      </c>
      <c r="L1838" s="23" t="s">
        <v>37</v>
      </c>
      <c r="M1838" s="25">
        <f t="shared" si="57"/>
        <v>24000</v>
      </c>
      <c r="N1838" s="25">
        <f>'Working Sheet'!$J1838*'Working Sheet'!$K1838</f>
        <v>240000</v>
      </c>
      <c r="O1838" s="26">
        <f>'Working Sheet'!$M1838*'Working Sheet'!$K1838</f>
        <v>192000</v>
      </c>
      <c r="P1838" s="25">
        <f>'Working Sheet'!$N1838-'Working Sheet'!$O1838</f>
        <v>48000</v>
      </c>
    </row>
    <row r="1839" spans="1:16" ht="14.25" customHeight="1" x14ac:dyDescent="0.25">
      <c r="A1839" s="18" t="str">
        <f t="shared" ca="1" si="56"/>
        <v>ID_1562</v>
      </c>
      <c r="B1839" s="17">
        <v>45675</v>
      </c>
      <c r="C1839" s="18" t="str">
        <f>TEXT('Working Sheet'!$B1839,"mmm")</f>
        <v>Jan</v>
      </c>
      <c r="D1839" s="18" t="s">
        <v>25</v>
      </c>
      <c r="E1839" s="18" t="s">
        <v>19</v>
      </c>
      <c r="F1839" s="18" t="s">
        <v>23</v>
      </c>
      <c r="G1839" s="18" t="s">
        <v>20</v>
      </c>
      <c r="H1839" s="18" t="s">
        <v>27</v>
      </c>
      <c r="I1839" s="18" t="s">
        <v>22</v>
      </c>
      <c r="J1839" s="19">
        <v>60000</v>
      </c>
      <c r="K1839" s="18">
        <v>7</v>
      </c>
      <c r="L1839" s="18" t="s">
        <v>24</v>
      </c>
      <c r="M1839" s="20">
        <f t="shared" si="57"/>
        <v>48000</v>
      </c>
      <c r="N1839" s="20">
        <f>'Working Sheet'!$J1839*'Working Sheet'!$K1839</f>
        <v>420000</v>
      </c>
      <c r="O1839" s="21">
        <f>'Working Sheet'!$M1839*'Working Sheet'!$K1839</f>
        <v>336000</v>
      </c>
      <c r="P1839" s="20">
        <f>'Working Sheet'!$N1839-'Working Sheet'!$O1839</f>
        <v>84000</v>
      </c>
    </row>
    <row r="1840" spans="1:16" ht="14.25" customHeight="1" x14ac:dyDescent="0.25">
      <c r="A1840" s="23" t="str">
        <f t="shared" ca="1" si="56"/>
        <v>ID_1285</v>
      </c>
      <c r="B1840" s="22">
        <v>45727</v>
      </c>
      <c r="C1840" s="23" t="str">
        <f>TEXT('Working Sheet'!$B1840,"mmm")</f>
        <v>Mar</v>
      </c>
      <c r="D1840" s="23" t="s">
        <v>11</v>
      </c>
      <c r="E1840" s="23" t="s">
        <v>26</v>
      </c>
      <c r="F1840" s="23" t="s">
        <v>13</v>
      </c>
      <c r="G1840" s="23" t="s">
        <v>20</v>
      </c>
      <c r="H1840" s="23" t="s">
        <v>21</v>
      </c>
      <c r="I1840" s="23" t="s">
        <v>22</v>
      </c>
      <c r="J1840" s="24">
        <v>30000</v>
      </c>
      <c r="K1840" s="23">
        <v>7</v>
      </c>
      <c r="L1840" s="23" t="s">
        <v>39</v>
      </c>
      <c r="M1840" s="25">
        <f t="shared" si="57"/>
        <v>24000</v>
      </c>
      <c r="N1840" s="25">
        <f>'Working Sheet'!$J1840*'Working Sheet'!$K1840</f>
        <v>210000</v>
      </c>
      <c r="O1840" s="26">
        <f>'Working Sheet'!$M1840*'Working Sheet'!$K1840</f>
        <v>168000</v>
      </c>
      <c r="P1840" s="25">
        <f>'Working Sheet'!$N1840-'Working Sheet'!$O1840</f>
        <v>42000</v>
      </c>
    </row>
    <row r="1841" spans="1:16" ht="14.25" customHeight="1" x14ac:dyDescent="0.25">
      <c r="A1841" s="18" t="str">
        <f t="shared" ca="1" si="56"/>
        <v>ID_2039</v>
      </c>
      <c r="B1841" s="17">
        <v>45658</v>
      </c>
      <c r="C1841" s="18" t="str">
        <f>TEXT('Working Sheet'!$B1841,"mmm")</f>
        <v>Jan</v>
      </c>
      <c r="D1841" s="18" t="s">
        <v>11</v>
      </c>
      <c r="E1841" s="18" t="s">
        <v>12</v>
      </c>
      <c r="F1841" s="18" t="s">
        <v>13</v>
      </c>
      <c r="G1841" s="18" t="s">
        <v>20</v>
      </c>
      <c r="H1841" s="18" t="s">
        <v>30</v>
      </c>
      <c r="I1841" s="18" t="s">
        <v>31</v>
      </c>
      <c r="J1841" s="19">
        <v>300000</v>
      </c>
      <c r="K1841" s="18">
        <v>6</v>
      </c>
      <c r="L1841" s="18" t="s">
        <v>37</v>
      </c>
      <c r="M1841" s="20">
        <f t="shared" si="57"/>
        <v>240000</v>
      </c>
      <c r="N1841" s="20">
        <f>'Working Sheet'!$J1841*'Working Sheet'!$K1841</f>
        <v>1800000</v>
      </c>
      <c r="O1841" s="21">
        <f>'Working Sheet'!$M1841*'Working Sheet'!$K1841</f>
        <v>1440000</v>
      </c>
      <c r="P1841" s="20">
        <f>'Working Sheet'!$N1841-'Working Sheet'!$O1841</f>
        <v>360000</v>
      </c>
    </row>
    <row r="1842" spans="1:16" ht="14.25" customHeight="1" x14ac:dyDescent="0.25">
      <c r="A1842" s="23" t="str">
        <f t="shared" ca="1" si="56"/>
        <v>ID_629</v>
      </c>
      <c r="B1842" s="22">
        <v>45714</v>
      </c>
      <c r="C1842" s="23" t="str">
        <f>TEXT('Working Sheet'!$B1842,"mmm")</f>
        <v>Feb</v>
      </c>
      <c r="D1842" s="23" t="s">
        <v>29</v>
      </c>
      <c r="E1842" s="23" t="s">
        <v>32</v>
      </c>
      <c r="F1842" s="23" t="s">
        <v>23</v>
      </c>
      <c r="G1842" s="23" t="s">
        <v>20</v>
      </c>
      <c r="H1842" s="23" t="s">
        <v>30</v>
      </c>
      <c r="I1842" s="23" t="s">
        <v>31</v>
      </c>
      <c r="J1842" s="24">
        <v>300000</v>
      </c>
      <c r="K1842" s="23">
        <v>4</v>
      </c>
      <c r="L1842" s="23" t="s">
        <v>39</v>
      </c>
      <c r="M1842" s="25">
        <f t="shared" si="57"/>
        <v>240000</v>
      </c>
      <c r="N1842" s="25">
        <f>'Working Sheet'!$J1842*'Working Sheet'!$K1842</f>
        <v>1200000</v>
      </c>
      <c r="O1842" s="26">
        <f>'Working Sheet'!$M1842*'Working Sheet'!$K1842</f>
        <v>960000</v>
      </c>
      <c r="P1842" s="25">
        <f>'Working Sheet'!$N1842-'Working Sheet'!$O1842</f>
        <v>240000</v>
      </c>
    </row>
    <row r="1843" spans="1:16" ht="14.25" customHeight="1" x14ac:dyDescent="0.25">
      <c r="A1843" s="18" t="str">
        <f t="shared" ca="1" si="56"/>
        <v>ID_2091</v>
      </c>
      <c r="B1843" s="17">
        <v>45702</v>
      </c>
      <c r="C1843" s="18" t="str">
        <f>TEXT('Working Sheet'!$B1843,"mmm")</f>
        <v>Feb</v>
      </c>
      <c r="D1843" s="18" t="s">
        <v>25</v>
      </c>
      <c r="E1843" s="18" t="s">
        <v>26</v>
      </c>
      <c r="F1843" s="18" t="s">
        <v>13</v>
      </c>
      <c r="G1843" s="18" t="s">
        <v>20</v>
      </c>
      <c r="H1843" s="18" t="s">
        <v>15</v>
      </c>
      <c r="I1843" s="18" t="s">
        <v>16</v>
      </c>
      <c r="J1843" s="19">
        <v>85000</v>
      </c>
      <c r="K1843" s="18">
        <v>2</v>
      </c>
      <c r="L1843" s="18" t="s">
        <v>17</v>
      </c>
      <c r="M1843" s="20">
        <f t="shared" si="57"/>
        <v>68000</v>
      </c>
      <c r="N1843" s="20">
        <f>'Working Sheet'!$J1843*'Working Sheet'!$K1843</f>
        <v>170000</v>
      </c>
      <c r="O1843" s="21">
        <f>'Working Sheet'!$M1843*'Working Sheet'!$K1843</f>
        <v>136000</v>
      </c>
      <c r="P1843" s="20">
        <f>'Working Sheet'!$N1843-'Working Sheet'!$O1843</f>
        <v>34000</v>
      </c>
    </row>
    <row r="1844" spans="1:16" ht="14.25" customHeight="1" x14ac:dyDescent="0.25">
      <c r="A1844" s="23" t="str">
        <f t="shared" ca="1" si="56"/>
        <v>ID_671</v>
      </c>
      <c r="B1844" s="22">
        <v>45778</v>
      </c>
      <c r="C1844" s="23" t="str">
        <f>TEXT('Working Sheet'!$B1844,"mmm")</f>
        <v>May</v>
      </c>
      <c r="D1844" s="23" t="s">
        <v>29</v>
      </c>
      <c r="E1844" s="23" t="s">
        <v>26</v>
      </c>
      <c r="F1844" s="23" t="s">
        <v>23</v>
      </c>
      <c r="G1844" s="23" t="s">
        <v>20</v>
      </c>
      <c r="H1844" s="23" t="s">
        <v>36</v>
      </c>
      <c r="I1844" s="23" t="s">
        <v>31</v>
      </c>
      <c r="J1844" s="24">
        <v>150000</v>
      </c>
      <c r="K1844" s="23">
        <v>3</v>
      </c>
      <c r="L1844" s="23" t="s">
        <v>24</v>
      </c>
      <c r="M1844" s="25">
        <f t="shared" si="57"/>
        <v>120000</v>
      </c>
      <c r="N1844" s="25">
        <f>'Working Sheet'!$J1844*'Working Sheet'!$K1844</f>
        <v>450000</v>
      </c>
      <c r="O1844" s="26">
        <f>'Working Sheet'!$M1844*'Working Sheet'!$K1844</f>
        <v>360000</v>
      </c>
      <c r="P1844" s="25">
        <f>'Working Sheet'!$N1844-'Working Sheet'!$O1844</f>
        <v>90000</v>
      </c>
    </row>
    <row r="1845" spans="1:16" ht="14.25" customHeight="1" x14ac:dyDescent="0.25">
      <c r="A1845" s="18" t="str">
        <f t="shared" ca="1" si="56"/>
        <v>ID_652</v>
      </c>
      <c r="B1845" s="17">
        <v>45745</v>
      </c>
      <c r="C1845" s="18" t="str">
        <f>TEXT('Working Sheet'!$B1845,"mmm")</f>
        <v>Mar</v>
      </c>
      <c r="D1845" s="18" t="s">
        <v>11</v>
      </c>
      <c r="E1845" s="18" t="s">
        <v>32</v>
      </c>
      <c r="F1845" s="18" t="s">
        <v>23</v>
      </c>
      <c r="G1845" s="18" t="s">
        <v>20</v>
      </c>
      <c r="H1845" s="18" t="s">
        <v>40</v>
      </c>
      <c r="I1845" s="18" t="s">
        <v>31</v>
      </c>
      <c r="J1845" s="19">
        <v>250000</v>
      </c>
      <c r="K1845" s="18">
        <v>4</v>
      </c>
      <c r="L1845" s="18" t="s">
        <v>28</v>
      </c>
      <c r="M1845" s="20">
        <f t="shared" si="57"/>
        <v>200000</v>
      </c>
      <c r="N1845" s="20">
        <f>'Working Sheet'!$J1845*'Working Sheet'!$K1845</f>
        <v>1000000</v>
      </c>
      <c r="O1845" s="21">
        <f>'Working Sheet'!$M1845*'Working Sheet'!$K1845</f>
        <v>800000</v>
      </c>
      <c r="P1845" s="20">
        <f>'Working Sheet'!$N1845-'Working Sheet'!$O1845</f>
        <v>200000</v>
      </c>
    </row>
    <row r="1846" spans="1:16" ht="14.25" customHeight="1" x14ac:dyDescent="0.25">
      <c r="A1846" s="23" t="str">
        <f t="shared" ca="1" si="56"/>
        <v>ID_1680</v>
      </c>
      <c r="B1846" s="22">
        <v>45677</v>
      </c>
      <c r="C1846" s="23" t="str">
        <f>TEXT('Working Sheet'!$B1846,"mmm")</f>
        <v>Jan</v>
      </c>
      <c r="D1846" s="23" t="s">
        <v>29</v>
      </c>
      <c r="E1846" s="23" t="s">
        <v>12</v>
      </c>
      <c r="F1846" s="23" t="s">
        <v>13</v>
      </c>
      <c r="G1846" s="23" t="s">
        <v>20</v>
      </c>
      <c r="H1846" s="23" t="s">
        <v>40</v>
      </c>
      <c r="I1846" s="23" t="s">
        <v>31</v>
      </c>
      <c r="J1846" s="24">
        <v>250000</v>
      </c>
      <c r="K1846" s="23">
        <v>7</v>
      </c>
      <c r="L1846" s="23" t="s">
        <v>17</v>
      </c>
      <c r="M1846" s="25">
        <f t="shared" si="57"/>
        <v>200000</v>
      </c>
      <c r="N1846" s="25">
        <f>'Working Sheet'!$J1846*'Working Sheet'!$K1846</f>
        <v>1750000</v>
      </c>
      <c r="O1846" s="26">
        <f>'Working Sheet'!$M1846*'Working Sheet'!$K1846</f>
        <v>1400000</v>
      </c>
      <c r="P1846" s="25">
        <f>'Working Sheet'!$N1846-'Working Sheet'!$O1846</f>
        <v>350000</v>
      </c>
    </row>
    <row r="1847" spans="1:16" ht="14.25" customHeight="1" x14ac:dyDescent="0.25">
      <c r="A1847" s="18" t="str">
        <f t="shared" ca="1" si="56"/>
        <v>ID_1228</v>
      </c>
      <c r="B1847" s="17">
        <v>45662</v>
      </c>
      <c r="C1847" s="18" t="str">
        <f>TEXT('Working Sheet'!$B1847,"mmm")</f>
        <v>Jan</v>
      </c>
      <c r="D1847" s="18" t="s">
        <v>11</v>
      </c>
      <c r="E1847" s="18" t="s">
        <v>19</v>
      </c>
      <c r="F1847" s="18" t="s">
        <v>13</v>
      </c>
      <c r="G1847" s="18" t="s">
        <v>20</v>
      </c>
      <c r="H1847" s="18" t="s">
        <v>40</v>
      </c>
      <c r="I1847" s="18" t="s">
        <v>31</v>
      </c>
      <c r="J1847" s="19">
        <v>250000</v>
      </c>
      <c r="K1847" s="18">
        <v>3</v>
      </c>
      <c r="L1847" s="18" t="s">
        <v>24</v>
      </c>
      <c r="M1847" s="20">
        <f t="shared" si="57"/>
        <v>200000</v>
      </c>
      <c r="N1847" s="20">
        <f>'Working Sheet'!$J1847*'Working Sheet'!$K1847</f>
        <v>750000</v>
      </c>
      <c r="O1847" s="21">
        <f>'Working Sheet'!$M1847*'Working Sheet'!$K1847</f>
        <v>600000</v>
      </c>
      <c r="P1847" s="20">
        <f>'Working Sheet'!$N1847-'Working Sheet'!$O1847</f>
        <v>150000</v>
      </c>
    </row>
    <row r="1848" spans="1:16" ht="14.25" customHeight="1" x14ac:dyDescent="0.25">
      <c r="A1848" s="23" t="str">
        <f t="shared" ca="1" si="56"/>
        <v>ID_942</v>
      </c>
      <c r="B1848" s="22">
        <v>45730</v>
      </c>
      <c r="C1848" s="23" t="str">
        <f>TEXT('Working Sheet'!$B1848,"mmm")</f>
        <v>Mar</v>
      </c>
      <c r="D1848" s="23" t="s">
        <v>18</v>
      </c>
      <c r="E1848" s="23" t="s">
        <v>26</v>
      </c>
      <c r="F1848" s="23" t="s">
        <v>13</v>
      </c>
      <c r="G1848" s="23" t="s">
        <v>20</v>
      </c>
      <c r="H1848" s="23" t="s">
        <v>36</v>
      </c>
      <c r="I1848" s="23" t="s">
        <v>31</v>
      </c>
      <c r="J1848" s="24">
        <v>150000</v>
      </c>
      <c r="K1848" s="23">
        <v>8</v>
      </c>
      <c r="L1848" s="23" t="s">
        <v>17</v>
      </c>
      <c r="M1848" s="25">
        <f t="shared" si="57"/>
        <v>120000</v>
      </c>
      <c r="N1848" s="25">
        <f>'Working Sheet'!$J1848*'Working Sheet'!$K1848</f>
        <v>1200000</v>
      </c>
      <c r="O1848" s="26">
        <f>'Working Sheet'!$M1848*'Working Sheet'!$K1848</f>
        <v>960000</v>
      </c>
      <c r="P1848" s="25">
        <f>'Working Sheet'!$N1848-'Working Sheet'!$O1848</f>
        <v>240000</v>
      </c>
    </row>
    <row r="1849" spans="1:16" ht="14.25" customHeight="1" x14ac:dyDescent="0.25">
      <c r="A1849" s="18" t="str">
        <f t="shared" ca="1" si="56"/>
        <v>ID_1294</v>
      </c>
      <c r="B1849" s="17">
        <v>45702</v>
      </c>
      <c r="C1849" s="18" t="str">
        <f>TEXT('Working Sheet'!$B1849,"mmm")</f>
        <v>Feb</v>
      </c>
      <c r="D1849" s="18" t="s">
        <v>18</v>
      </c>
      <c r="E1849" s="18" t="s">
        <v>26</v>
      </c>
      <c r="F1849" s="18" t="s">
        <v>23</v>
      </c>
      <c r="G1849" s="18" t="s">
        <v>20</v>
      </c>
      <c r="H1849" s="18" t="s">
        <v>15</v>
      </c>
      <c r="I1849" s="18" t="s">
        <v>16</v>
      </c>
      <c r="J1849" s="19">
        <v>85000</v>
      </c>
      <c r="K1849" s="18">
        <v>1</v>
      </c>
      <c r="L1849" s="18" t="s">
        <v>37</v>
      </c>
      <c r="M1849" s="20">
        <f t="shared" si="57"/>
        <v>68000</v>
      </c>
      <c r="N1849" s="20">
        <f>'Working Sheet'!$J1849*'Working Sheet'!$K1849</f>
        <v>85000</v>
      </c>
      <c r="O1849" s="21">
        <f>'Working Sheet'!$M1849*'Working Sheet'!$K1849</f>
        <v>68000</v>
      </c>
      <c r="P1849" s="20">
        <f>'Working Sheet'!$N1849-'Working Sheet'!$O1849</f>
        <v>17000</v>
      </c>
    </row>
    <row r="1850" spans="1:16" ht="14.25" customHeight="1" x14ac:dyDescent="0.25">
      <c r="A1850" s="23" t="str">
        <f t="shared" ca="1" si="56"/>
        <v>ID_1879</v>
      </c>
      <c r="B1850" s="22">
        <v>45663</v>
      </c>
      <c r="C1850" s="23" t="str">
        <f>TEXT('Working Sheet'!$B1850,"mmm")</f>
        <v>Jan</v>
      </c>
      <c r="D1850" s="23" t="s">
        <v>18</v>
      </c>
      <c r="E1850" s="23" t="s">
        <v>32</v>
      </c>
      <c r="F1850" s="23" t="s">
        <v>13</v>
      </c>
      <c r="G1850" s="23" t="s">
        <v>20</v>
      </c>
      <c r="H1850" s="23" t="s">
        <v>41</v>
      </c>
      <c r="I1850" s="23" t="s">
        <v>22</v>
      </c>
      <c r="J1850" s="24">
        <v>220000</v>
      </c>
      <c r="K1850" s="23">
        <v>6</v>
      </c>
      <c r="L1850" s="23" t="s">
        <v>17</v>
      </c>
      <c r="M1850" s="25">
        <f t="shared" si="57"/>
        <v>176000</v>
      </c>
      <c r="N1850" s="25">
        <f>'Working Sheet'!$J1850*'Working Sheet'!$K1850</f>
        <v>1320000</v>
      </c>
      <c r="O1850" s="26">
        <f>'Working Sheet'!$M1850*'Working Sheet'!$K1850</f>
        <v>1056000</v>
      </c>
      <c r="P1850" s="25">
        <f>'Working Sheet'!$N1850-'Working Sheet'!$O1850</f>
        <v>264000</v>
      </c>
    </row>
    <row r="1851" spans="1:16" ht="14.25" customHeight="1" x14ac:dyDescent="0.25">
      <c r="A1851" s="18" t="str">
        <f t="shared" ca="1" si="56"/>
        <v>ID_748</v>
      </c>
      <c r="B1851" s="17">
        <v>45702</v>
      </c>
      <c r="C1851" s="18" t="str">
        <f>TEXT('Working Sheet'!$B1851,"mmm")</f>
        <v>Feb</v>
      </c>
      <c r="D1851" s="18" t="s">
        <v>18</v>
      </c>
      <c r="E1851" s="18" t="s">
        <v>12</v>
      </c>
      <c r="F1851" s="18" t="s">
        <v>23</v>
      </c>
      <c r="G1851" s="18" t="s">
        <v>20</v>
      </c>
      <c r="H1851" s="18" t="s">
        <v>21</v>
      </c>
      <c r="I1851" s="18" t="s">
        <v>22</v>
      </c>
      <c r="J1851" s="19">
        <v>30000</v>
      </c>
      <c r="K1851" s="18">
        <v>3</v>
      </c>
      <c r="L1851" s="18" t="s">
        <v>17</v>
      </c>
      <c r="M1851" s="20">
        <f t="shared" si="57"/>
        <v>24000</v>
      </c>
      <c r="N1851" s="20">
        <f>'Working Sheet'!$J1851*'Working Sheet'!$K1851</f>
        <v>90000</v>
      </c>
      <c r="O1851" s="21">
        <f>'Working Sheet'!$M1851*'Working Sheet'!$K1851</f>
        <v>72000</v>
      </c>
      <c r="P1851" s="20">
        <f>'Working Sheet'!$N1851-'Working Sheet'!$O1851</f>
        <v>18000</v>
      </c>
    </row>
    <row r="1852" spans="1:16" ht="14.25" customHeight="1" x14ac:dyDescent="0.25">
      <c r="A1852" s="23" t="str">
        <f t="shared" ca="1" si="56"/>
        <v>ID_388</v>
      </c>
      <c r="B1852" s="22">
        <v>45715</v>
      </c>
      <c r="C1852" s="23" t="str">
        <f>TEXT('Working Sheet'!$B1852,"mmm")</f>
        <v>Feb</v>
      </c>
      <c r="D1852" s="23" t="s">
        <v>29</v>
      </c>
      <c r="E1852" s="23" t="s">
        <v>32</v>
      </c>
      <c r="F1852" s="23" t="s">
        <v>23</v>
      </c>
      <c r="G1852" s="23" t="s">
        <v>20</v>
      </c>
      <c r="H1852" s="23" t="s">
        <v>30</v>
      </c>
      <c r="I1852" s="23" t="s">
        <v>31</v>
      </c>
      <c r="J1852" s="24">
        <v>300000</v>
      </c>
      <c r="K1852" s="23">
        <v>3</v>
      </c>
      <c r="L1852" s="23" t="s">
        <v>24</v>
      </c>
      <c r="M1852" s="25">
        <f t="shared" si="57"/>
        <v>240000</v>
      </c>
      <c r="N1852" s="25">
        <f>'Working Sheet'!$J1852*'Working Sheet'!$K1852</f>
        <v>900000</v>
      </c>
      <c r="O1852" s="26">
        <f>'Working Sheet'!$M1852*'Working Sheet'!$K1852</f>
        <v>720000</v>
      </c>
      <c r="P1852" s="25">
        <f>'Working Sheet'!$N1852-'Working Sheet'!$O1852</f>
        <v>180000</v>
      </c>
    </row>
    <row r="1853" spans="1:16" ht="14.25" customHeight="1" x14ac:dyDescent="0.25">
      <c r="A1853" s="18" t="str">
        <f t="shared" ca="1" si="56"/>
        <v>ID_923</v>
      </c>
      <c r="B1853" s="17">
        <v>45773</v>
      </c>
      <c r="C1853" s="18" t="str">
        <f>TEXT('Working Sheet'!$B1853,"mmm")</f>
        <v>Apr</v>
      </c>
      <c r="D1853" s="18" t="s">
        <v>18</v>
      </c>
      <c r="E1853" s="18" t="s">
        <v>26</v>
      </c>
      <c r="F1853" s="18" t="s">
        <v>13</v>
      </c>
      <c r="G1853" s="18" t="s">
        <v>20</v>
      </c>
      <c r="H1853" s="18" t="s">
        <v>40</v>
      </c>
      <c r="I1853" s="18" t="s">
        <v>31</v>
      </c>
      <c r="J1853" s="19">
        <v>250000</v>
      </c>
      <c r="K1853" s="18">
        <v>10</v>
      </c>
      <c r="L1853" s="18" t="s">
        <v>37</v>
      </c>
      <c r="M1853" s="20">
        <f t="shared" si="57"/>
        <v>200000</v>
      </c>
      <c r="N1853" s="20">
        <f>'Working Sheet'!$J1853*'Working Sheet'!$K1853</f>
        <v>2500000</v>
      </c>
      <c r="O1853" s="21">
        <f>'Working Sheet'!$M1853*'Working Sheet'!$K1853</f>
        <v>2000000</v>
      </c>
      <c r="P1853" s="20">
        <f>'Working Sheet'!$N1853-'Working Sheet'!$O1853</f>
        <v>500000</v>
      </c>
    </row>
    <row r="1854" spans="1:16" ht="14.25" customHeight="1" x14ac:dyDescent="0.25">
      <c r="A1854" s="23" t="str">
        <f t="shared" ca="1" si="56"/>
        <v>ID_1112</v>
      </c>
      <c r="B1854" s="22">
        <v>45728</v>
      </c>
      <c r="C1854" s="23" t="str">
        <f>TEXT('Working Sheet'!$B1854,"mmm")</f>
        <v>Mar</v>
      </c>
      <c r="D1854" s="23" t="s">
        <v>18</v>
      </c>
      <c r="E1854" s="23" t="s">
        <v>19</v>
      </c>
      <c r="F1854" s="23" t="s">
        <v>13</v>
      </c>
      <c r="G1854" s="23" t="s">
        <v>20</v>
      </c>
      <c r="H1854" s="23" t="s">
        <v>30</v>
      </c>
      <c r="I1854" s="23" t="s">
        <v>31</v>
      </c>
      <c r="J1854" s="24">
        <v>300000</v>
      </c>
      <c r="K1854" s="23">
        <v>4</v>
      </c>
      <c r="L1854" s="23" t="s">
        <v>35</v>
      </c>
      <c r="M1854" s="25">
        <f t="shared" si="57"/>
        <v>240000</v>
      </c>
      <c r="N1854" s="25">
        <f>'Working Sheet'!$J1854*'Working Sheet'!$K1854</f>
        <v>1200000</v>
      </c>
      <c r="O1854" s="26">
        <f>'Working Sheet'!$M1854*'Working Sheet'!$K1854</f>
        <v>960000</v>
      </c>
      <c r="P1854" s="25">
        <f>'Working Sheet'!$N1854-'Working Sheet'!$O1854</f>
        <v>240000</v>
      </c>
    </row>
    <row r="1855" spans="1:16" ht="14.25" customHeight="1" x14ac:dyDescent="0.25">
      <c r="A1855" s="18" t="str">
        <f t="shared" ca="1" si="56"/>
        <v>ID_684</v>
      </c>
      <c r="B1855" s="17">
        <v>45769</v>
      </c>
      <c r="C1855" s="18" t="str">
        <f>TEXT('Working Sheet'!$B1855,"mmm")</f>
        <v>Apr</v>
      </c>
      <c r="D1855" s="18" t="s">
        <v>25</v>
      </c>
      <c r="E1855" s="18" t="s">
        <v>26</v>
      </c>
      <c r="F1855" s="18" t="s">
        <v>13</v>
      </c>
      <c r="G1855" s="18" t="s">
        <v>20</v>
      </c>
      <c r="H1855" s="18" t="s">
        <v>34</v>
      </c>
      <c r="I1855" s="18" t="s">
        <v>16</v>
      </c>
      <c r="J1855" s="19">
        <v>320000</v>
      </c>
      <c r="K1855" s="18">
        <v>5</v>
      </c>
      <c r="L1855" s="18" t="s">
        <v>39</v>
      </c>
      <c r="M1855" s="20">
        <f t="shared" si="57"/>
        <v>256000</v>
      </c>
      <c r="N1855" s="20">
        <f>'Working Sheet'!$J1855*'Working Sheet'!$K1855</f>
        <v>1600000</v>
      </c>
      <c r="O1855" s="21">
        <f>'Working Sheet'!$M1855*'Working Sheet'!$K1855</f>
        <v>1280000</v>
      </c>
      <c r="P1855" s="20">
        <f>'Working Sheet'!$N1855-'Working Sheet'!$O1855</f>
        <v>320000</v>
      </c>
    </row>
    <row r="1856" spans="1:16" ht="14.25" customHeight="1" x14ac:dyDescent="0.25">
      <c r="A1856" s="23" t="str">
        <f t="shared" ca="1" si="56"/>
        <v>ID_2087</v>
      </c>
      <c r="B1856" s="22">
        <v>45770</v>
      </c>
      <c r="C1856" s="23" t="str">
        <f>TEXT('Working Sheet'!$B1856,"mmm")</f>
        <v>Apr</v>
      </c>
      <c r="D1856" s="23" t="s">
        <v>25</v>
      </c>
      <c r="E1856" s="23" t="s">
        <v>19</v>
      </c>
      <c r="F1856" s="23" t="s">
        <v>13</v>
      </c>
      <c r="G1856" s="23" t="s">
        <v>20</v>
      </c>
      <c r="H1856" s="23" t="s">
        <v>34</v>
      </c>
      <c r="I1856" s="23" t="s">
        <v>16</v>
      </c>
      <c r="J1856" s="24">
        <v>320000</v>
      </c>
      <c r="K1856" s="23">
        <v>1</v>
      </c>
      <c r="L1856" s="23" t="s">
        <v>24</v>
      </c>
      <c r="M1856" s="25">
        <f t="shared" si="57"/>
        <v>256000</v>
      </c>
      <c r="N1856" s="25">
        <f>'Working Sheet'!$J1856*'Working Sheet'!$K1856</f>
        <v>320000</v>
      </c>
      <c r="O1856" s="26">
        <f>'Working Sheet'!$M1856*'Working Sheet'!$K1856</f>
        <v>256000</v>
      </c>
      <c r="P1856" s="25">
        <f>'Working Sheet'!$N1856-'Working Sheet'!$O1856</f>
        <v>64000</v>
      </c>
    </row>
    <row r="1857" spans="1:16" ht="14.25" customHeight="1" x14ac:dyDescent="0.25">
      <c r="A1857" s="18" t="str">
        <f t="shared" ca="1" si="56"/>
        <v>ID_1570</v>
      </c>
      <c r="B1857" s="17">
        <v>45677</v>
      </c>
      <c r="C1857" s="18" t="str">
        <f>TEXT('Working Sheet'!$B1857,"mmm")</f>
        <v>Jan</v>
      </c>
      <c r="D1857" s="18" t="s">
        <v>29</v>
      </c>
      <c r="E1857" s="18" t="s">
        <v>12</v>
      </c>
      <c r="F1857" s="18" t="s">
        <v>13</v>
      </c>
      <c r="G1857" s="18" t="s">
        <v>20</v>
      </c>
      <c r="H1857" s="18" t="s">
        <v>38</v>
      </c>
      <c r="I1857" s="18" t="s">
        <v>31</v>
      </c>
      <c r="J1857" s="19">
        <v>420000</v>
      </c>
      <c r="K1857" s="18">
        <v>4</v>
      </c>
      <c r="L1857" s="18" t="s">
        <v>37</v>
      </c>
      <c r="M1857" s="20">
        <f t="shared" si="57"/>
        <v>336000</v>
      </c>
      <c r="N1857" s="20">
        <f>'Working Sheet'!$J1857*'Working Sheet'!$K1857</f>
        <v>1680000</v>
      </c>
      <c r="O1857" s="21">
        <f>'Working Sheet'!$M1857*'Working Sheet'!$K1857</f>
        <v>1344000</v>
      </c>
      <c r="P1857" s="20">
        <f>'Working Sheet'!$N1857-'Working Sheet'!$O1857</f>
        <v>336000</v>
      </c>
    </row>
    <row r="1858" spans="1:16" ht="14.25" customHeight="1" x14ac:dyDescent="0.25">
      <c r="A1858" s="23" t="str">
        <f t="shared" ref="A1858:A1921" ca="1" si="58">"ID_"&amp; RANDBETWEEN(1,2098)</f>
        <v>ID_1171</v>
      </c>
      <c r="B1858" s="22">
        <v>45752</v>
      </c>
      <c r="C1858" s="23" t="str">
        <f>TEXT('Working Sheet'!$B1858,"mmm")</f>
        <v>Apr</v>
      </c>
      <c r="D1858" s="23" t="s">
        <v>25</v>
      </c>
      <c r="E1858" s="23" t="s">
        <v>26</v>
      </c>
      <c r="F1858" s="23" t="s">
        <v>23</v>
      </c>
      <c r="G1858" s="23" t="s">
        <v>20</v>
      </c>
      <c r="H1858" s="23" t="s">
        <v>15</v>
      </c>
      <c r="I1858" s="23" t="s">
        <v>16</v>
      </c>
      <c r="J1858" s="24">
        <v>85000</v>
      </c>
      <c r="K1858" s="23">
        <v>5</v>
      </c>
      <c r="L1858" s="23" t="s">
        <v>28</v>
      </c>
      <c r="M1858" s="25">
        <f t="shared" ref="M1858:M1921" si="59">J1858-J1858*0.2</f>
        <v>68000</v>
      </c>
      <c r="N1858" s="25">
        <f>'Working Sheet'!$J1858*'Working Sheet'!$K1858</f>
        <v>425000</v>
      </c>
      <c r="O1858" s="26">
        <f>'Working Sheet'!$M1858*'Working Sheet'!$K1858</f>
        <v>340000</v>
      </c>
      <c r="P1858" s="25">
        <f>'Working Sheet'!$N1858-'Working Sheet'!$O1858</f>
        <v>85000</v>
      </c>
    </row>
    <row r="1859" spans="1:16" ht="14.25" customHeight="1" x14ac:dyDescent="0.25">
      <c r="A1859" s="18" t="str">
        <f t="shared" ca="1" si="58"/>
        <v>ID_1588</v>
      </c>
      <c r="B1859" s="17">
        <v>45729</v>
      </c>
      <c r="C1859" s="18" t="str">
        <f>TEXT('Working Sheet'!$B1859,"mmm")</f>
        <v>Mar</v>
      </c>
      <c r="D1859" s="18" t="s">
        <v>18</v>
      </c>
      <c r="E1859" s="18" t="s">
        <v>19</v>
      </c>
      <c r="F1859" s="18" t="s">
        <v>23</v>
      </c>
      <c r="G1859" s="18" t="s">
        <v>20</v>
      </c>
      <c r="H1859" s="18" t="s">
        <v>27</v>
      </c>
      <c r="I1859" s="18" t="s">
        <v>22</v>
      </c>
      <c r="J1859" s="19">
        <v>60000</v>
      </c>
      <c r="K1859" s="18">
        <v>3</v>
      </c>
      <c r="L1859" s="18" t="s">
        <v>17</v>
      </c>
      <c r="M1859" s="20">
        <f t="shared" si="59"/>
        <v>48000</v>
      </c>
      <c r="N1859" s="20">
        <f>'Working Sheet'!$J1859*'Working Sheet'!$K1859</f>
        <v>180000</v>
      </c>
      <c r="O1859" s="21">
        <f>'Working Sheet'!$M1859*'Working Sheet'!$K1859</f>
        <v>144000</v>
      </c>
      <c r="P1859" s="20">
        <f>'Working Sheet'!$N1859-'Working Sheet'!$O1859</f>
        <v>36000</v>
      </c>
    </row>
    <row r="1860" spans="1:16" ht="14.25" customHeight="1" x14ac:dyDescent="0.25">
      <c r="A1860" s="23" t="str">
        <f t="shared" ca="1" si="58"/>
        <v>ID_1443</v>
      </c>
      <c r="B1860" s="22">
        <v>45672</v>
      </c>
      <c r="C1860" s="23" t="str">
        <f>TEXT('Working Sheet'!$B1860,"mmm")</f>
        <v>Jan</v>
      </c>
      <c r="D1860" s="23" t="s">
        <v>11</v>
      </c>
      <c r="E1860" s="23" t="s">
        <v>32</v>
      </c>
      <c r="F1860" s="23" t="s">
        <v>13</v>
      </c>
      <c r="G1860" s="23" t="s">
        <v>20</v>
      </c>
      <c r="H1860" s="23" t="s">
        <v>40</v>
      </c>
      <c r="I1860" s="23" t="s">
        <v>31</v>
      </c>
      <c r="J1860" s="24">
        <v>250000</v>
      </c>
      <c r="K1860" s="23">
        <v>4</v>
      </c>
      <c r="L1860" s="23" t="s">
        <v>37</v>
      </c>
      <c r="M1860" s="25">
        <f t="shared" si="59"/>
        <v>200000</v>
      </c>
      <c r="N1860" s="25">
        <f>'Working Sheet'!$J1860*'Working Sheet'!$K1860</f>
        <v>1000000</v>
      </c>
      <c r="O1860" s="26">
        <f>'Working Sheet'!$M1860*'Working Sheet'!$K1860</f>
        <v>800000</v>
      </c>
      <c r="P1860" s="25">
        <f>'Working Sheet'!$N1860-'Working Sheet'!$O1860</f>
        <v>200000</v>
      </c>
    </row>
    <row r="1861" spans="1:16" ht="14.25" customHeight="1" x14ac:dyDescent="0.25">
      <c r="A1861" s="18" t="str">
        <f t="shared" ca="1" si="58"/>
        <v>ID_268</v>
      </c>
      <c r="B1861" s="17">
        <v>45747</v>
      </c>
      <c r="C1861" s="18" t="str">
        <f>TEXT('Working Sheet'!$B1861,"mmm")</f>
        <v>Mar</v>
      </c>
      <c r="D1861" s="18" t="s">
        <v>18</v>
      </c>
      <c r="E1861" s="18" t="s">
        <v>12</v>
      </c>
      <c r="F1861" s="18" t="s">
        <v>13</v>
      </c>
      <c r="G1861" s="18" t="s">
        <v>20</v>
      </c>
      <c r="H1861" s="18" t="s">
        <v>38</v>
      </c>
      <c r="I1861" s="18" t="s">
        <v>31</v>
      </c>
      <c r="J1861" s="19">
        <v>420000</v>
      </c>
      <c r="K1861" s="18">
        <v>5</v>
      </c>
      <c r="L1861" s="18" t="s">
        <v>17</v>
      </c>
      <c r="M1861" s="20">
        <f t="shared" si="59"/>
        <v>336000</v>
      </c>
      <c r="N1861" s="20">
        <f>'Working Sheet'!$J1861*'Working Sheet'!$K1861</f>
        <v>2100000</v>
      </c>
      <c r="O1861" s="21">
        <f>'Working Sheet'!$M1861*'Working Sheet'!$K1861</f>
        <v>1680000</v>
      </c>
      <c r="P1861" s="20">
        <f>'Working Sheet'!$N1861-'Working Sheet'!$O1861</f>
        <v>420000</v>
      </c>
    </row>
    <row r="1862" spans="1:16" ht="14.25" customHeight="1" x14ac:dyDescent="0.25">
      <c r="A1862" s="23" t="str">
        <f t="shared" ca="1" si="58"/>
        <v>ID_907</v>
      </c>
      <c r="B1862" s="22">
        <v>45742</v>
      </c>
      <c r="C1862" s="23" t="str">
        <f>TEXT('Working Sheet'!$B1862,"mmm")</f>
        <v>Mar</v>
      </c>
      <c r="D1862" s="23" t="s">
        <v>11</v>
      </c>
      <c r="E1862" s="23" t="s">
        <v>26</v>
      </c>
      <c r="F1862" s="23" t="s">
        <v>13</v>
      </c>
      <c r="G1862" s="23" t="s">
        <v>20</v>
      </c>
      <c r="H1862" s="23" t="s">
        <v>36</v>
      </c>
      <c r="I1862" s="23" t="s">
        <v>31</v>
      </c>
      <c r="J1862" s="24">
        <v>150000</v>
      </c>
      <c r="K1862" s="23">
        <v>5</v>
      </c>
      <c r="L1862" s="23" t="s">
        <v>28</v>
      </c>
      <c r="M1862" s="25">
        <f t="shared" si="59"/>
        <v>120000</v>
      </c>
      <c r="N1862" s="25">
        <f>'Working Sheet'!$J1862*'Working Sheet'!$K1862</f>
        <v>750000</v>
      </c>
      <c r="O1862" s="26">
        <f>'Working Sheet'!$M1862*'Working Sheet'!$K1862</f>
        <v>600000</v>
      </c>
      <c r="P1862" s="25">
        <f>'Working Sheet'!$N1862-'Working Sheet'!$O1862</f>
        <v>150000</v>
      </c>
    </row>
    <row r="1863" spans="1:16" ht="14.25" customHeight="1" x14ac:dyDescent="0.25">
      <c r="A1863" s="18" t="str">
        <f t="shared" ca="1" si="58"/>
        <v>ID_1164</v>
      </c>
      <c r="B1863" s="17">
        <v>45688</v>
      </c>
      <c r="C1863" s="18" t="str">
        <f>TEXT('Working Sheet'!$B1863,"mmm")</f>
        <v>Jan</v>
      </c>
      <c r="D1863" s="18" t="s">
        <v>29</v>
      </c>
      <c r="E1863" s="18" t="s">
        <v>19</v>
      </c>
      <c r="F1863" s="18" t="s">
        <v>23</v>
      </c>
      <c r="G1863" s="18" t="s">
        <v>20</v>
      </c>
      <c r="H1863" s="18" t="s">
        <v>33</v>
      </c>
      <c r="I1863" s="18" t="s">
        <v>22</v>
      </c>
      <c r="J1863" s="19">
        <v>180000</v>
      </c>
      <c r="K1863" s="18">
        <v>1</v>
      </c>
      <c r="L1863" s="18" t="s">
        <v>35</v>
      </c>
      <c r="M1863" s="20">
        <f t="shared" si="59"/>
        <v>144000</v>
      </c>
      <c r="N1863" s="20">
        <f>'Working Sheet'!$J1863*'Working Sheet'!$K1863</f>
        <v>180000</v>
      </c>
      <c r="O1863" s="21">
        <f>'Working Sheet'!$M1863*'Working Sheet'!$K1863</f>
        <v>144000</v>
      </c>
      <c r="P1863" s="20">
        <f>'Working Sheet'!$N1863-'Working Sheet'!$O1863</f>
        <v>36000</v>
      </c>
    </row>
    <row r="1864" spans="1:16" ht="14.25" customHeight="1" x14ac:dyDescent="0.25">
      <c r="A1864" s="23" t="str">
        <f t="shared" ca="1" si="58"/>
        <v>ID_563</v>
      </c>
      <c r="B1864" s="22">
        <v>45767</v>
      </c>
      <c r="C1864" s="23" t="str">
        <f>TEXT('Working Sheet'!$B1864,"mmm")</f>
        <v>Apr</v>
      </c>
      <c r="D1864" s="23" t="s">
        <v>25</v>
      </c>
      <c r="E1864" s="23" t="s">
        <v>32</v>
      </c>
      <c r="F1864" s="23" t="s">
        <v>23</v>
      </c>
      <c r="G1864" s="23" t="s">
        <v>20</v>
      </c>
      <c r="H1864" s="23" t="s">
        <v>33</v>
      </c>
      <c r="I1864" s="23" t="s">
        <v>22</v>
      </c>
      <c r="J1864" s="24">
        <v>180000</v>
      </c>
      <c r="K1864" s="23">
        <v>1</v>
      </c>
      <c r="L1864" s="23" t="s">
        <v>28</v>
      </c>
      <c r="M1864" s="25">
        <f t="shared" si="59"/>
        <v>144000</v>
      </c>
      <c r="N1864" s="25">
        <f>'Working Sheet'!$J1864*'Working Sheet'!$K1864</f>
        <v>180000</v>
      </c>
      <c r="O1864" s="26">
        <f>'Working Sheet'!$M1864*'Working Sheet'!$K1864</f>
        <v>144000</v>
      </c>
      <c r="P1864" s="25">
        <f>'Working Sheet'!$N1864-'Working Sheet'!$O1864</f>
        <v>36000</v>
      </c>
    </row>
    <row r="1865" spans="1:16" ht="14.25" customHeight="1" x14ac:dyDescent="0.25">
      <c r="A1865" s="18" t="str">
        <f t="shared" ca="1" si="58"/>
        <v>ID_258</v>
      </c>
      <c r="B1865" s="17">
        <v>45760</v>
      </c>
      <c r="C1865" s="18" t="str">
        <f>TEXT('Working Sheet'!$B1865,"mmm")</f>
        <v>Apr</v>
      </c>
      <c r="D1865" s="18" t="s">
        <v>11</v>
      </c>
      <c r="E1865" s="18" t="s">
        <v>19</v>
      </c>
      <c r="F1865" s="18" t="s">
        <v>13</v>
      </c>
      <c r="G1865" s="18" t="s">
        <v>20</v>
      </c>
      <c r="H1865" s="18" t="s">
        <v>40</v>
      </c>
      <c r="I1865" s="18" t="s">
        <v>31</v>
      </c>
      <c r="J1865" s="19">
        <v>250000</v>
      </c>
      <c r="K1865" s="18">
        <v>9</v>
      </c>
      <c r="L1865" s="18" t="s">
        <v>17</v>
      </c>
      <c r="M1865" s="20">
        <f t="shared" si="59"/>
        <v>200000</v>
      </c>
      <c r="N1865" s="20">
        <f>'Working Sheet'!$J1865*'Working Sheet'!$K1865</f>
        <v>2250000</v>
      </c>
      <c r="O1865" s="21">
        <f>'Working Sheet'!$M1865*'Working Sheet'!$K1865</f>
        <v>1800000</v>
      </c>
      <c r="P1865" s="20">
        <f>'Working Sheet'!$N1865-'Working Sheet'!$O1865</f>
        <v>450000</v>
      </c>
    </row>
    <row r="1866" spans="1:16" ht="14.25" customHeight="1" x14ac:dyDescent="0.25">
      <c r="A1866" s="23" t="str">
        <f t="shared" ca="1" si="58"/>
        <v>ID_282</v>
      </c>
      <c r="B1866" s="22">
        <v>45675</v>
      </c>
      <c r="C1866" s="23" t="str">
        <f>TEXT('Working Sheet'!$B1866,"mmm")</f>
        <v>Jan</v>
      </c>
      <c r="D1866" s="23" t="s">
        <v>29</v>
      </c>
      <c r="E1866" s="23" t="s">
        <v>12</v>
      </c>
      <c r="F1866" s="23" t="s">
        <v>13</v>
      </c>
      <c r="G1866" s="23" t="s">
        <v>20</v>
      </c>
      <c r="H1866" s="23" t="s">
        <v>15</v>
      </c>
      <c r="I1866" s="23" t="s">
        <v>16</v>
      </c>
      <c r="J1866" s="24">
        <v>85000</v>
      </c>
      <c r="K1866" s="23">
        <v>4</v>
      </c>
      <c r="L1866" s="23" t="s">
        <v>35</v>
      </c>
      <c r="M1866" s="25">
        <f t="shared" si="59"/>
        <v>68000</v>
      </c>
      <c r="N1866" s="25">
        <f>'Working Sheet'!$J1866*'Working Sheet'!$K1866</f>
        <v>340000</v>
      </c>
      <c r="O1866" s="26">
        <f>'Working Sheet'!$M1866*'Working Sheet'!$K1866</f>
        <v>272000</v>
      </c>
      <c r="P1866" s="25">
        <f>'Working Sheet'!$N1866-'Working Sheet'!$O1866</f>
        <v>68000</v>
      </c>
    </row>
    <row r="1867" spans="1:16" ht="14.25" customHeight="1" x14ac:dyDescent="0.25">
      <c r="A1867" s="18" t="str">
        <f t="shared" ca="1" si="58"/>
        <v>ID_1049</v>
      </c>
      <c r="B1867" s="17">
        <v>45700</v>
      </c>
      <c r="C1867" s="18" t="str">
        <f>TEXT('Working Sheet'!$B1867,"mmm")</f>
        <v>Feb</v>
      </c>
      <c r="D1867" s="18" t="s">
        <v>11</v>
      </c>
      <c r="E1867" s="18" t="s">
        <v>32</v>
      </c>
      <c r="F1867" s="18" t="s">
        <v>23</v>
      </c>
      <c r="G1867" s="18" t="s">
        <v>20</v>
      </c>
      <c r="H1867" s="18" t="s">
        <v>38</v>
      </c>
      <c r="I1867" s="18" t="s">
        <v>31</v>
      </c>
      <c r="J1867" s="19">
        <v>420000</v>
      </c>
      <c r="K1867" s="18">
        <v>8</v>
      </c>
      <c r="L1867" s="18" t="s">
        <v>24</v>
      </c>
      <c r="M1867" s="20">
        <f t="shared" si="59"/>
        <v>336000</v>
      </c>
      <c r="N1867" s="20">
        <f>'Working Sheet'!$J1867*'Working Sheet'!$K1867</f>
        <v>3360000</v>
      </c>
      <c r="O1867" s="21">
        <f>'Working Sheet'!$M1867*'Working Sheet'!$K1867</f>
        <v>2688000</v>
      </c>
      <c r="P1867" s="20">
        <f>'Working Sheet'!$N1867-'Working Sheet'!$O1867</f>
        <v>672000</v>
      </c>
    </row>
    <row r="1868" spans="1:16" ht="14.25" customHeight="1" x14ac:dyDescent="0.25">
      <c r="A1868" s="23" t="str">
        <f t="shared" ca="1" si="58"/>
        <v>ID_240</v>
      </c>
      <c r="B1868" s="22">
        <v>45724</v>
      </c>
      <c r="C1868" s="23" t="str">
        <f>TEXT('Working Sheet'!$B1868,"mmm")</f>
        <v>Mar</v>
      </c>
      <c r="D1868" s="23" t="s">
        <v>25</v>
      </c>
      <c r="E1868" s="23" t="s">
        <v>32</v>
      </c>
      <c r="F1868" s="23" t="s">
        <v>23</v>
      </c>
      <c r="G1868" s="23" t="s">
        <v>20</v>
      </c>
      <c r="H1868" s="23" t="s">
        <v>34</v>
      </c>
      <c r="I1868" s="23" t="s">
        <v>16</v>
      </c>
      <c r="J1868" s="24">
        <v>320000</v>
      </c>
      <c r="K1868" s="23">
        <v>6</v>
      </c>
      <c r="L1868" s="23" t="s">
        <v>24</v>
      </c>
      <c r="M1868" s="25">
        <f t="shared" si="59"/>
        <v>256000</v>
      </c>
      <c r="N1868" s="25">
        <f>'Working Sheet'!$J1868*'Working Sheet'!$K1868</f>
        <v>1920000</v>
      </c>
      <c r="O1868" s="26">
        <f>'Working Sheet'!$M1868*'Working Sheet'!$K1868</f>
        <v>1536000</v>
      </c>
      <c r="P1868" s="25">
        <f>'Working Sheet'!$N1868-'Working Sheet'!$O1868</f>
        <v>384000</v>
      </c>
    </row>
    <row r="1869" spans="1:16" ht="14.25" customHeight="1" x14ac:dyDescent="0.25">
      <c r="A1869" s="18" t="str">
        <f t="shared" ca="1" si="58"/>
        <v>ID_1467</v>
      </c>
      <c r="B1869" s="17">
        <v>45736</v>
      </c>
      <c r="C1869" s="18" t="str">
        <f>TEXT('Working Sheet'!$B1869,"mmm")</f>
        <v>Mar</v>
      </c>
      <c r="D1869" s="18" t="s">
        <v>29</v>
      </c>
      <c r="E1869" s="18" t="s">
        <v>19</v>
      </c>
      <c r="F1869" s="18" t="s">
        <v>13</v>
      </c>
      <c r="G1869" s="18" t="s">
        <v>20</v>
      </c>
      <c r="H1869" s="18" t="s">
        <v>36</v>
      </c>
      <c r="I1869" s="18" t="s">
        <v>31</v>
      </c>
      <c r="J1869" s="19">
        <v>150000</v>
      </c>
      <c r="K1869" s="18">
        <v>3</v>
      </c>
      <c r="L1869" s="18" t="s">
        <v>37</v>
      </c>
      <c r="M1869" s="20">
        <f t="shared" si="59"/>
        <v>120000</v>
      </c>
      <c r="N1869" s="20">
        <f>'Working Sheet'!$J1869*'Working Sheet'!$K1869</f>
        <v>450000</v>
      </c>
      <c r="O1869" s="21">
        <f>'Working Sheet'!$M1869*'Working Sheet'!$K1869</f>
        <v>360000</v>
      </c>
      <c r="P1869" s="20">
        <f>'Working Sheet'!$N1869-'Working Sheet'!$O1869</f>
        <v>90000</v>
      </c>
    </row>
    <row r="1870" spans="1:16" ht="14.25" customHeight="1" x14ac:dyDescent="0.25">
      <c r="A1870" s="23" t="str">
        <f t="shared" ca="1" si="58"/>
        <v>ID_516</v>
      </c>
      <c r="B1870" s="22">
        <v>45677</v>
      </c>
      <c r="C1870" s="23" t="str">
        <f>TEXT('Working Sheet'!$B1870,"mmm")</f>
        <v>Jan</v>
      </c>
      <c r="D1870" s="23" t="s">
        <v>11</v>
      </c>
      <c r="E1870" s="23" t="s">
        <v>32</v>
      </c>
      <c r="F1870" s="23" t="s">
        <v>13</v>
      </c>
      <c r="G1870" s="23" t="s">
        <v>20</v>
      </c>
      <c r="H1870" s="23" t="s">
        <v>15</v>
      </c>
      <c r="I1870" s="23" t="s">
        <v>16</v>
      </c>
      <c r="J1870" s="24">
        <v>85000</v>
      </c>
      <c r="K1870" s="23">
        <v>3</v>
      </c>
      <c r="L1870" s="23" t="s">
        <v>28</v>
      </c>
      <c r="M1870" s="25">
        <f t="shared" si="59"/>
        <v>68000</v>
      </c>
      <c r="N1870" s="25">
        <f>'Working Sheet'!$J1870*'Working Sheet'!$K1870</f>
        <v>255000</v>
      </c>
      <c r="O1870" s="26">
        <f>'Working Sheet'!$M1870*'Working Sheet'!$K1870</f>
        <v>204000</v>
      </c>
      <c r="P1870" s="25">
        <f>'Working Sheet'!$N1870-'Working Sheet'!$O1870</f>
        <v>51000</v>
      </c>
    </row>
    <row r="1871" spans="1:16" ht="14.25" customHeight="1" x14ac:dyDescent="0.25">
      <c r="A1871" s="18" t="str">
        <f t="shared" ca="1" si="58"/>
        <v>ID_675</v>
      </c>
      <c r="B1871" s="17">
        <v>45732</v>
      </c>
      <c r="C1871" s="18" t="str">
        <f>TEXT('Working Sheet'!$B1871,"mmm")</f>
        <v>Mar</v>
      </c>
      <c r="D1871" s="18" t="s">
        <v>29</v>
      </c>
      <c r="E1871" s="18" t="s">
        <v>19</v>
      </c>
      <c r="F1871" s="18" t="s">
        <v>13</v>
      </c>
      <c r="G1871" s="18" t="s">
        <v>20</v>
      </c>
      <c r="H1871" s="18" t="s">
        <v>30</v>
      </c>
      <c r="I1871" s="18" t="s">
        <v>31</v>
      </c>
      <c r="J1871" s="19">
        <v>300000</v>
      </c>
      <c r="K1871" s="18">
        <v>1</v>
      </c>
      <c r="L1871" s="18" t="s">
        <v>28</v>
      </c>
      <c r="M1871" s="20">
        <f t="shared" si="59"/>
        <v>240000</v>
      </c>
      <c r="N1871" s="20">
        <f>'Working Sheet'!$J1871*'Working Sheet'!$K1871</f>
        <v>300000</v>
      </c>
      <c r="O1871" s="21">
        <f>'Working Sheet'!$M1871*'Working Sheet'!$K1871</f>
        <v>240000</v>
      </c>
      <c r="P1871" s="20">
        <f>'Working Sheet'!$N1871-'Working Sheet'!$O1871</f>
        <v>60000</v>
      </c>
    </row>
    <row r="1872" spans="1:16" ht="14.25" customHeight="1" x14ac:dyDescent="0.25">
      <c r="A1872" s="23" t="str">
        <f t="shared" ca="1" si="58"/>
        <v>ID_2000</v>
      </c>
      <c r="B1872" s="22">
        <v>45745</v>
      </c>
      <c r="C1872" s="23" t="str">
        <f>TEXT('Working Sheet'!$B1872,"mmm")</f>
        <v>Mar</v>
      </c>
      <c r="D1872" s="23" t="s">
        <v>25</v>
      </c>
      <c r="E1872" s="23" t="s">
        <v>19</v>
      </c>
      <c r="F1872" s="23" t="s">
        <v>23</v>
      </c>
      <c r="G1872" s="23" t="s">
        <v>14</v>
      </c>
      <c r="H1872" s="23" t="s">
        <v>33</v>
      </c>
      <c r="I1872" s="23" t="s">
        <v>22</v>
      </c>
      <c r="J1872" s="24">
        <v>180000</v>
      </c>
      <c r="K1872" s="23">
        <v>4</v>
      </c>
      <c r="L1872" s="23" t="s">
        <v>37</v>
      </c>
      <c r="M1872" s="25">
        <f t="shared" si="59"/>
        <v>144000</v>
      </c>
      <c r="N1872" s="25">
        <f>'Working Sheet'!$J1872*'Working Sheet'!$K1872</f>
        <v>720000</v>
      </c>
      <c r="O1872" s="26">
        <f>'Working Sheet'!$M1872*'Working Sheet'!$K1872</f>
        <v>576000</v>
      </c>
      <c r="P1872" s="25">
        <f>'Working Sheet'!$N1872-'Working Sheet'!$O1872</f>
        <v>144000</v>
      </c>
    </row>
    <row r="1873" spans="1:16" ht="14.25" customHeight="1" x14ac:dyDescent="0.25">
      <c r="A1873" s="18" t="str">
        <f t="shared" ca="1" si="58"/>
        <v>ID_150</v>
      </c>
      <c r="B1873" s="17">
        <v>45728</v>
      </c>
      <c r="C1873" s="18" t="str">
        <f>TEXT('Working Sheet'!$B1873,"mmm")</f>
        <v>Mar</v>
      </c>
      <c r="D1873" s="18" t="s">
        <v>11</v>
      </c>
      <c r="E1873" s="18" t="s">
        <v>19</v>
      </c>
      <c r="F1873" s="18" t="s">
        <v>13</v>
      </c>
      <c r="G1873" s="18" t="s">
        <v>14</v>
      </c>
      <c r="H1873" s="18" t="s">
        <v>38</v>
      </c>
      <c r="I1873" s="18" t="s">
        <v>31</v>
      </c>
      <c r="J1873" s="19">
        <v>420000</v>
      </c>
      <c r="K1873" s="18">
        <v>10</v>
      </c>
      <c r="L1873" s="18" t="s">
        <v>35</v>
      </c>
      <c r="M1873" s="20">
        <f t="shared" si="59"/>
        <v>336000</v>
      </c>
      <c r="N1873" s="20">
        <f>'Working Sheet'!$J1873*'Working Sheet'!$K1873</f>
        <v>4200000</v>
      </c>
      <c r="O1873" s="21">
        <f>'Working Sheet'!$M1873*'Working Sheet'!$K1873</f>
        <v>3360000</v>
      </c>
      <c r="P1873" s="20">
        <f>'Working Sheet'!$N1873-'Working Sheet'!$O1873</f>
        <v>840000</v>
      </c>
    </row>
    <row r="1874" spans="1:16" ht="14.25" customHeight="1" x14ac:dyDescent="0.25">
      <c r="A1874" s="23" t="str">
        <f t="shared" ca="1" si="58"/>
        <v>ID_1142</v>
      </c>
      <c r="B1874" s="22">
        <v>45750</v>
      </c>
      <c r="C1874" s="23" t="str">
        <f>TEXT('Working Sheet'!$B1874,"mmm")</f>
        <v>Apr</v>
      </c>
      <c r="D1874" s="23" t="s">
        <v>29</v>
      </c>
      <c r="E1874" s="23" t="s">
        <v>32</v>
      </c>
      <c r="F1874" s="23" t="s">
        <v>23</v>
      </c>
      <c r="G1874" s="23" t="s">
        <v>14</v>
      </c>
      <c r="H1874" s="23" t="s">
        <v>36</v>
      </c>
      <c r="I1874" s="23" t="s">
        <v>31</v>
      </c>
      <c r="J1874" s="24">
        <v>150000</v>
      </c>
      <c r="K1874" s="23">
        <v>4</v>
      </c>
      <c r="L1874" s="23" t="s">
        <v>39</v>
      </c>
      <c r="M1874" s="25">
        <f t="shared" si="59"/>
        <v>120000</v>
      </c>
      <c r="N1874" s="25">
        <f>'Working Sheet'!$J1874*'Working Sheet'!$K1874</f>
        <v>600000</v>
      </c>
      <c r="O1874" s="26">
        <f>'Working Sheet'!$M1874*'Working Sheet'!$K1874</f>
        <v>480000</v>
      </c>
      <c r="P1874" s="25">
        <f>'Working Sheet'!$N1874-'Working Sheet'!$O1874</f>
        <v>120000</v>
      </c>
    </row>
    <row r="1875" spans="1:16" ht="14.25" customHeight="1" x14ac:dyDescent="0.25">
      <c r="A1875" s="18" t="str">
        <f t="shared" ca="1" si="58"/>
        <v>ID_432</v>
      </c>
      <c r="B1875" s="17">
        <v>45770</v>
      </c>
      <c r="C1875" s="18" t="str">
        <f>TEXT('Working Sheet'!$B1875,"mmm")</f>
        <v>Apr</v>
      </c>
      <c r="D1875" s="18" t="s">
        <v>18</v>
      </c>
      <c r="E1875" s="18" t="s">
        <v>26</v>
      </c>
      <c r="F1875" s="18" t="s">
        <v>13</v>
      </c>
      <c r="G1875" s="18" t="s">
        <v>14</v>
      </c>
      <c r="H1875" s="18" t="s">
        <v>15</v>
      </c>
      <c r="I1875" s="18" t="s">
        <v>16</v>
      </c>
      <c r="J1875" s="19">
        <v>85000</v>
      </c>
      <c r="K1875" s="18">
        <v>6</v>
      </c>
      <c r="L1875" s="18" t="s">
        <v>39</v>
      </c>
      <c r="M1875" s="20">
        <f t="shared" si="59"/>
        <v>68000</v>
      </c>
      <c r="N1875" s="20">
        <f>'Working Sheet'!$J1875*'Working Sheet'!$K1875</f>
        <v>510000</v>
      </c>
      <c r="O1875" s="21">
        <f>'Working Sheet'!$M1875*'Working Sheet'!$K1875</f>
        <v>408000</v>
      </c>
      <c r="P1875" s="20">
        <f>'Working Sheet'!$N1875-'Working Sheet'!$O1875</f>
        <v>102000</v>
      </c>
    </row>
    <row r="1876" spans="1:16" ht="14.25" customHeight="1" x14ac:dyDescent="0.25">
      <c r="A1876" s="23" t="str">
        <f t="shared" ca="1" si="58"/>
        <v>ID_1175</v>
      </c>
      <c r="B1876" s="22">
        <v>45679</v>
      </c>
      <c r="C1876" s="23" t="str">
        <f>TEXT('Working Sheet'!$B1876,"mmm")</f>
        <v>Jan</v>
      </c>
      <c r="D1876" s="23" t="s">
        <v>25</v>
      </c>
      <c r="E1876" s="23" t="s">
        <v>12</v>
      </c>
      <c r="F1876" s="23" t="s">
        <v>23</v>
      </c>
      <c r="G1876" s="23" t="s">
        <v>20</v>
      </c>
      <c r="H1876" s="23" t="s">
        <v>30</v>
      </c>
      <c r="I1876" s="23" t="s">
        <v>31</v>
      </c>
      <c r="J1876" s="24">
        <v>300000</v>
      </c>
      <c r="K1876" s="23">
        <v>10</v>
      </c>
      <c r="L1876" s="23" t="s">
        <v>17</v>
      </c>
      <c r="M1876" s="25">
        <f t="shared" si="59"/>
        <v>240000</v>
      </c>
      <c r="N1876" s="25">
        <f>'Working Sheet'!$J1876*'Working Sheet'!$K1876</f>
        <v>3000000</v>
      </c>
      <c r="O1876" s="26">
        <f>'Working Sheet'!$M1876*'Working Sheet'!$K1876</f>
        <v>2400000</v>
      </c>
      <c r="P1876" s="25">
        <f>'Working Sheet'!$N1876-'Working Sheet'!$O1876</f>
        <v>600000</v>
      </c>
    </row>
    <row r="1877" spans="1:16" ht="14.25" customHeight="1" x14ac:dyDescent="0.25">
      <c r="A1877" s="18" t="str">
        <f t="shared" ca="1" si="58"/>
        <v>ID_1408</v>
      </c>
      <c r="B1877" s="17">
        <v>45778</v>
      </c>
      <c r="C1877" s="18" t="str">
        <f>TEXT('Working Sheet'!$B1877,"mmm")</f>
        <v>May</v>
      </c>
      <c r="D1877" s="18" t="s">
        <v>18</v>
      </c>
      <c r="E1877" s="18" t="s">
        <v>19</v>
      </c>
      <c r="F1877" s="18" t="s">
        <v>23</v>
      </c>
      <c r="G1877" s="18" t="s">
        <v>20</v>
      </c>
      <c r="H1877" s="18" t="s">
        <v>36</v>
      </c>
      <c r="I1877" s="18" t="s">
        <v>31</v>
      </c>
      <c r="J1877" s="19">
        <v>150000</v>
      </c>
      <c r="K1877" s="18">
        <v>6</v>
      </c>
      <c r="L1877" s="18" t="s">
        <v>39</v>
      </c>
      <c r="M1877" s="20">
        <f t="shared" si="59"/>
        <v>120000</v>
      </c>
      <c r="N1877" s="20">
        <f>'Working Sheet'!$J1877*'Working Sheet'!$K1877</f>
        <v>900000</v>
      </c>
      <c r="O1877" s="21">
        <f>'Working Sheet'!$M1877*'Working Sheet'!$K1877</f>
        <v>720000</v>
      </c>
      <c r="P1877" s="20">
        <f>'Working Sheet'!$N1877-'Working Sheet'!$O1877</f>
        <v>180000</v>
      </c>
    </row>
    <row r="1878" spans="1:16" ht="14.25" customHeight="1" x14ac:dyDescent="0.25">
      <c r="A1878" s="23" t="str">
        <f t="shared" ca="1" si="58"/>
        <v>ID_1424</v>
      </c>
      <c r="B1878" s="22">
        <v>45754</v>
      </c>
      <c r="C1878" s="23" t="str">
        <f>TEXT('Working Sheet'!$B1878,"mmm")</f>
        <v>Apr</v>
      </c>
      <c r="D1878" s="23" t="s">
        <v>25</v>
      </c>
      <c r="E1878" s="23" t="s">
        <v>12</v>
      </c>
      <c r="F1878" s="23" t="s">
        <v>23</v>
      </c>
      <c r="G1878" s="23" t="s">
        <v>20</v>
      </c>
      <c r="H1878" s="23" t="s">
        <v>36</v>
      </c>
      <c r="I1878" s="23" t="s">
        <v>31</v>
      </c>
      <c r="J1878" s="24">
        <v>150000</v>
      </c>
      <c r="K1878" s="23">
        <v>1</v>
      </c>
      <c r="L1878" s="23" t="s">
        <v>39</v>
      </c>
      <c r="M1878" s="25">
        <f t="shared" si="59"/>
        <v>120000</v>
      </c>
      <c r="N1878" s="25">
        <f>'Working Sheet'!$J1878*'Working Sheet'!$K1878</f>
        <v>150000</v>
      </c>
      <c r="O1878" s="26">
        <f>'Working Sheet'!$M1878*'Working Sheet'!$K1878</f>
        <v>120000</v>
      </c>
      <c r="P1878" s="25">
        <f>'Working Sheet'!$N1878-'Working Sheet'!$O1878</f>
        <v>30000</v>
      </c>
    </row>
    <row r="1879" spans="1:16" ht="14.25" customHeight="1" x14ac:dyDescent="0.25">
      <c r="A1879" s="18" t="str">
        <f t="shared" ca="1" si="58"/>
        <v>ID_1033</v>
      </c>
      <c r="B1879" s="17">
        <v>45683</v>
      </c>
      <c r="C1879" s="18" t="str">
        <f>TEXT('Working Sheet'!$B1879,"mmm")</f>
        <v>Jan</v>
      </c>
      <c r="D1879" s="18" t="s">
        <v>29</v>
      </c>
      <c r="E1879" s="18" t="s">
        <v>12</v>
      </c>
      <c r="F1879" s="18" t="s">
        <v>13</v>
      </c>
      <c r="G1879" s="18" t="s">
        <v>20</v>
      </c>
      <c r="H1879" s="18" t="s">
        <v>30</v>
      </c>
      <c r="I1879" s="18" t="s">
        <v>31</v>
      </c>
      <c r="J1879" s="19">
        <v>300000</v>
      </c>
      <c r="K1879" s="18">
        <v>3</v>
      </c>
      <c r="L1879" s="18" t="s">
        <v>28</v>
      </c>
      <c r="M1879" s="20">
        <f t="shared" si="59"/>
        <v>240000</v>
      </c>
      <c r="N1879" s="20">
        <f>'Working Sheet'!$J1879*'Working Sheet'!$K1879</f>
        <v>900000</v>
      </c>
      <c r="O1879" s="21">
        <f>'Working Sheet'!$M1879*'Working Sheet'!$K1879</f>
        <v>720000</v>
      </c>
      <c r="P1879" s="20">
        <f>'Working Sheet'!$N1879-'Working Sheet'!$O1879</f>
        <v>180000</v>
      </c>
    </row>
    <row r="1880" spans="1:16" ht="14.25" customHeight="1" x14ac:dyDescent="0.25">
      <c r="A1880" s="23" t="str">
        <f t="shared" ca="1" si="58"/>
        <v>ID_440</v>
      </c>
      <c r="B1880" s="22">
        <v>45683</v>
      </c>
      <c r="C1880" s="23" t="str">
        <f>TEXT('Working Sheet'!$B1880,"mmm")</f>
        <v>Jan</v>
      </c>
      <c r="D1880" s="23" t="s">
        <v>29</v>
      </c>
      <c r="E1880" s="23" t="s">
        <v>12</v>
      </c>
      <c r="F1880" s="23" t="s">
        <v>13</v>
      </c>
      <c r="G1880" s="23" t="s">
        <v>14</v>
      </c>
      <c r="H1880" s="23" t="s">
        <v>30</v>
      </c>
      <c r="I1880" s="23" t="s">
        <v>31</v>
      </c>
      <c r="J1880" s="24">
        <v>300000</v>
      </c>
      <c r="K1880" s="23">
        <v>8</v>
      </c>
      <c r="L1880" s="23" t="s">
        <v>37</v>
      </c>
      <c r="M1880" s="25">
        <f t="shared" si="59"/>
        <v>240000</v>
      </c>
      <c r="N1880" s="25">
        <f>'Working Sheet'!$J1880*'Working Sheet'!$K1880</f>
        <v>2400000</v>
      </c>
      <c r="O1880" s="26">
        <f>'Working Sheet'!$M1880*'Working Sheet'!$K1880</f>
        <v>1920000</v>
      </c>
      <c r="P1880" s="25">
        <f>'Working Sheet'!$N1880-'Working Sheet'!$O1880</f>
        <v>480000</v>
      </c>
    </row>
    <row r="1881" spans="1:16" ht="14.25" customHeight="1" x14ac:dyDescent="0.25">
      <c r="A1881" s="18" t="str">
        <f t="shared" ca="1" si="58"/>
        <v>ID_1566</v>
      </c>
      <c r="B1881" s="17">
        <v>45659</v>
      </c>
      <c r="C1881" s="18" t="str">
        <f>TEXT('Working Sheet'!$B1881,"mmm")</f>
        <v>Jan</v>
      </c>
      <c r="D1881" s="18" t="s">
        <v>18</v>
      </c>
      <c r="E1881" s="18" t="s">
        <v>12</v>
      </c>
      <c r="F1881" s="18" t="s">
        <v>23</v>
      </c>
      <c r="G1881" s="18" t="s">
        <v>14</v>
      </c>
      <c r="H1881" s="18" t="s">
        <v>30</v>
      </c>
      <c r="I1881" s="18" t="s">
        <v>31</v>
      </c>
      <c r="J1881" s="19">
        <v>300000</v>
      </c>
      <c r="K1881" s="18">
        <v>9</v>
      </c>
      <c r="L1881" s="18" t="s">
        <v>17</v>
      </c>
      <c r="M1881" s="20">
        <f t="shared" si="59"/>
        <v>240000</v>
      </c>
      <c r="N1881" s="20">
        <f>'Working Sheet'!$J1881*'Working Sheet'!$K1881</f>
        <v>2700000</v>
      </c>
      <c r="O1881" s="21">
        <f>'Working Sheet'!$M1881*'Working Sheet'!$K1881</f>
        <v>2160000</v>
      </c>
      <c r="P1881" s="20">
        <f>'Working Sheet'!$N1881-'Working Sheet'!$O1881</f>
        <v>540000</v>
      </c>
    </row>
    <row r="1882" spans="1:16" ht="14.25" customHeight="1" x14ac:dyDescent="0.25">
      <c r="A1882" s="23" t="str">
        <f t="shared" ca="1" si="58"/>
        <v>ID_2018</v>
      </c>
      <c r="B1882" s="22">
        <v>45668</v>
      </c>
      <c r="C1882" s="23" t="str">
        <f>TEXT('Working Sheet'!$B1882,"mmm")</f>
        <v>Jan</v>
      </c>
      <c r="D1882" s="23" t="s">
        <v>29</v>
      </c>
      <c r="E1882" s="23" t="s">
        <v>19</v>
      </c>
      <c r="F1882" s="23" t="s">
        <v>13</v>
      </c>
      <c r="G1882" s="23" t="s">
        <v>14</v>
      </c>
      <c r="H1882" s="23" t="s">
        <v>30</v>
      </c>
      <c r="I1882" s="23" t="s">
        <v>31</v>
      </c>
      <c r="J1882" s="24">
        <v>300000</v>
      </c>
      <c r="K1882" s="23">
        <v>2</v>
      </c>
      <c r="L1882" s="23" t="s">
        <v>35</v>
      </c>
      <c r="M1882" s="25">
        <f t="shared" si="59"/>
        <v>240000</v>
      </c>
      <c r="N1882" s="25">
        <f>'Working Sheet'!$J1882*'Working Sheet'!$K1882</f>
        <v>600000</v>
      </c>
      <c r="O1882" s="26">
        <f>'Working Sheet'!$M1882*'Working Sheet'!$K1882</f>
        <v>480000</v>
      </c>
      <c r="P1882" s="25">
        <f>'Working Sheet'!$N1882-'Working Sheet'!$O1882</f>
        <v>120000</v>
      </c>
    </row>
    <row r="1883" spans="1:16" ht="14.25" customHeight="1" x14ac:dyDescent="0.25">
      <c r="A1883" s="18" t="str">
        <f t="shared" ca="1" si="58"/>
        <v>ID_821</v>
      </c>
      <c r="B1883" s="17">
        <v>45726</v>
      </c>
      <c r="C1883" s="18" t="str">
        <f>TEXT('Working Sheet'!$B1883,"mmm")</f>
        <v>Mar</v>
      </c>
      <c r="D1883" s="18" t="s">
        <v>29</v>
      </c>
      <c r="E1883" s="18" t="s">
        <v>12</v>
      </c>
      <c r="F1883" s="18" t="s">
        <v>23</v>
      </c>
      <c r="G1883" s="18" t="s">
        <v>20</v>
      </c>
      <c r="H1883" s="18" t="s">
        <v>30</v>
      </c>
      <c r="I1883" s="18" t="s">
        <v>31</v>
      </c>
      <c r="J1883" s="19">
        <v>300000</v>
      </c>
      <c r="K1883" s="18">
        <v>10</v>
      </c>
      <c r="L1883" s="18" t="s">
        <v>28</v>
      </c>
      <c r="M1883" s="20">
        <f t="shared" si="59"/>
        <v>240000</v>
      </c>
      <c r="N1883" s="20">
        <f>'Working Sheet'!$J1883*'Working Sheet'!$K1883</f>
        <v>3000000</v>
      </c>
      <c r="O1883" s="21">
        <f>'Working Sheet'!$M1883*'Working Sheet'!$K1883</f>
        <v>2400000</v>
      </c>
      <c r="P1883" s="20">
        <f>'Working Sheet'!$N1883-'Working Sheet'!$O1883</f>
        <v>600000</v>
      </c>
    </row>
    <row r="1884" spans="1:16" ht="14.25" customHeight="1" x14ac:dyDescent="0.25">
      <c r="A1884" s="23" t="str">
        <f t="shared" ca="1" si="58"/>
        <v>ID_1490</v>
      </c>
      <c r="B1884" s="22">
        <v>45663</v>
      </c>
      <c r="C1884" s="23" t="str">
        <f>TEXT('Working Sheet'!$B1884,"mmm")</f>
        <v>Jan</v>
      </c>
      <c r="D1884" s="23" t="s">
        <v>11</v>
      </c>
      <c r="E1884" s="23" t="s">
        <v>26</v>
      </c>
      <c r="F1884" s="23" t="s">
        <v>23</v>
      </c>
      <c r="G1884" s="23" t="s">
        <v>20</v>
      </c>
      <c r="H1884" s="23" t="s">
        <v>41</v>
      </c>
      <c r="I1884" s="23" t="s">
        <v>22</v>
      </c>
      <c r="J1884" s="24">
        <v>220000</v>
      </c>
      <c r="K1884" s="23">
        <v>4</v>
      </c>
      <c r="L1884" s="23" t="s">
        <v>37</v>
      </c>
      <c r="M1884" s="25">
        <f t="shared" si="59"/>
        <v>176000</v>
      </c>
      <c r="N1884" s="25">
        <f>'Working Sheet'!$J1884*'Working Sheet'!$K1884</f>
        <v>880000</v>
      </c>
      <c r="O1884" s="26">
        <f>'Working Sheet'!$M1884*'Working Sheet'!$K1884</f>
        <v>704000</v>
      </c>
      <c r="P1884" s="25">
        <f>'Working Sheet'!$N1884-'Working Sheet'!$O1884</f>
        <v>176000</v>
      </c>
    </row>
    <row r="1885" spans="1:16" ht="14.25" customHeight="1" x14ac:dyDescent="0.25">
      <c r="A1885" s="18" t="str">
        <f t="shared" ca="1" si="58"/>
        <v>ID_1240</v>
      </c>
      <c r="B1885" s="17">
        <v>45772</v>
      </c>
      <c r="C1885" s="18" t="str">
        <f>TEXT('Working Sheet'!$B1885,"mmm")</f>
        <v>Apr</v>
      </c>
      <c r="D1885" s="18" t="s">
        <v>29</v>
      </c>
      <c r="E1885" s="18" t="s">
        <v>19</v>
      </c>
      <c r="F1885" s="18" t="s">
        <v>23</v>
      </c>
      <c r="G1885" s="18" t="s">
        <v>14</v>
      </c>
      <c r="H1885" s="18" t="s">
        <v>15</v>
      </c>
      <c r="I1885" s="18" t="s">
        <v>16</v>
      </c>
      <c r="J1885" s="19">
        <v>85000</v>
      </c>
      <c r="K1885" s="18">
        <v>6</v>
      </c>
      <c r="L1885" s="18" t="s">
        <v>37</v>
      </c>
      <c r="M1885" s="20">
        <f t="shared" si="59"/>
        <v>68000</v>
      </c>
      <c r="N1885" s="20">
        <f>'Working Sheet'!$J1885*'Working Sheet'!$K1885</f>
        <v>510000</v>
      </c>
      <c r="O1885" s="21">
        <f>'Working Sheet'!$M1885*'Working Sheet'!$K1885</f>
        <v>408000</v>
      </c>
      <c r="P1885" s="20">
        <f>'Working Sheet'!$N1885-'Working Sheet'!$O1885</f>
        <v>102000</v>
      </c>
    </row>
    <row r="1886" spans="1:16" ht="14.25" customHeight="1" x14ac:dyDescent="0.25">
      <c r="A1886" s="23" t="str">
        <f t="shared" ca="1" si="58"/>
        <v>ID_760</v>
      </c>
      <c r="B1886" s="22">
        <v>45738</v>
      </c>
      <c r="C1886" s="23" t="str">
        <f>TEXT('Working Sheet'!$B1886,"mmm")</f>
        <v>Mar</v>
      </c>
      <c r="D1886" s="23" t="s">
        <v>11</v>
      </c>
      <c r="E1886" s="23" t="s">
        <v>26</v>
      </c>
      <c r="F1886" s="23" t="s">
        <v>23</v>
      </c>
      <c r="G1886" s="23" t="s">
        <v>20</v>
      </c>
      <c r="H1886" s="23" t="s">
        <v>27</v>
      </c>
      <c r="I1886" s="23" t="s">
        <v>22</v>
      </c>
      <c r="J1886" s="24">
        <v>60000</v>
      </c>
      <c r="K1886" s="23">
        <v>4</v>
      </c>
      <c r="L1886" s="23" t="s">
        <v>28</v>
      </c>
      <c r="M1886" s="25">
        <f t="shared" si="59"/>
        <v>48000</v>
      </c>
      <c r="N1886" s="25">
        <f>'Working Sheet'!$J1886*'Working Sheet'!$K1886</f>
        <v>240000</v>
      </c>
      <c r="O1886" s="26">
        <f>'Working Sheet'!$M1886*'Working Sheet'!$K1886</f>
        <v>192000</v>
      </c>
      <c r="P1886" s="25">
        <f>'Working Sheet'!$N1886-'Working Sheet'!$O1886</f>
        <v>48000</v>
      </c>
    </row>
    <row r="1887" spans="1:16" ht="14.25" customHeight="1" x14ac:dyDescent="0.25">
      <c r="A1887" s="18" t="str">
        <f t="shared" ca="1" si="58"/>
        <v>ID_1846</v>
      </c>
      <c r="B1887" s="17">
        <v>45769</v>
      </c>
      <c r="C1887" s="18" t="str">
        <f>TEXT('Working Sheet'!$B1887,"mmm")</f>
        <v>Apr</v>
      </c>
      <c r="D1887" s="18" t="s">
        <v>18</v>
      </c>
      <c r="E1887" s="18" t="s">
        <v>12</v>
      </c>
      <c r="F1887" s="18" t="s">
        <v>13</v>
      </c>
      <c r="G1887" s="18" t="s">
        <v>20</v>
      </c>
      <c r="H1887" s="18" t="s">
        <v>41</v>
      </c>
      <c r="I1887" s="18" t="s">
        <v>22</v>
      </c>
      <c r="J1887" s="19">
        <v>220000</v>
      </c>
      <c r="K1887" s="18">
        <v>2</v>
      </c>
      <c r="L1887" s="18" t="s">
        <v>24</v>
      </c>
      <c r="M1887" s="20">
        <f t="shared" si="59"/>
        <v>176000</v>
      </c>
      <c r="N1887" s="20">
        <f>'Working Sheet'!$J1887*'Working Sheet'!$K1887</f>
        <v>440000</v>
      </c>
      <c r="O1887" s="21">
        <f>'Working Sheet'!$M1887*'Working Sheet'!$K1887</f>
        <v>352000</v>
      </c>
      <c r="P1887" s="20">
        <f>'Working Sheet'!$N1887-'Working Sheet'!$O1887</f>
        <v>88000</v>
      </c>
    </row>
    <row r="1888" spans="1:16" ht="14.25" customHeight="1" x14ac:dyDescent="0.25">
      <c r="A1888" s="23" t="str">
        <f t="shared" ca="1" si="58"/>
        <v>ID_1544</v>
      </c>
      <c r="B1888" s="22">
        <v>45733</v>
      </c>
      <c r="C1888" s="23" t="str">
        <f>TEXT('Working Sheet'!$B1888,"mmm")</f>
        <v>Mar</v>
      </c>
      <c r="D1888" s="23" t="s">
        <v>18</v>
      </c>
      <c r="E1888" s="23" t="s">
        <v>32</v>
      </c>
      <c r="F1888" s="23" t="s">
        <v>23</v>
      </c>
      <c r="G1888" s="23" t="s">
        <v>14</v>
      </c>
      <c r="H1888" s="23" t="s">
        <v>30</v>
      </c>
      <c r="I1888" s="23" t="s">
        <v>31</v>
      </c>
      <c r="J1888" s="24">
        <v>300000</v>
      </c>
      <c r="K1888" s="23">
        <v>3</v>
      </c>
      <c r="L1888" s="23" t="s">
        <v>17</v>
      </c>
      <c r="M1888" s="25">
        <f t="shared" si="59"/>
        <v>240000</v>
      </c>
      <c r="N1888" s="25">
        <f>'Working Sheet'!$J1888*'Working Sheet'!$K1888</f>
        <v>900000</v>
      </c>
      <c r="O1888" s="26">
        <f>'Working Sheet'!$M1888*'Working Sheet'!$K1888</f>
        <v>720000</v>
      </c>
      <c r="P1888" s="25">
        <f>'Working Sheet'!$N1888-'Working Sheet'!$O1888</f>
        <v>180000</v>
      </c>
    </row>
    <row r="1889" spans="1:16" ht="14.25" customHeight="1" x14ac:dyDescent="0.25">
      <c r="A1889" s="18" t="str">
        <f t="shared" ca="1" si="58"/>
        <v>ID_594</v>
      </c>
      <c r="B1889" s="17">
        <v>45759</v>
      </c>
      <c r="C1889" s="18" t="str">
        <f>TEXT('Working Sheet'!$B1889,"mmm")</f>
        <v>Apr</v>
      </c>
      <c r="D1889" s="18" t="s">
        <v>25</v>
      </c>
      <c r="E1889" s="18" t="s">
        <v>12</v>
      </c>
      <c r="F1889" s="18" t="s">
        <v>23</v>
      </c>
      <c r="G1889" s="18" t="s">
        <v>14</v>
      </c>
      <c r="H1889" s="18" t="s">
        <v>41</v>
      </c>
      <c r="I1889" s="18" t="s">
        <v>22</v>
      </c>
      <c r="J1889" s="19">
        <v>220000</v>
      </c>
      <c r="K1889" s="18">
        <v>8</v>
      </c>
      <c r="L1889" s="18" t="s">
        <v>39</v>
      </c>
      <c r="M1889" s="20">
        <f t="shared" si="59"/>
        <v>176000</v>
      </c>
      <c r="N1889" s="20">
        <f>'Working Sheet'!$J1889*'Working Sheet'!$K1889</f>
        <v>1760000</v>
      </c>
      <c r="O1889" s="21">
        <f>'Working Sheet'!$M1889*'Working Sheet'!$K1889</f>
        <v>1408000</v>
      </c>
      <c r="P1889" s="20">
        <f>'Working Sheet'!$N1889-'Working Sheet'!$O1889</f>
        <v>352000</v>
      </c>
    </row>
    <row r="1890" spans="1:16" ht="14.25" customHeight="1" x14ac:dyDescent="0.25">
      <c r="A1890" s="23" t="str">
        <f t="shared" ca="1" si="58"/>
        <v>ID_1645</v>
      </c>
      <c r="B1890" s="22">
        <v>45752</v>
      </c>
      <c r="C1890" s="23" t="str">
        <f>TEXT('Working Sheet'!$B1890,"mmm")</f>
        <v>Apr</v>
      </c>
      <c r="D1890" s="23" t="s">
        <v>11</v>
      </c>
      <c r="E1890" s="23" t="s">
        <v>12</v>
      </c>
      <c r="F1890" s="23" t="s">
        <v>13</v>
      </c>
      <c r="G1890" s="23" t="s">
        <v>14</v>
      </c>
      <c r="H1890" s="23" t="s">
        <v>40</v>
      </c>
      <c r="I1890" s="23" t="s">
        <v>31</v>
      </c>
      <c r="J1890" s="24">
        <v>250000</v>
      </c>
      <c r="K1890" s="23">
        <v>8</v>
      </c>
      <c r="L1890" s="23" t="s">
        <v>37</v>
      </c>
      <c r="M1890" s="25">
        <f t="shared" si="59"/>
        <v>200000</v>
      </c>
      <c r="N1890" s="25">
        <f>'Working Sheet'!$J1890*'Working Sheet'!$K1890</f>
        <v>2000000</v>
      </c>
      <c r="O1890" s="26">
        <f>'Working Sheet'!$M1890*'Working Sheet'!$K1890</f>
        <v>1600000</v>
      </c>
      <c r="P1890" s="25">
        <f>'Working Sheet'!$N1890-'Working Sheet'!$O1890</f>
        <v>400000</v>
      </c>
    </row>
    <row r="1891" spans="1:16" ht="14.25" customHeight="1" x14ac:dyDescent="0.25">
      <c r="A1891" s="18" t="str">
        <f t="shared" ca="1" si="58"/>
        <v>ID_459</v>
      </c>
      <c r="B1891" s="17">
        <v>45738</v>
      </c>
      <c r="C1891" s="18" t="str">
        <f>TEXT('Working Sheet'!$B1891,"mmm")</f>
        <v>Mar</v>
      </c>
      <c r="D1891" s="18" t="s">
        <v>25</v>
      </c>
      <c r="E1891" s="18" t="s">
        <v>12</v>
      </c>
      <c r="F1891" s="18" t="s">
        <v>13</v>
      </c>
      <c r="G1891" s="18" t="s">
        <v>14</v>
      </c>
      <c r="H1891" s="18" t="s">
        <v>15</v>
      </c>
      <c r="I1891" s="18" t="s">
        <v>16</v>
      </c>
      <c r="J1891" s="19">
        <v>85000</v>
      </c>
      <c r="K1891" s="18">
        <v>2</v>
      </c>
      <c r="L1891" s="18" t="s">
        <v>17</v>
      </c>
      <c r="M1891" s="20">
        <f t="shared" si="59"/>
        <v>68000</v>
      </c>
      <c r="N1891" s="20">
        <f>'Working Sheet'!$J1891*'Working Sheet'!$K1891</f>
        <v>170000</v>
      </c>
      <c r="O1891" s="21">
        <f>'Working Sheet'!$M1891*'Working Sheet'!$K1891</f>
        <v>136000</v>
      </c>
      <c r="P1891" s="20">
        <f>'Working Sheet'!$N1891-'Working Sheet'!$O1891</f>
        <v>34000</v>
      </c>
    </row>
    <row r="1892" spans="1:16" ht="14.25" customHeight="1" x14ac:dyDescent="0.25">
      <c r="A1892" s="23" t="str">
        <f t="shared" ca="1" si="58"/>
        <v>ID_646</v>
      </c>
      <c r="B1892" s="22">
        <v>45777</v>
      </c>
      <c r="C1892" s="23" t="str">
        <f>TEXT('Working Sheet'!$B1892,"mmm")</f>
        <v>Apr</v>
      </c>
      <c r="D1892" s="23" t="s">
        <v>29</v>
      </c>
      <c r="E1892" s="23" t="s">
        <v>26</v>
      </c>
      <c r="F1892" s="23" t="s">
        <v>23</v>
      </c>
      <c r="G1892" s="23" t="s">
        <v>20</v>
      </c>
      <c r="H1892" s="23" t="s">
        <v>36</v>
      </c>
      <c r="I1892" s="23" t="s">
        <v>31</v>
      </c>
      <c r="J1892" s="24">
        <v>150000</v>
      </c>
      <c r="K1892" s="23">
        <v>7</v>
      </c>
      <c r="L1892" s="23" t="s">
        <v>37</v>
      </c>
      <c r="M1892" s="25">
        <f t="shared" si="59"/>
        <v>120000</v>
      </c>
      <c r="N1892" s="25">
        <f>'Working Sheet'!$J1892*'Working Sheet'!$K1892</f>
        <v>1050000</v>
      </c>
      <c r="O1892" s="26">
        <f>'Working Sheet'!$M1892*'Working Sheet'!$K1892</f>
        <v>840000</v>
      </c>
      <c r="P1892" s="25">
        <f>'Working Sheet'!$N1892-'Working Sheet'!$O1892</f>
        <v>210000</v>
      </c>
    </row>
    <row r="1893" spans="1:16" ht="14.25" customHeight="1" x14ac:dyDescent="0.25">
      <c r="A1893" s="18" t="str">
        <f t="shared" ca="1" si="58"/>
        <v>ID_154</v>
      </c>
      <c r="B1893" s="17">
        <v>45730</v>
      </c>
      <c r="C1893" s="18" t="str">
        <f>TEXT('Working Sheet'!$B1893,"mmm")</f>
        <v>Mar</v>
      </c>
      <c r="D1893" s="18" t="s">
        <v>25</v>
      </c>
      <c r="E1893" s="18" t="s">
        <v>26</v>
      </c>
      <c r="F1893" s="18" t="s">
        <v>13</v>
      </c>
      <c r="G1893" s="18" t="s">
        <v>14</v>
      </c>
      <c r="H1893" s="18" t="s">
        <v>21</v>
      </c>
      <c r="I1893" s="18" t="s">
        <v>22</v>
      </c>
      <c r="J1893" s="19">
        <v>30000</v>
      </c>
      <c r="K1893" s="18">
        <v>8</v>
      </c>
      <c r="L1893" s="18" t="s">
        <v>28</v>
      </c>
      <c r="M1893" s="20">
        <f t="shared" si="59"/>
        <v>24000</v>
      </c>
      <c r="N1893" s="20">
        <f>'Working Sheet'!$J1893*'Working Sheet'!$K1893</f>
        <v>240000</v>
      </c>
      <c r="O1893" s="21">
        <f>'Working Sheet'!$M1893*'Working Sheet'!$K1893</f>
        <v>192000</v>
      </c>
      <c r="P1893" s="20">
        <f>'Working Sheet'!$N1893-'Working Sheet'!$O1893</f>
        <v>48000</v>
      </c>
    </row>
    <row r="1894" spans="1:16" ht="14.25" customHeight="1" x14ac:dyDescent="0.25">
      <c r="A1894" s="23" t="str">
        <f t="shared" ca="1" si="58"/>
        <v>ID_382</v>
      </c>
      <c r="B1894" s="22">
        <v>45684</v>
      </c>
      <c r="C1894" s="23" t="str">
        <f>TEXT('Working Sheet'!$B1894,"mmm")</f>
        <v>Jan</v>
      </c>
      <c r="D1894" s="23" t="s">
        <v>11</v>
      </c>
      <c r="E1894" s="23" t="s">
        <v>12</v>
      </c>
      <c r="F1894" s="23" t="s">
        <v>23</v>
      </c>
      <c r="G1894" s="23" t="s">
        <v>14</v>
      </c>
      <c r="H1894" s="23" t="s">
        <v>15</v>
      </c>
      <c r="I1894" s="23" t="s">
        <v>16</v>
      </c>
      <c r="J1894" s="24">
        <v>85000</v>
      </c>
      <c r="K1894" s="23">
        <v>2</v>
      </c>
      <c r="L1894" s="23" t="s">
        <v>37</v>
      </c>
      <c r="M1894" s="25">
        <f t="shared" si="59"/>
        <v>68000</v>
      </c>
      <c r="N1894" s="25">
        <f>'Working Sheet'!$J1894*'Working Sheet'!$K1894</f>
        <v>170000</v>
      </c>
      <c r="O1894" s="26">
        <f>'Working Sheet'!$M1894*'Working Sheet'!$K1894</f>
        <v>136000</v>
      </c>
      <c r="P1894" s="25">
        <f>'Working Sheet'!$N1894-'Working Sheet'!$O1894</f>
        <v>34000</v>
      </c>
    </row>
    <row r="1895" spans="1:16" ht="14.25" customHeight="1" x14ac:dyDescent="0.25">
      <c r="A1895" s="18" t="str">
        <f t="shared" ca="1" si="58"/>
        <v>ID_1063</v>
      </c>
      <c r="B1895" s="17">
        <v>45744</v>
      </c>
      <c r="C1895" s="18" t="str">
        <f>TEXT('Working Sheet'!$B1895,"mmm")</f>
        <v>Mar</v>
      </c>
      <c r="D1895" s="18" t="s">
        <v>11</v>
      </c>
      <c r="E1895" s="18" t="s">
        <v>32</v>
      </c>
      <c r="F1895" s="18" t="s">
        <v>13</v>
      </c>
      <c r="G1895" s="18" t="s">
        <v>14</v>
      </c>
      <c r="H1895" s="18" t="s">
        <v>33</v>
      </c>
      <c r="I1895" s="18" t="s">
        <v>22</v>
      </c>
      <c r="J1895" s="19">
        <v>180000</v>
      </c>
      <c r="K1895" s="18">
        <v>5</v>
      </c>
      <c r="L1895" s="18" t="s">
        <v>24</v>
      </c>
      <c r="M1895" s="20">
        <f t="shared" si="59"/>
        <v>144000</v>
      </c>
      <c r="N1895" s="20">
        <f>'Working Sheet'!$J1895*'Working Sheet'!$K1895</f>
        <v>900000</v>
      </c>
      <c r="O1895" s="21">
        <f>'Working Sheet'!$M1895*'Working Sheet'!$K1895</f>
        <v>720000</v>
      </c>
      <c r="P1895" s="20">
        <f>'Working Sheet'!$N1895-'Working Sheet'!$O1895</f>
        <v>180000</v>
      </c>
    </row>
    <row r="1896" spans="1:16" ht="14.25" customHeight="1" x14ac:dyDescent="0.25">
      <c r="A1896" s="23" t="str">
        <f t="shared" ca="1" si="58"/>
        <v>ID_2069</v>
      </c>
      <c r="B1896" s="22">
        <v>45726</v>
      </c>
      <c r="C1896" s="23" t="str">
        <f>TEXT('Working Sheet'!$B1896,"mmm")</f>
        <v>Mar</v>
      </c>
      <c r="D1896" s="23" t="s">
        <v>11</v>
      </c>
      <c r="E1896" s="23" t="s">
        <v>26</v>
      </c>
      <c r="F1896" s="23" t="s">
        <v>13</v>
      </c>
      <c r="G1896" s="23" t="s">
        <v>14</v>
      </c>
      <c r="H1896" s="23" t="s">
        <v>15</v>
      </c>
      <c r="I1896" s="23" t="s">
        <v>16</v>
      </c>
      <c r="J1896" s="24">
        <v>85000</v>
      </c>
      <c r="K1896" s="23">
        <v>9</v>
      </c>
      <c r="L1896" s="23" t="s">
        <v>37</v>
      </c>
      <c r="M1896" s="25">
        <f t="shared" si="59"/>
        <v>68000</v>
      </c>
      <c r="N1896" s="25">
        <f>'Working Sheet'!$J1896*'Working Sheet'!$K1896</f>
        <v>765000</v>
      </c>
      <c r="O1896" s="26">
        <f>'Working Sheet'!$M1896*'Working Sheet'!$K1896</f>
        <v>612000</v>
      </c>
      <c r="P1896" s="25">
        <f>'Working Sheet'!$N1896-'Working Sheet'!$O1896</f>
        <v>153000</v>
      </c>
    </row>
    <row r="1897" spans="1:16" ht="14.25" customHeight="1" x14ac:dyDescent="0.25">
      <c r="A1897" s="18" t="str">
        <f t="shared" ca="1" si="58"/>
        <v>ID_1746</v>
      </c>
      <c r="B1897" s="17">
        <v>45664</v>
      </c>
      <c r="C1897" s="18" t="str">
        <f>TEXT('Working Sheet'!$B1897,"mmm")</f>
        <v>Jan</v>
      </c>
      <c r="D1897" s="18" t="s">
        <v>11</v>
      </c>
      <c r="E1897" s="18" t="s">
        <v>32</v>
      </c>
      <c r="F1897" s="18" t="s">
        <v>23</v>
      </c>
      <c r="G1897" s="18" t="s">
        <v>14</v>
      </c>
      <c r="H1897" s="18" t="s">
        <v>38</v>
      </c>
      <c r="I1897" s="18" t="s">
        <v>31</v>
      </c>
      <c r="J1897" s="19">
        <v>420000</v>
      </c>
      <c r="K1897" s="18">
        <v>9</v>
      </c>
      <c r="L1897" s="18" t="s">
        <v>24</v>
      </c>
      <c r="M1897" s="20">
        <f t="shared" si="59"/>
        <v>336000</v>
      </c>
      <c r="N1897" s="20">
        <f>'Working Sheet'!$J1897*'Working Sheet'!$K1897</f>
        <v>3780000</v>
      </c>
      <c r="O1897" s="21">
        <f>'Working Sheet'!$M1897*'Working Sheet'!$K1897</f>
        <v>3024000</v>
      </c>
      <c r="P1897" s="20">
        <f>'Working Sheet'!$N1897-'Working Sheet'!$O1897</f>
        <v>756000</v>
      </c>
    </row>
    <row r="1898" spans="1:16" ht="14.25" customHeight="1" x14ac:dyDescent="0.25">
      <c r="A1898" s="23" t="str">
        <f t="shared" ca="1" si="58"/>
        <v>ID_889</v>
      </c>
      <c r="B1898" s="22">
        <v>45728</v>
      </c>
      <c r="C1898" s="23" t="str">
        <f>TEXT('Working Sheet'!$B1898,"mmm")</f>
        <v>Mar</v>
      </c>
      <c r="D1898" s="23" t="s">
        <v>29</v>
      </c>
      <c r="E1898" s="23" t="s">
        <v>32</v>
      </c>
      <c r="F1898" s="23" t="s">
        <v>13</v>
      </c>
      <c r="G1898" s="23" t="s">
        <v>14</v>
      </c>
      <c r="H1898" s="23" t="s">
        <v>34</v>
      </c>
      <c r="I1898" s="23" t="s">
        <v>16</v>
      </c>
      <c r="J1898" s="24">
        <v>320000</v>
      </c>
      <c r="K1898" s="23">
        <v>5</v>
      </c>
      <c r="L1898" s="23" t="s">
        <v>17</v>
      </c>
      <c r="M1898" s="25">
        <f t="shared" si="59"/>
        <v>256000</v>
      </c>
      <c r="N1898" s="25">
        <f>'Working Sheet'!$J1898*'Working Sheet'!$K1898</f>
        <v>1600000</v>
      </c>
      <c r="O1898" s="26">
        <f>'Working Sheet'!$M1898*'Working Sheet'!$K1898</f>
        <v>1280000</v>
      </c>
      <c r="P1898" s="25">
        <f>'Working Sheet'!$N1898-'Working Sheet'!$O1898</f>
        <v>320000</v>
      </c>
    </row>
    <row r="1899" spans="1:16" ht="14.25" customHeight="1" x14ac:dyDescent="0.25">
      <c r="A1899" s="18" t="str">
        <f t="shared" ca="1" si="58"/>
        <v>ID_1898</v>
      </c>
      <c r="B1899" s="17">
        <v>45769</v>
      </c>
      <c r="C1899" s="18" t="str">
        <f>TEXT('Working Sheet'!$B1899,"mmm")</f>
        <v>Apr</v>
      </c>
      <c r="D1899" s="18" t="s">
        <v>11</v>
      </c>
      <c r="E1899" s="18" t="s">
        <v>19</v>
      </c>
      <c r="F1899" s="18" t="s">
        <v>13</v>
      </c>
      <c r="G1899" s="18" t="s">
        <v>14</v>
      </c>
      <c r="H1899" s="18" t="s">
        <v>34</v>
      </c>
      <c r="I1899" s="18" t="s">
        <v>16</v>
      </c>
      <c r="J1899" s="19">
        <v>320000</v>
      </c>
      <c r="K1899" s="18">
        <v>1</v>
      </c>
      <c r="L1899" s="18" t="s">
        <v>37</v>
      </c>
      <c r="M1899" s="20">
        <f t="shared" si="59"/>
        <v>256000</v>
      </c>
      <c r="N1899" s="20">
        <f>'Working Sheet'!$J1899*'Working Sheet'!$K1899</f>
        <v>320000</v>
      </c>
      <c r="O1899" s="21">
        <f>'Working Sheet'!$M1899*'Working Sheet'!$K1899</f>
        <v>256000</v>
      </c>
      <c r="P1899" s="20">
        <f>'Working Sheet'!$N1899-'Working Sheet'!$O1899</f>
        <v>64000</v>
      </c>
    </row>
    <row r="1900" spans="1:16" ht="14.25" customHeight="1" x14ac:dyDescent="0.25">
      <c r="A1900" s="23" t="str">
        <f t="shared" ca="1" si="58"/>
        <v>ID_1543</v>
      </c>
      <c r="B1900" s="22">
        <v>45733</v>
      </c>
      <c r="C1900" s="23" t="str">
        <f>TEXT('Working Sheet'!$B1900,"mmm")</f>
        <v>Mar</v>
      </c>
      <c r="D1900" s="23" t="s">
        <v>29</v>
      </c>
      <c r="E1900" s="23" t="s">
        <v>26</v>
      </c>
      <c r="F1900" s="23" t="s">
        <v>13</v>
      </c>
      <c r="G1900" s="23" t="s">
        <v>14</v>
      </c>
      <c r="H1900" s="23" t="s">
        <v>21</v>
      </c>
      <c r="I1900" s="23" t="s">
        <v>22</v>
      </c>
      <c r="J1900" s="24">
        <v>30000</v>
      </c>
      <c r="K1900" s="23">
        <v>10</v>
      </c>
      <c r="L1900" s="23" t="s">
        <v>35</v>
      </c>
      <c r="M1900" s="25">
        <f t="shared" si="59"/>
        <v>24000</v>
      </c>
      <c r="N1900" s="25">
        <f>'Working Sheet'!$J1900*'Working Sheet'!$K1900</f>
        <v>300000</v>
      </c>
      <c r="O1900" s="26">
        <f>'Working Sheet'!$M1900*'Working Sheet'!$K1900</f>
        <v>240000</v>
      </c>
      <c r="P1900" s="25">
        <f>'Working Sheet'!$N1900-'Working Sheet'!$O1900</f>
        <v>60000</v>
      </c>
    </row>
    <row r="1901" spans="1:16" ht="14.25" customHeight="1" x14ac:dyDescent="0.25">
      <c r="A1901" s="18" t="str">
        <f t="shared" ca="1" si="58"/>
        <v>ID_399</v>
      </c>
      <c r="B1901" s="17">
        <v>45702</v>
      </c>
      <c r="C1901" s="18" t="str">
        <f>TEXT('Working Sheet'!$B1901,"mmm")</f>
        <v>Feb</v>
      </c>
      <c r="D1901" s="18" t="s">
        <v>18</v>
      </c>
      <c r="E1901" s="18" t="s">
        <v>12</v>
      </c>
      <c r="F1901" s="18" t="s">
        <v>13</v>
      </c>
      <c r="G1901" s="18" t="s">
        <v>20</v>
      </c>
      <c r="H1901" s="18" t="s">
        <v>33</v>
      </c>
      <c r="I1901" s="18" t="s">
        <v>22</v>
      </c>
      <c r="J1901" s="19">
        <v>180000</v>
      </c>
      <c r="K1901" s="18">
        <v>10</v>
      </c>
      <c r="L1901" s="18" t="s">
        <v>39</v>
      </c>
      <c r="M1901" s="20">
        <f t="shared" si="59"/>
        <v>144000</v>
      </c>
      <c r="N1901" s="20">
        <f>'Working Sheet'!$J1901*'Working Sheet'!$K1901</f>
        <v>1800000</v>
      </c>
      <c r="O1901" s="21">
        <f>'Working Sheet'!$M1901*'Working Sheet'!$K1901</f>
        <v>1440000</v>
      </c>
      <c r="P1901" s="20">
        <f>'Working Sheet'!$N1901-'Working Sheet'!$O1901</f>
        <v>360000</v>
      </c>
    </row>
    <row r="1902" spans="1:16" ht="14.25" customHeight="1" x14ac:dyDescent="0.25">
      <c r="A1902" s="23" t="str">
        <f t="shared" ca="1" si="58"/>
        <v>ID_1417</v>
      </c>
      <c r="B1902" s="22">
        <v>45732</v>
      </c>
      <c r="C1902" s="23" t="str">
        <f>TEXT('Working Sheet'!$B1902,"mmm")</f>
        <v>Mar</v>
      </c>
      <c r="D1902" s="23" t="s">
        <v>11</v>
      </c>
      <c r="E1902" s="23" t="s">
        <v>26</v>
      </c>
      <c r="F1902" s="23" t="s">
        <v>23</v>
      </c>
      <c r="G1902" s="23" t="s">
        <v>14</v>
      </c>
      <c r="H1902" s="23" t="s">
        <v>34</v>
      </c>
      <c r="I1902" s="23" t="s">
        <v>16</v>
      </c>
      <c r="J1902" s="24">
        <v>320000</v>
      </c>
      <c r="K1902" s="23">
        <v>9</v>
      </c>
      <c r="L1902" s="23" t="s">
        <v>28</v>
      </c>
      <c r="M1902" s="25">
        <f t="shared" si="59"/>
        <v>256000</v>
      </c>
      <c r="N1902" s="25">
        <f>'Working Sheet'!$J1902*'Working Sheet'!$K1902</f>
        <v>2880000</v>
      </c>
      <c r="O1902" s="26">
        <f>'Working Sheet'!$M1902*'Working Sheet'!$K1902</f>
        <v>2304000</v>
      </c>
      <c r="P1902" s="25">
        <f>'Working Sheet'!$N1902-'Working Sheet'!$O1902</f>
        <v>576000</v>
      </c>
    </row>
    <row r="1903" spans="1:16" ht="14.25" customHeight="1" x14ac:dyDescent="0.25">
      <c r="A1903" s="18" t="str">
        <f t="shared" ca="1" si="58"/>
        <v>ID_1250</v>
      </c>
      <c r="B1903" s="17">
        <v>45659</v>
      </c>
      <c r="C1903" s="18" t="str">
        <f>TEXT('Working Sheet'!$B1903,"mmm")</f>
        <v>Jan</v>
      </c>
      <c r="D1903" s="18" t="s">
        <v>11</v>
      </c>
      <c r="E1903" s="18" t="s">
        <v>32</v>
      </c>
      <c r="F1903" s="18" t="s">
        <v>23</v>
      </c>
      <c r="G1903" s="18" t="s">
        <v>14</v>
      </c>
      <c r="H1903" s="18" t="s">
        <v>38</v>
      </c>
      <c r="I1903" s="18" t="s">
        <v>31</v>
      </c>
      <c r="J1903" s="19">
        <v>420000</v>
      </c>
      <c r="K1903" s="18">
        <v>2</v>
      </c>
      <c r="L1903" s="18" t="s">
        <v>37</v>
      </c>
      <c r="M1903" s="20">
        <f t="shared" si="59"/>
        <v>336000</v>
      </c>
      <c r="N1903" s="20">
        <f>'Working Sheet'!$J1903*'Working Sheet'!$K1903</f>
        <v>840000</v>
      </c>
      <c r="O1903" s="21">
        <f>'Working Sheet'!$M1903*'Working Sheet'!$K1903</f>
        <v>672000</v>
      </c>
      <c r="P1903" s="20">
        <f>'Working Sheet'!$N1903-'Working Sheet'!$O1903</f>
        <v>168000</v>
      </c>
    </row>
    <row r="1904" spans="1:16" ht="14.25" customHeight="1" x14ac:dyDescent="0.25">
      <c r="A1904" s="23" t="str">
        <f t="shared" ca="1" si="58"/>
        <v>ID_569</v>
      </c>
      <c r="B1904" s="22">
        <v>45684</v>
      </c>
      <c r="C1904" s="23" t="str">
        <f>TEXT('Working Sheet'!$B1904,"mmm")</f>
        <v>Jan</v>
      </c>
      <c r="D1904" s="23" t="s">
        <v>29</v>
      </c>
      <c r="E1904" s="23" t="s">
        <v>12</v>
      </c>
      <c r="F1904" s="23" t="s">
        <v>13</v>
      </c>
      <c r="G1904" s="23" t="s">
        <v>14</v>
      </c>
      <c r="H1904" s="23" t="s">
        <v>30</v>
      </c>
      <c r="I1904" s="23" t="s">
        <v>31</v>
      </c>
      <c r="J1904" s="24">
        <v>300000</v>
      </c>
      <c r="K1904" s="23">
        <v>6</v>
      </c>
      <c r="L1904" s="23" t="s">
        <v>28</v>
      </c>
      <c r="M1904" s="25">
        <f t="shared" si="59"/>
        <v>240000</v>
      </c>
      <c r="N1904" s="25">
        <f>'Working Sheet'!$J1904*'Working Sheet'!$K1904</f>
        <v>1800000</v>
      </c>
      <c r="O1904" s="26">
        <f>'Working Sheet'!$M1904*'Working Sheet'!$K1904</f>
        <v>1440000</v>
      </c>
      <c r="P1904" s="25">
        <f>'Working Sheet'!$N1904-'Working Sheet'!$O1904</f>
        <v>360000</v>
      </c>
    </row>
    <row r="1905" spans="1:16" ht="14.25" customHeight="1" x14ac:dyDescent="0.25">
      <c r="A1905" s="18" t="str">
        <f t="shared" ca="1" si="58"/>
        <v>ID_709</v>
      </c>
      <c r="B1905" s="17">
        <v>45684</v>
      </c>
      <c r="C1905" s="18" t="str">
        <f>TEXT('Working Sheet'!$B1905,"mmm")</f>
        <v>Jan</v>
      </c>
      <c r="D1905" s="18" t="s">
        <v>29</v>
      </c>
      <c r="E1905" s="18" t="s">
        <v>26</v>
      </c>
      <c r="F1905" s="18" t="s">
        <v>23</v>
      </c>
      <c r="G1905" s="18" t="s">
        <v>20</v>
      </c>
      <c r="H1905" s="18" t="s">
        <v>21</v>
      </c>
      <c r="I1905" s="18" t="s">
        <v>22</v>
      </c>
      <c r="J1905" s="19">
        <v>30000</v>
      </c>
      <c r="K1905" s="18">
        <v>4</v>
      </c>
      <c r="L1905" s="18" t="s">
        <v>24</v>
      </c>
      <c r="M1905" s="20">
        <f t="shared" si="59"/>
        <v>24000</v>
      </c>
      <c r="N1905" s="20">
        <f>'Working Sheet'!$J1905*'Working Sheet'!$K1905</f>
        <v>120000</v>
      </c>
      <c r="O1905" s="21">
        <f>'Working Sheet'!$M1905*'Working Sheet'!$K1905</f>
        <v>96000</v>
      </c>
      <c r="P1905" s="20">
        <f>'Working Sheet'!$N1905-'Working Sheet'!$O1905</f>
        <v>24000</v>
      </c>
    </row>
    <row r="1906" spans="1:16" ht="14.25" customHeight="1" x14ac:dyDescent="0.25">
      <c r="A1906" s="23" t="str">
        <f t="shared" ca="1" si="58"/>
        <v>ID_1403</v>
      </c>
      <c r="B1906" s="22">
        <v>45689</v>
      </c>
      <c r="C1906" s="23" t="str">
        <f>TEXT('Working Sheet'!$B1906,"mmm")</f>
        <v>Feb</v>
      </c>
      <c r="D1906" s="23" t="s">
        <v>25</v>
      </c>
      <c r="E1906" s="23" t="s">
        <v>32</v>
      </c>
      <c r="F1906" s="23" t="s">
        <v>23</v>
      </c>
      <c r="G1906" s="23" t="s">
        <v>20</v>
      </c>
      <c r="H1906" s="23" t="s">
        <v>34</v>
      </c>
      <c r="I1906" s="23" t="s">
        <v>16</v>
      </c>
      <c r="J1906" s="24">
        <v>320000</v>
      </c>
      <c r="K1906" s="23">
        <v>7</v>
      </c>
      <c r="L1906" s="23" t="s">
        <v>28</v>
      </c>
      <c r="M1906" s="25">
        <f t="shared" si="59"/>
        <v>256000</v>
      </c>
      <c r="N1906" s="25">
        <f>'Working Sheet'!$J1906*'Working Sheet'!$K1906</f>
        <v>2240000</v>
      </c>
      <c r="O1906" s="26">
        <f>'Working Sheet'!$M1906*'Working Sheet'!$K1906</f>
        <v>1792000</v>
      </c>
      <c r="P1906" s="25">
        <f>'Working Sheet'!$N1906-'Working Sheet'!$O1906</f>
        <v>448000</v>
      </c>
    </row>
    <row r="1907" spans="1:16" ht="14.25" customHeight="1" x14ac:dyDescent="0.25">
      <c r="A1907" s="18" t="str">
        <f t="shared" ca="1" si="58"/>
        <v>ID_679</v>
      </c>
      <c r="B1907" s="17">
        <v>45668</v>
      </c>
      <c r="C1907" s="18" t="str">
        <f>TEXT('Working Sheet'!$B1907,"mmm")</f>
        <v>Jan</v>
      </c>
      <c r="D1907" s="18" t="s">
        <v>29</v>
      </c>
      <c r="E1907" s="18" t="s">
        <v>26</v>
      </c>
      <c r="F1907" s="18" t="s">
        <v>23</v>
      </c>
      <c r="G1907" s="18" t="s">
        <v>20</v>
      </c>
      <c r="H1907" s="18" t="s">
        <v>34</v>
      </c>
      <c r="I1907" s="18" t="s">
        <v>16</v>
      </c>
      <c r="J1907" s="19">
        <v>320000</v>
      </c>
      <c r="K1907" s="18">
        <v>1</v>
      </c>
      <c r="L1907" s="18" t="s">
        <v>37</v>
      </c>
      <c r="M1907" s="20">
        <f t="shared" si="59"/>
        <v>256000</v>
      </c>
      <c r="N1907" s="20">
        <f>'Working Sheet'!$J1907*'Working Sheet'!$K1907</f>
        <v>320000</v>
      </c>
      <c r="O1907" s="21">
        <f>'Working Sheet'!$M1907*'Working Sheet'!$K1907</f>
        <v>256000</v>
      </c>
      <c r="P1907" s="20">
        <f>'Working Sheet'!$N1907-'Working Sheet'!$O1907</f>
        <v>64000</v>
      </c>
    </row>
    <row r="1908" spans="1:16" ht="14.25" customHeight="1" x14ac:dyDescent="0.25">
      <c r="A1908" s="23" t="str">
        <f t="shared" ca="1" si="58"/>
        <v>ID_1892</v>
      </c>
      <c r="B1908" s="22">
        <v>45760</v>
      </c>
      <c r="C1908" s="23" t="str">
        <f>TEXT('Working Sheet'!$B1908,"mmm")</f>
        <v>Apr</v>
      </c>
      <c r="D1908" s="23" t="s">
        <v>29</v>
      </c>
      <c r="E1908" s="23" t="s">
        <v>26</v>
      </c>
      <c r="F1908" s="23" t="s">
        <v>23</v>
      </c>
      <c r="G1908" s="23" t="s">
        <v>14</v>
      </c>
      <c r="H1908" s="23" t="s">
        <v>30</v>
      </c>
      <c r="I1908" s="23" t="s">
        <v>31</v>
      </c>
      <c r="J1908" s="24">
        <v>300000</v>
      </c>
      <c r="K1908" s="23">
        <v>3</v>
      </c>
      <c r="L1908" s="23" t="s">
        <v>35</v>
      </c>
      <c r="M1908" s="25">
        <f t="shared" si="59"/>
        <v>240000</v>
      </c>
      <c r="N1908" s="25">
        <f>'Working Sheet'!$J1908*'Working Sheet'!$K1908</f>
        <v>900000</v>
      </c>
      <c r="O1908" s="26">
        <f>'Working Sheet'!$M1908*'Working Sheet'!$K1908</f>
        <v>720000</v>
      </c>
      <c r="P1908" s="25">
        <f>'Working Sheet'!$N1908-'Working Sheet'!$O1908</f>
        <v>180000</v>
      </c>
    </row>
    <row r="1909" spans="1:16" ht="14.25" customHeight="1" x14ac:dyDescent="0.25">
      <c r="A1909" s="18" t="str">
        <f t="shared" ca="1" si="58"/>
        <v>ID_930</v>
      </c>
      <c r="B1909" s="17">
        <v>45692</v>
      </c>
      <c r="C1909" s="18" t="str">
        <f>TEXT('Working Sheet'!$B1909,"mmm")</f>
        <v>Feb</v>
      </c>
      <c r="D1909" s="18" t="s">
        <v>29</v>
      </c>
      <c r="E1909" s="18" t="s">
        <v>19</v>
      </c>
      <c r="F1909" s="18" t="s">
        <v>23</v>
      </c>
      <c r="G1909" s="18" t="s">
        <v>14</v>
      </c>
      <c r="H1909" s="18" t="s">
        <v>21</v>
      </c>
      <c r="I1909" s="18" t="s">
        <v>22</v>
      </c>
      <c r="J1909" s="19">
        <v>30000</v>
      </c>
      <c r="K1909" s="18">
        <v>6</v>
      </c>
      <c r="L1909" s="18" t="s">
        <v>28</v>
      </c>
      <c r="M1909" s="20">
        <f t="shared" si="59"/>
        <v>24000</v>
      </c>
      <c r="N1909" s="20">
        <f>'Working Sheet'!$J1909*'Working Sheet'!$K1909</f>
        <v>180000</v>
      </c>
      <c r="O1909" s="21">
        <f>'Working Sheet'!$M1909*'Working Sheet'!$K1909</f>
        <v>144000</v>
      </c>
      <c r="P1909" s="20">
        <f>'Working Sheet'!$N1909-'Working Sheet'!$O1909</f>
        <v>36000</v>
      </c>
    </row>
    <row r="1910" spans="1:16" ht="14.25" customHeight="1" x14ac:dyDescent="0.25">
      <c r="A1910" s="23" t="str">
        <f t="shared" ca="1" si="58"/>
        <v>ID_1372</v>
      </c>
      <c r="B1910" s="22">
        <v>45721</v>
      </c>
      <c r="C1910" s="23" t="str">
        <f>TEXT('Working Sheet'!$B1910,"mmm")</f>
        <v>Mar</v>
      </c>
      <c r="D1910" s="23" t="s">
        <v>18</v>
      </c>
      <c r="E1910" s="23" t="s">
        <v>26</v>
      </c>
      <c r="F1910" s="23" t="s">
        <v>23</v>
      </c>
      <c r="G1910" s="23" t="s">
        <v>20</v>
      </c>
      <c r="H1910" s="23" t="s">
        <v>41</v>
      </c>
      <c r="I1910" s="23" t="s">
        <v>22</v>
      </c>
      <c r="J1910" s="24">
        <v>220000</v>
      </c>
      <c r="K1910" s="23">
        <v>1</v>
      </c>
      <c r="L1910" s="23" t="s">
        <v>28</v>
      </c>
      <c r="M1910" s="25">
        <f t="shared" si="59"/>
        <v>176000</v>
      </c>
      <c r="N1910" s="25">
        <f>'Working Sheet'!$J1910*'Working Sheet'!$K1910</f>
        <v>220000</v>
      </c>
      <c r="O1910" s="26">
        <f>'Working Sheet'!$M1910*'Working Sheet'!$K1910</f>
        <v>176000</v>
      </c>
      <c r="P1910" s="25">
        <f>'Working Sheet'!$N1910-'Working Sheet'!$O1910</f>
        <v>44000</v>
      </c>
    </row>
    <row r="1911" spans="1:16" ht="14.25" customHeight="1" x14ac:dyDescent="0.25">
      <c r="A1911" s="18" t="str">
        <f t="shared" ca="1" si="58"/>
        <v>ID_783</v>
      </c>
      <c r="B1911" s="17">
        <v>45665</v>
      </c>
      <c r="C1911" s="18" t="str">
        <f>TEXT('Working Sheet'!$B1911,"mmm")</f>
        <v>Jan</v>
      </c>
      <c r="D1911" s="18" t="s">
        <v>29</v>
      </c>
      <c r="E1911" s="18" t="s">
        <v>32</v>
      </c>
      <c r="F1911" s="18" t="s">
        <v>13</v>
      </c>
      <c r="G1911" s="18" t="s">
        <v>14</v>
      </c>
      <c r="H1911" s="18" t="s">
        <v>21</v>
      </c>
      <c r="I1911" s="18" t="s">
        <v>22</v>
      </c>
      <c r="J1911" s="19">
        <v>30000</v>
      </c>
      <c r="K1911" s="18">
        <v>9</v>
      </c>
      <c r="L1911" s="18" t="s">
        <v>35</v>
      </c>
      <c r="M1911" s="20">
        <f t="shared" si="59"/>
        <v>24000</v>
      </c>
      <c r="N1911" s="20">
        <f>'Working Sheet'!$J1911*'Working Sheet'!$K1911</f>
        <v>270000</v>
      </c>
      <c r="O1911" s="21">
        <f>'Working Sheet'!$M1911*'Working Sheet'!$K1911</f>
        <v>216000</v>
      </c>
      <c r="P1911" s="20">
        <f>'Working Sheet'!$N1911-'Working Sheet'!$O1911</f>
        <v>54000</v>
      </c>
    </row>
    <row r="1912" spans="1:16" ht="14.25" customHeight="1" x14ac:dyDescent="0.25">
      <c r="A1912" s="23" t="str">
        <f t="shared" ca="1" si="58"/>
        <v>ID_597</v>
      </c>
      <c r="B1912" s="22">
        <v>45737</v>
      </c>
      <c r="C1912" s="23" t="str">
        <f>TEXT('Working Sheet'!$B1912,"mmm")</f>
        <v>Mar</v>
      </c>
      <c r="D1912" s="23" t="s">
        <v>11</v>
      </c>
      <c r="E1912" s="23" t="s">
        <v>12</v>
      </c>
      <c r="F1912" s="23" t="s">
        <v>23</v>
      </c>
      <c r="G1912" s="23" t="s">
        <v>14</v>
      </c>
      <c r="H1912" s="23" t="s">
        <v>41</v>
      </c>
      <c r="I1912" s="23" t="s">
        <v>22</v>
      </c>
      <c r="J1912" s="24">
        <v>220000</v>
      </c>
      <c r="K1912" s="23">
        <v>10</v>
      </c>
      <c r="L1912" s="23" t="s">
        <v>35</v>
      </c>
      <c r="M1912" s="25">
        <f t="shared" si="59"/>
        <v>176000</v>
      </c>
      <c r="N1912" s="25">
        <f>'Working Sheet'!$J1912*'Working Sheet'!$K1912</f>
        <v>2200000</v>
      </c>
      <c r="O1912" s="26">
        <f>'Working Sheet'!$M1912*'Working Sheet'!$K1912</f>
        <v>1760000</v>
      </c>
      <c r="P1912" s="25">
        <f>'Working Sheet'!$N1912-'Working Sheet'!$O1912</f>
        <v>440000</v>
      </c>
    </row>
    <row r="1913" spans="1:16" ht="14.25" customHeight="1" x14ac:dyDescent="0.25">
      <c r="A1913" s="18" t="str">
        <f t="shared" ca="1" si="58"/>
        <v>ID_1403</v>
      </c>
      <c r="B1913" s="17">
        <v>45754</v>
      </c>
      <c r="C1913" s="18" t="str">
        <f>TEXT('Working Sheet'!$B1913,"mmm")</f>
        <v>Apr</v>
      </c>
      <c r="D1913" s="18" t="s">
        <v>18</v>
      </c>
      <c r="E1913" s="18" t="s">
        <v>26</v>
      </c>
      <c r="F1913" s="18" t="s">
        <v>13</v>
      </c>
      <c r="G1913" s="18" t="s">
        <v>14</v>
      </c>
      <c r="H1913" s="18" t="s">
        <v>41</v>
      </c>
      <c r="I1913" s="18" t="s">
        <v>22</v>
      </c>
      <c r="J1913" s="19">
        <v>220000</v>
      </c>
      <c r="K1913" s="18">
        <v>9</v>
      </c>
      <c r="L1913" s="18" t="s">
        <v>17</v>
      </c>
      <c r="M1913" s="20">
        <f t="shared" si="59"/>
        <v>176000</v>
      </c>
      <c r="N1913" s="20">
        <f>'Working Sheet'!$J1913*'Working Sheet'!$K1913</f>
        <v>1980000</v>
      </c>
      <c r="O1913" s="21">
        <f>'Working Sheet'!$M1913*'Working Sheet'!$K1913</f>
        <v>1584000</v>
      </c>
      <c r="P1913" s="20">
        <f>'Working Sheet'!$N1913-'Working Sheet'!$O1913</f>
        <v>396000</v>
      </c>
    </row>
    <row r="1914" spans="1:16" ht="14.25" customHeight="1" x14ac:dyDescent="0.25">
      <c r="A1914" s="23" t="str">
        <f t="shared" ca="1" si="58"/>
        <v>ID_1309</v>
      </c>
      <c r="B1914" s="22">
        <v>45718</v>
      </c>
      <c r="C1914" s="23" t="str">
        <f>TEXT('Working Sheet'!$B1914,"mmm")</f>
        <v>Mar</v>
      </c>
      <c r="D1914" s="23" t="s">
        <v>11</v>
      </c>
      <c r="E1914" s="23" t="s">
        <v>32</v>
      </c>
      <c r="F1914" s="23" t="s">
        <v>23</v>
      </c>
      <c r="G1914" s="23" t="s">
        <v>14</v>
      </c>
      <c r="H1914" s="23" t="s">
        <v>27</v>
      </c>
      <c r="I1914" s="23" t="s">
        <v>22</v>
      </c>
      <c r="J1914" s="24">
        <v>60000</v>
      </c>
      <c r="K1914" s="23">
        <v>4</v>
      </c>
      <c r="L1914" s="23" t="s">
        <v>24</v>
      </c>
      <c r="M1914" s="25">
        <f t="shared" si="59"/>
        <v>48000</v>
      </c>
      <c r="N1914" s="25">
        <f>'Working Sheet'!$J1914*'Working Sheet'!$K1914</f>
        <v>240000</v>
      </c>
      <c r="O1914" s="26">
        <f>'Working Sheet'!$M1914*'Working Sheet'!$K1914</f>
        <v>192000</v>
      </c>
      <c r="P1914" s="25">
        <f>'Working Sheet'!$N1914-'Working Sheet'!$O1914</f>
        <v>48000</v>
      </c>
    </row>
    <row r="1915" spans="1:16" ht="14.25" customHeight="1" x14ac:dyDescent="0.25">
      <c r="A1915" s="18" t="str">
        <f t="shared" ca="1" si="58"/>
        <v>ID_1724</v>
      </c>
      <c r="B1915" s="17">
        <v>45760</v>
      </c>
      <c r="C1915" s="18" t="str">
        <f>TEXT('Working Sheet'!$B1915,"mmm")</f>
        <v>Apr</v>
      </c>
      <c r="D1915" s="18" t="s">
        <v>25</v>
      </c>
      <c r="E1915" s="18" t="s">
        <v>26</v>
      </c>
      <c r="F1915" s="18" t="s">
        <v>23</v>
      </c>
      <c r="G1915" s="18" t="s">
        <v>20</v>
      </c>
      <c r="H1915" s="18" t="s">
        <v>41</v>
      </c>
      <c r="I1915" s="18" t="s">
        <v>22</v>
      </c>
      <c r="J1915" s="19">
        <v>220000</v>
      </c>
      <c r="K1915" s="18">
        <v>7</v>
      </c>
      <c r="L1915" s="18" t="s">
        <v>24</v>
      </c>
      <c r="M1915" s="20">
        <f t="shared" si="59"/>
        <v>176000</v>
      </c>
      <c r="N1915" s="20">
        <f>'Working Sheet'!$J1915*'Working Sheet'!$K1915</f>
        <v>1540000</v>
      </c>
      <c r="O1915" s="21">
        <f>'Working Sheet'!$M1915*'Working Sheet'!$K1915</f>
        <v>1232000</v>
      </c>
      <c r="P1915" s="20">
        <f>'Working Sheet'!$N1915-'Working Sheet'!$O1915</f>
        <v>308000</v>
      </c>
    </row>
    <row r="1916" spans="1:16" ht="14.25" customHeight="1" x14ac:dyDescent="0.25">
      <c r="A1916" s="23" t="str">
        <f t="shared" ca="1" si="58"/>
        <v>ID_671</v>
      </c>
      <c r="B1916" s="22">
        <v>45721</v>
      </c>
      <c r="C1916" s="23" t="str">
        <f>TEXT('Working Sheet'!$B1916,"mmm")</f>
        <v>Mar</v>
      </c>
      <c r="D1916" s="23" t="s">
        <v>11</v>
      </c>
      <c r="E1916" s="23" t="s">
        <v>26</v>
      </c>
      <c r="F1916" s="23" t="s">
        <v>13</v>
      </c>
      <c r="G1916" s="23" t="s">
        <v>20</v>
      </c>
      <c r="H1916" s="23" t="s">
        <v>34</v>
      </c>
      <c r="I1916" s="23" t="s">
        <v>16</v>
      </c>
      <c r="J1916" s="24">
        <v>320000</v>
      </c>
      <c r="K1916" s="23">
        <v>9</v>
      </c>
      <c r="L1916" s="23" t="s">
        <v>28</v>
      </c>
      <c r="M1916" s="25">
        <f t="shared" si="59"/>
        <v>256000</v>
      </c>
      <c r="N1916" s="25">
        <f>'Working Sheet'!$J1916*'Working Sheet'!$K1916</f>
        <v>2880000</v>
      </c>
      <c r="O1916" s="26">
        <f>'Working Sheet'!$M1916*'Working Sheet'!$K1916</f>
        <v>2304000</v>
      </c>
      <c r="P1916" s="25">
        <f>'Working Sheet'!$N1916-'Working Sheet'!$O1916</f>
        <v>576000</v>
      </c>
    </row>
    <row r="1917" spans="1:16" ht="14.25" customHeight="1" x14ac:dyDescent="0.25">
      <c r="A1917" s="18" t="str">
        <f t="shared" ca="1" si="58"/>
        <v>ID_1342</v>
      </c>
      <c r="B1917" s="17">
        <v>45771</v>
      </c>
      <c r="C1917" s="18" t="str">
        <f>TEXT('Working Sheet'!$B1917,"mmm")</f>
        <v>Apr</v>
      </c>
      <c r="D1917" s="18" t="s">
        <v>11</v>
      </c>
      <c r="E1917" s="18" t="s">
        <v>19</v>
      </c>
      <c r="F1917" s="18" t="s">
        <v>23</v>
      </c>
      <c r="G1917" s="18" t="s">
        <v>20</v>
      </c>
      <c r="H1917" s="18" t="s">
        <v>15</v>
      </c>
      <c r="I1917" s="18" t="s">
        <v>16</v>
      </c>
      <c r="J1917" s="19">
        <v>85000</v>
      </c>
      <c r="K1917" s="18">
        <v>5</v>
      </c>
      <c r="L1917" s="18" t="s">
        <v>39</v>
      </c>
      <c r="M1917" s="20">
        <f t="shared" si="59"/>
        <v>68000</v>
      </c>
      <c r="N1917" s="20">
        <f>'Working Sheet'!$J1917*'Working Sheet'!$K1917</f>
        <v>425000</v>
      </c>
      <c r="O1917" s="21">
        <f>'Working Sheet'!$M1917*'Working Sheet'!$K1917</f>
        <v>340000</v>
      </c>
      <c r="P1917" s="20">
        <f>'Working Sheet'!$N1917-'Working Sheet'!$O1917</f>
        <v>85000</v>
      </c>
    </row>
    <row r="1918" spans="1:16" ht="14.25" customHeight="1" x14ac:dyDescent="0.25">
      <c r="A1918" s="23" t="str">
        <f t="shared" ca="1" si="58"/>
        <v>ID_1803</v>
      </c>
      <c r="B1918" s="22">
        <v>45662</v>
      </c>
      <c r="C1918" s="23" t="str">
        <f>TEXT('Working Sheet'!$B1918,"mmm")</f>
        <v>Jan</v>
      </c>
      <c r="D1918" s="23" t="s">
        <v>29</v>
      </c>
      <c r="E1918" s="23" t="s">
        <v>32</v>
      </c>
      <c r="F1918" s="23" t="s">
        <v>13</v>
      </c>
      <c r="G1918" s="23" t="s">
        <v>14</v>
      </c>
      <c r="H1918" s="23" t="s">
        <v>40</v>
      </c>
      <c r="I1918" s="23" t="s">
        <v>31</v>
      </c>
      <c r="J1918" s="24">
        <v>250000</v>
      </c>
      <c r="K1918" s="23">
        <v>10</v>
      </c>
      <c r="L1918" s="23" t="s">
        <v>37</v>
      </c>
      <c r="M1918" s="25">
        <f t="shared" si="59"/>
        <v>200000</v>
      </c>
      <c r="N1918" s="25">
        <f>'Working Sheet'!$J1918*'Working Sheet'!$K1918</f>
        <v>2500000</v>
      </c>
      <c r="O1918" s="26">
        <f>'Working Sheet'!$M1918*'Working Sheet'!$K1918</f>
        <v>2000000</v>
      </c>
      <c r="P1918" s="25">
        <f>'Working Sheet'!$N1918-'Working Sheet'!$O1918</f>
        <v>500000</v>
      </c>
    </row>
    <row r="1919" spans="1:16" ht="14.25" customHeight="1" x14ac:dyDescent="0.25">
      <c r="A1919" s="18" t="str">
        <f t="shared" ca="1" si="58"/>
        <v>ID_1497</v>
      </c>
      <c r="B1919" s="17">
        <v>45768</v>
      </c>
      <c r="C1919" s="18" t="str">
        <f>TEXT('Working Sheet'!$B1919,"mmm")</f>
        <v>Apr</v>
      </c>
      <c r="D1919" s="18" t="s">
        <v>18</v>
      </c>
      <c r="E1919" s="18" t="s">
        <v>32</v>
      </c>
      <c r="F1919" s="18" t="s">
        <v>13</v>
      </c>
      <c r="G1919" s="18" t="s">
        <v>20</v>
      </c>
      <c r="H1919" s="18" t="s">
        <v>34</v>
      </c>
      <c r="I1919" s="18" t="s">
        <v>16</v>
      </c>
      <c r="J1919" s="19">
        <v>320000</v>
      </c>
      <c r="K1919" s="18">
        <v>8</v>
      </c>
      <c r="L1919" s="18" t="s">
        <v>28</v>
      </c>
      <c r="M1919" s="20">
        <f t="shared" si="59"/>
        <v>256000</v>
      </c>
      <c r="N1919" s="20">
        <f>'Working Sheet'!$J1919*'Working Sheet'!$K1919</f>
        <v>2560000</v>
      </c>
      <c r="O1919" s="21">
        <f>'Working Sheet'!$M1919*'Working Sheet'!$K1919</f>
        <v>2048000</v>
      </c>
      <c r="P1919" s="20">
        <f>'Working Sheet'!$N1919-'Working Sheet'!$O1919</f>
        <v>512000</v>
      </c>
    </row>
    <row r="1920" spans="1:16" ht="14.25" customHeight="1" x14ac:dyDescent="0.25">
      <c r="A1920" s="23" t="str">
        <f t="shared" ca="1" si="58"/>
        <v>ID_868</v>
      </c>
      <c r="B1920" s="22">
        <v>45661</v>
      </c>
      <c r="C1920" s="23" t="str">
        <f>TEXT('Working Sheet'!$B1920,"mmm")</f>
        <v>Jan</v>
      </c>
      <c r="D1920" s="23" t="s">
        <v>29</v>
      </c>
      <c r="E1920" s="23" t="s">
        <v>12</v>
      </c>
      <c r="F1920" s="23" t="s">
        <v>23</v>
      </c>
      <c r="G1920" s="23" t="s">
        <v>20</v>
      </c>
      <c r="H1920" s="23" t="s">
        <v>36</v>
      </c>
      <c r="I1920" s="23" t="s">
        <v>31</v>
      </c>
      <c r="J1920" s="24">
        <v>150000</v>
      </c>
      <c r="K1920" s="23">
        <v>7</v>
      </c>
      <c r="L1920" s="23" t="s">
        <v>35</v>
      </c>
      <c r="M1920" s="25">
        <f t="shared" si="59"/>
        <v>120000</v>
      </c>
      <c r="N1920" s="25">
        <f>'Working Sheet'!$J1920*'Working Sheet'!$K1920</f>
        <v>1050000</v>
      </c>
      <c r="O1920" s="26">
        <f>'Working Sheet'!$M1920*'Working Sheet'!$K1920</f>
        <v>840000</v>
      </c>
      <c r="P1920" s="25">
        <f>'Working Sheet'!$N1920-'Working Sheet'!$O1920</f>
        <v>210000</v>
      </c>
    </row>
    <row r="1921" spans="1:16" ht="14.25" customHeight="1" x14ac:dyDescent="0.25">
      <c r="A1921" s="18" t="str">
        <f t="shared" ca="1" si="58"/>
        <v>ID_2013</v>
      </c>
      <c r="B1921" s="17">
        <v>45662</v>
      </c>
      <c r="C1921" s="18" t="str">
        <f>TEXT('Working Sheet'!$B1921,"mmm")</f>
        <v>Jan</v>
      </c>
      <c r="D1921" s="18" t="s">
        <v>29</v>
      </c>
      <c r="E1921" s="18" t="s">
        <v>26</v>
      </c>
      <c r="F1921" s="18" t="s">
        <v>13</v>
      </c>
      <c r="G1921" s="18" t="s">
        <v>20</v>
      </c>
      <c r="H1921" s="18" t="s">
        <v>33</v>
      </c>
      <c r="I1921" s="18" t="s">
        <v>22</v>
      </c>
      <c r="J1921" s="19">
        <v>180000</v>
      </c>
      <c r="K1921" s="18">
        <v>8</v>
      </c>
      <c r="L1921" s="18" t="s">
        <v>35</v>
      </c>
      <c r="M1921" s="20">
        <f t="shared" si="59"/>
        <v>144000</v>
      </c>
      <c r="N1921" s="20">
        <f>'Working Sheet'!$J1921*'Working Sheet'!$K1921</f>
        <v>1440000</v>
      </c>
      <c r="O1921" s="21">
        <f>'Working Sheet'!$M1921*'Working Sheet'!$K1921</f>
        <v>1152000</v>
      </c>
      <c r="P1921" s="20">
        <f>'Working Sheet'!$N1921-'Working Sheet'!$O1921</f>
        <v>288000</v>
      </c>
    </row>
    <row r="1922" spans="1:16" ht="14.25" customHeight="1" x14ac:dyDescent="0.25">
      <c r="A1922" s="23" t="str">
        <f t="shared" ref="A1922:A1985" ca="1" si="60">"ID_"&amp; RANDBETWEEN(1,2098)</f>
        <v>ID_200</v>
      </c>
      <c r="B1922" s="22">
        <v>45753</v>
      </c>
      <c r="C1922" s="23" t="str">
        <f>TEXT('Working Sheet'!$B1922,"mmm")</f>
        <v>Apr</v>
      </c>
      <c r="D1922" s="23" t="s">
        <v>11</v>
      </c>
      <c r="E1922" s="23" t="s">
        <v>32</v>
      </c>
      <c r="F1922" s="23" t="s">
        <v>13</v>
      </c>
      <c r="G1922" s="23" t="s">
        <v>14</v>
      </c>
      <c r="H1922" s="23" t="s">
        <v>34</v>
      </c>
      <c r="I1922" s="23" t="s">
        <v>16</v>
      </c>
      <c r="J1922" s="24">
        <v>320000</v>
      </c>
      <c r="K1922" s="23">
        <v>10</v>
      </c>
      <c r="L1922" s="23" t="s">
        <v>28</v>
      </c>
      <c r="M1922" s="25">
        <f t="shared" ref="M1922:M1985" si="61">J1922-J1922*0.2</f>
        <v>256000</v>
      </c>
      <c r="N1922" s="25">
        <f>'Working Sheet'!$J1922*'Working Sheet'!$K1922</f>
        <v>3200000</v>
      </c>
      <c r="O1922" s="26">
        <f>'Working Sheet'!$M1922*'Working Sheet'!$K1922</f>
        <v>2560000</v>
      </c>
      <c r="P1922" s="25">
        <f>'Working Sheet'!$N1922-'Working Sheet'!$O1922</f>
        <v>640000</v>
      </c>
    </row>
    <row r="1923" spans="1:16" ht="14.25" customHeight="1" x14ac:dyDescent="0.25">
      <c r="A1923" s="18" t="str">
        <f t="shared" ca="1" si="60"/>
        <v>ID_337</v>
      </c>
      <c r="B1923" s="17">
        <v>45693</v>
      </c>
      <c r="C1923" s="18" t="str">
        <f>TEXT('Working Sheet'!$B1923,"mmm")</f>
        <v>Feb</v>
      </c>
      <c r="D1923" s="18" t="s">
        <v>29</v>
      </c>
      <c r="E1923" s="18" t="s">
        <v>12</v>
      </c>
      <c r="F1923" s="18" t="s">
        <v>23</v>
      </c>
      <c r="G1923" s="18" t="s">
        <v>20</v>
      </c>
      <c r="H1923" s="18" t="s">
        <v>36</v>
      </c>
      <c r="I1923" s="18" t="s">
        <v>31</v>
      </c>
      <c r="J1923" s="19">
        <v>150000</v>
      </c>
      <c r="K1923" s="18">
        <v>7</v>
      </c>
      <c r="L1923" s="18" t="s">
        <v>39</v>
      </c>
      <c r="M1923" s="20">
        <f t="shared" si="61"/>
        <v>120000</v>
      </c>
      <c r="N1923" s="20">
        <f>'Working Sheet'!$J1923*'Working Sheet'!$K1923</f>
        <v>1050000</v>
      </c>
      <c r="O1923" s="21">
        <f>'Working Sheet'!$M1923*'Working Sheet'!$K1923</f>
        <v>840000</v>
      </c>
      <c r="P1923" s="20">
        <f>'Working Sheet'!$N1923-'Working Sheet'!$O1923</f>
        <v>210000</v>
      </c>
    </row>
    <row r="1924" spans="1:16" ht="14.25" customHeight="1" x14ac:dyDescent="0.25">
      <c r="A1924" s="23" t="str">
        <f t="shared" ca="1" si="60"/>
        <v>ID_432</v>
      </c>
      <c r="B1924" s="22">
        <v>45734</v>
      </c>
      <c r="C1924" s="23" t="str">
        <f>TEXT('Working Sheet'!$B1924,"mmm")</f>
        <v>Mar</v>
      </c>
      <c r="D1924" s="23" t="s">
        <v>25</v>
      </c>
      <c r="E1924" s="23" t="s">
        <v>19</v>
      </c>
      <c r="F1924" s="23" t="s">
        <v>23</v>
      </c>
      <c r="G1924" s="23" t="s">
        <v>20</v>
      </c>
      <c r="H1924" s="23" t="s">
        <v>41</v>
      </c>
      <c r="I1924" s="23" t="s">
        <v>22</v>
      </c>
      <c r="J1924" s="24">
        <v>220000</v>
      </c>
      <c r="K1924" s="23">
        <v>1</v>
      </c>
      <c r="L1924" s="23" t="s">
        <v>24</v>
      </c>
      <c r="M1924" s="25">
        <f t="shared" si="61"/>
        <v>176000</v>
      </c>
      <c r="N1924" s="25">
        <f>'Working Sheet'!$J1924*'Working Sheet'!$K1924</f>
        <v>220000</v>
      </c>
      <c r="O1924" s="26">
        <f>'Working Sheet'!$M1924*'Working Sheet'!$K1924</f>
        <v>176000</v>
      </c>
      <c r="P1924" s="25">
        <f>'Working Sheet'!$N1924-'Working Sheet'!$O1924</f>
        <v>44000</v>
      </c>
    </row>
    <row r="1925" spans="1:16" ht="14.25" customHeight="1" x14ac:dyDescent="0.25">
      <c r="A1925" s="18" t="str">
        <f t="shared" ca="1" si="60"/>
        <v>ID_116</v>
      </c>
      <c r="B1925" s="17">
        <v>45687</v>
      </c>
      <c r="C1925" s="18" t="str">
        <f>TEXT('Working Sheet'!$B1925,"mmm")</f>
        <v>Jan</v>
      </c>
      <c r="D1925" s="18" t="s">
        <v>29</v>
      </c>
      <c r="E1925" s="18" t="s">
        <v>32</v>
      </c>
      <c r="F1925" s="18" t="s">
        <v>23</v>
      </c>
      <c r="G1925" s="18" t="s">
        <v>14</v>
      </c>
      <c r="H1925" s="18" t="s">
        <v>41</v>
      </c>
      <c r="I1925" s="18" t="s">
        <v>22</v>
      </c>
      <c r="J1925" s="19">
        <v>220000</v>
      </c>
      <c r="K1925" s="18">
        <v>7</v>
      </c>
      <c r="L1925" s="18" t="s">
        <v>24</v>
      </c>
      <c r="M1925" s="20">
        <f t="shared" si="61"/>
        <v>176000</v>
      </c>
      <c r="N1925" s="20">
        <f>'Working Sheet'!$J1925*'Working Sheet'!$K1925</f>
        <v>1540000</v>
      </c>
      <c r="O1925" s="21">
        <f>'Working Sheet'!$M1925*'Working Sheet'!$K1925</f>
        <v>1232000</v>
      </c>
      <c r="P1925" s="20">
        <f>'Working Sheet'!$N1925-'Working Sheet'!$O1925</f>
        <v>308000</v>
      </c>
    </row>
    <row r="1926" spans="1:16" ht="14.25" customHeight="1" x14ac:dyDescent="0.25">
      <c r="A1926" s="23" t="str">
        <f t="shared" ca="1" si="60"/>
        <v>ID_1453</v>
      </c>
      <c r="B1926" s="22">
        <v>45716</v>
      </c>
      <c r="C1926" s="23" t="str">
        <f>TEXT('Working Sheet'!$B1926,"mmm")</f>
        <v>Feb</v>
      </c>
      <c r="D1926" s="23" t="s">
        <v>25</v>
      </c>
      <c r="E1926" s="23" t="s">
        <v>32</v>
      </c>
      <c r="F1926" s="23" t="s">
        <v>23</v>
      </c>
      <c r="G1926" s="23" t="s">
        <v>20</v>
      </c>
      <c r="H1926" s="23" t="s">
        <v>36</v>
      </c>
      <c r="I1926" s="23" t="s">
        <v>31</v>
      </c>
      <c r="J1926" s="24">
        <v>150000</v>
      </c>
      <c r="K1926" s="23">
        <v>6</v>
      </c>
      <c r="L1926" s="23" t="s">
        <v>24</v>
      </c>
      <c r="M1926" s="25">
        <f t="shared" si="61"/>
        <v>120000</v>
      </c>
      <c r="N1926" s="25">
        <f>'Working Sheet'!$J1926*'Working Sheet'!$K1926</f>
        <v>900000</v>
      </c>
      <c r="O1926" s="26">
        <f>'Working Sheet'!$M1926*'Working Sheet'!$K1926</f>
        <v>720000</v>
      </c>
      <c r="P1926" s="25">
        <f>'Working Sheet'!$N1926-'Working Sheet'!$O1926</f>
        <v>180000</v>
      </c>
    </row>
    <row r="1927" spans="1:16" ht="14.25" customHeight="1" x14ac:dyDescent="0.25">
      <c r="A1927" s="18" t="str">
        <f t="shared" ca="1" si="60"/>
        <v>ID_89</v>
      </c>
      <c r="B1927" s="17">
        <v>45694</v>
      </c>
      <c r="C1927" s="18" t="str">
        <f>TEXT('Working Sheet'!$B1927,"mmm")</f>
        <v>Feb</v>
      </c>
      <c r="D1927" s="18" t="s">
        <v>18</v>
      </c>
      <c r="E1927" s="18" t="s">
        <v>12</v>
      </c>
      <c r="F1927" s="18" t="s">
        <v>13</v>
      </c>
      <c r="G1927" s="18" t="s">
        <v>14</v>
      </c>
      <c r="H1927" s="18" t="s">
        <v>30</v>
      </c>
      <c r="I1927" s="18" t="s">
        <v>31</v>
      </c>
      <c r="J1927" s="19">
        <v>300000</v>
      </c>
      <c r="K1927" s="18">
        <v>8</v>
      </c>
      <c r="L1927" s="18" t="s">
        <v>28</v>
      </c>
      <c r="M1927" s="20">
        <f t="shared" si="61"/>
        <v>240000</v>
      </c>
      <c r="N1927" s="20">
        <f>'Working Sheet'!$J1927*'Working Sheet'!$K1927</f>
        <v>2400000</v>
      </c>
      <c r="O1927" s="21">
        <f>'Working Sheet'!$M1927*'Working Sheet'!$K1927</f>
        <v>1920000</v>
      </c>
      <c r="P1927" s="20">
        <f>'Working Sheet'!$N1927-'Working Sheet'!$O1927</f>
        <v>480000</v>
      </c>
    </row>
    <row r="1928" spans="1:16" ht="14.25" customHeight="1" x14ac:dyDescent="0.25">
      <c r="A1928" s="23" t="str">
        <f t="shared" ca="1" si="60"/>
        <v>ID_414</v>
      </c>
      <c r="B1928" s="22">
        <v>45672</v>
      </c>
      <c r="C1928" s="23" t="str">
        <f>TEXT('Working Sheet'!$B1928,"mmm")</f>
        <v>Jan</v>
      </c>
      <c r="D1928" s="23" t="s">
        <v>18</v>
      </c>
      <c r="E1928" s="23" t="s">
        <v>32</v>
      </c>
      <c r="F1928" s="23" t="s">
        <v>23</v>
      </c>
      <c r="G1928" s="23" t="s">
        <v>20</v>
      </c>
      <c r="H1928" s="23" t="s">
        <v>38</v>
      </c>
      <c r="I1928" s="23" t="s">
        <v>31</v>
      </c>
      <c r="J1928" s="24">
        <v>420000</v>
      </c>
      <c r="K1928" s="23">
        <v>10</v>
      </c>
      <c r="L1928" s="23" t="s">
        <v>39</v>
      </c>
      <c r="M1928" s="25">
        <f t="shared" si="61"/>
        <v>336000</v>
      </c>
      <c r="N1928" s="25">
        <f>'Working Sheet'!$J1928*'Working Sheet'!$K1928</f>
        <v>4200000</v>
      </c>
      <c r="O1928" s="26">
        <f>'Working Sheet'!$M1928*'Working Sheet'!$K1928</f>
        <v>3360000</v>
      </c>
      <c r="P1928" s="25">
        <f>'Working Sheet'!$N1928-'Working Sheet'!$O1928</f>
        <v>840000</v>
      </c>
    </row>
    <row r="1929" spans="1:16" ht="14.25" customHeight="1" x14ac:dyDescent="0.25">
      <c r="A1929" s="18" t="str">
        <f t="shared" ca="1" si="60"/>
        <v>ID_297</v>
      </c>
      <c r="B1929" s="17">
        <v>45771</v>
      </c>
      <c r="C1929" s="18" t="str">
        <f>TEXT('Working Sheet'!$B1929,"mmm")</f>
        <v>Apr</v>
      </c>
      <c r="D1929" s="18" t="s">
        <v>29</v>
      </c>
      <c r="E1929" s="18" t="s">
        <v>19</v>
      </c>
      <c r="F1929" s="18" t="s">
        <v>13</v>
      </c>
      <c r="G1929" s="18" t="s">
        <v>20</v>
      </c>
      <c r="H1929" s="18" t="s">
        <v>21</v>
      </c>
      <c r="I1929" s="18" t="s">
        <v>22</v>
      </c>
      <c r="J1929" s="19">
        <v>30000</v>
      </c>
      <c r="K1929" s="18">
        <v>1</v>
      </c>
      <c r="L1929" s="18" t="s">
        <v>24</v>
      </c>
      <c r="M1929" s="20">
        <f t="shared" si="61"/>
        <v>24000</v>
      </c>
      <c r="N1929" s="20">
        <f>'Working Sheet'!$J1929*'Working Sheet'!$K1929</f>
        <v>30000</v>
      </c>
      <c r="O1929" s="21">
        <f>'Working Sheet'!$M1929*'Working Sheet'!$K1929</f>
        <v>24000</v>
      </c>
      <c r="P1929" s="20">
        <f>'Working Sheet'!$N1929-'Working Sheet'!$O1929</f>
        <v>6000</v>
      </c>
    </row>
    <row r="1930" spans="1:16" ht="14.25" customHeight="1" x14ac:dyDescent="0.25">
      <c r="A1930" s="23" t="str">
        <f t="shared" ca="1" si="60"/>
        <v>ID_1430</v>
      </c>
      <c r="B1930" s="22">
        <v>45674</v>
      </c>
      <c r="C1930" s="23" t="str">
        <f>TEXT('Working Sheet'!$B1930,"mmm")</f>
        <v>Jan</v>
      </c>
      <c r="D1930" s="23" t="s">
        <v>18</v>
      </c>
      <c r="E1930" s="23" t="s">
        <v>12</v>
      </c>
      <c r="F1930" s="23" t="s">
        <v>23</v>
      </c>
      <c r="G1930" s="23" t="s">
        <v>14</v>
      </c>
      <c r="H1930" s="23" t="s">
        <v>38</v>
      </c>
      <c r="I1930" s="23" t="s">
        <v>31</v>
      </c>
      <c r="J1930" s="24">
        <v>420000</v>
      </c>
      <c r="K1930" s="23">
        <v>7</v>
      </c>
      <c r="L1930" s="23" t="s">
        <v>17</v>
      </c>
      <c r="M1930" s="25">
        <f t="shared" si="61"/>
        <v>336000</v>
      </c>
      <c r="N1930" s="25">
        <f>'Working Sheet'!$J1930*'Working Sheet'!$K1930</f>
        <v>2940000</v>
      </c>
      <c r="O1930" s="26">
        <f>'Working Sheet'!$M1930*'Working Sheet'!$K1930</f>
        <v>2352000</v>
      </c>
      <c r="P1930" s="25">
        <f>'Working Sheet'!$N1930-'Working Sheet'!$O1930</f>
        <v>588000</v>
      </c>
    </row>
    <row r="1931" spans="1:16" ht="14.25" customHeight="1" x14ac:dyDescent="0.25">
      <c r="A1931" s="18" t="str">
        <f t="shared" ca="1" si="60"/>
        <v>ID_344</v>
      </c>
      <c r="B1931" s="17">
        <v>45690</v>
      </c>
      <c r="C1931" s="18" t="str">
        <f>TEXT('Working Sheet'!$B1931,"mmm")</f>
        <v>Feb</v>
      </c>
      <c r="D1931" s="18" t="s">
        <v>29</v>
      </c>
      <c r="E1931" s="18" t="s">
        <v>12</v>
      </c>
      <c r="F1931" s="18" t="s">
        <v>23</v>
      </c>
      <c r="G1931" s="18" t="s">
        <v>20</v>
      </c>
      <c r="H1931" s="18" t="s">
        <v>33</v>
      </c>
      <c r="I1931" s="18" t="s">
        <v>22</v>
      </c>
      <c r="J1931" s="19">
        <v>180000</v>
      </c>
      <c r="K1931" s="18">
        <v>6</v>
      </c>
      <c r="L1931" s="18" t="s">
        <v>35</v>
      </c>
      <c r="M1931" s="20">
        <f t="shared" si="61"/>
        <v>144000</v>
      </c>
      <c r="N1931" s="20">
        <f>'Working Sheet'!$J1931*'Working Sheet'!$K1931</f>
        <v>1080000</v>
      </c>
      <c r="O1931" s="21">
        <f>'Working Sheet'!$M1931*'Working Sheet'!$K1931</f>
        <v>864000</v>
      </c>
      <c r="P1931" s="20">
        <f>'Working Sheet'!$N1931-'Working Sheet'!$O1931</f>
        <v>216000</v>
      </c>
    </row>
    <row r="1932" spans="1:16" ht="14.25" customHeight="1" x14ac:dyDescent="0.25">
      <c r="A1932" s="23" t="str">
        <f t="shared" ca="1" si="60"/>
        <v>ID_581</v>
      </c>
      <c r="B1932" s="22">
        <v>45740</v>
      </c>
      <c r="C1932" s="23" t="str">
        <f>TEXT('Working Sheet'!$B1932,"mmm")</f>
        <v>Mar</v>
      </c>
      <c r="D1932" s="23" t="s">
        <v>25</v>
      </c>
      <c r="E1932" s="23" t="s">
        <v>26</v>
      </c>
      <c r="F1932" s="23" t="s">
        <v>13</v>
      </c>
      <c r="G1932" s="23" t="s">
        <v>14</v>
      </c>
      <c r="H1932" s="23" t="s">
        <v>21</v>
      </c>
      <c r="I1932" s="23" t="s">
        <v>22</v>
      </c>
      <c r="J1932" s="24">
        <v>30000</v>
      </c>
      <c r="K1932" s="23">
        <v>10</v>
      </c>
      <c r="L1932" s="23" t="s">
        <v>39</v>
      </c>
      <c r="M1932" s="25">
        <f t="shared" si="61"/>
        <v>24000</v>
      </c>
      <c r="N1932" s="25">
        <f>'Working Sheet'!$J1932*'Working Sheet'!$K1932</f>
        <v>300000</v>
      </c>
      <c r="O1932" s="26">
        <f>'Working Sheet'!$M1932*'Working Sheet'!$K1932</f>
        <v>240000</v>
      </c>
      <c r="P1932" s="25">
        <f>'Working Sheet'!$N1932-'Working Sheet'!$O1932</f>
        <v>60000</v>
      </c>
    </row>
    <row r="1933" spans="1:16" ht="14.25" customHeight="1" x14ac:dyDescent="0.25">
      <c r="A1933" s="18" t="str">
        <f t="shared" ca="1" si="60"/>
        <v>ID_541</v>
      </c>
      <c r="B1933" s="17">
        <v>45689</v>
      </c>
      <c r="C1933" s="18" t="str">
        <f>TEXT('Working Sheet'!$B1933,"mmm")</f>
        <v>Feb</v>
      </c>
      <c r="D1933" s="18" t="s">
        <v>11</v>
      </c>
      <c r="E1933" s="18" t="s">
        <v>12</v>
      </c>
      <c r="F1933" s="18" t="s">
        <v>13</v>
      </c>
      <c r="G1933" s="18" t="s">
        <v>20</v>
      </c>
      <c r="H1933" s="18" t="s">
        <v>41</v>
      </c>
      <c r="I1933" s="18" t="s">
        <v>22</v>
      </c>
      <c r="J1933" s="19">
        <v>220000</v>
      </c>
      <c r="K1933" s="18">
        <v>1</v>
      </c>
      <c r="L1933" s="18" t="s">
        <v>39</v>
      </c>
      <c r="M1933" s="20">
        <f t="shared" si="61"/>
        <v>176000</v>
      </c>
      <c r="N1933" s="20">
        <f>'Working Sheet'!$J1933*'Working Sheet'!$K1933</f>
        <v>220000</v>
      </c>
      <c r="O1933" s="21">
        <f>'Working Sheet'!$M1933*'Working Sheet'!$K1933</f>
        <v>176000</v>
      </c>
      <c r="P1933" s="20">
        <f>'Working Sheet'!$N1933-'Working Sheet'!$O1933</f>
        <v>44000</v>
      </c>
    </row>
    <row r="1934" spans="1:16" ht="14.25" customHeight="1" x14ac:dyDescent="0.25">
      <c r="A1934" s="23" t="str">
        <f t="shared" ca="1" si="60"/>
        <v>ID_1212</v>
      </c>
      <c r="B1934" s="22">
        <v>45749</v>
      </c>
      <c r="C1934" s="23" t="str">
        <f>TEXT('Working Sheet'!$B1934,"mmm")</f>
        <v>Apr</v>
      </c>
      <c r="D1934" s="23" t="s">
        <v>25</v>
      </c>
      <c r="E1934" s="23" t="s">
        <v>26</v>
      </c>
      <c r="F1934" s="23" t="s">
        <v>13</v>
      </c>
      <c r="G1934" s="23" t="s">
        <v>14</v>
      </c>
      <c r="H1934" s="23" t="s">
        <v>34</v>
      </c>
      <c r="I1934" s="23" t="s">
        <v>16</v>
      </c>
      <c r="J1934" s="24">
        <v>320000</v>
      </c>
      <c r="K1934" s="23">
        <v>6</v>
      </c>
      <c r="L1934" s="23" t="s">
        <v>35</v>
      </c>
      <c r="M1934" s="25">
        <f t="shared" si="61"/>
        <v>256000</v>
      </c>
      <c r="N1934" s="25">
        <f>'Working Sheet'!$J1934*'Working Sheet'!$K1934</f>
        <v>1920000</v>
      </c>
      <c r="O1934" s="26">
        <f>'Working Sheet'!$M1934*'Working Sheet'!$K1934</f>
        <v>1536000</v>
      </c>
      <c r="P1934" s="25">
        <f>'Working Sheet'!$N1934-'Working Sheet'!$O1934</f>
        <v>384000</v>
      </c>
    </row>
    <row r="1935" spans="1:16" ht="14.25" customHeight="1" x14ac:dyDescent="0.25">
      <c r="A1935" s="18" t="str">
        <f t="shared" ca="1" si="60"/>
        <v>ID_1406</v>
      </c>
      <c r="B1935" s="17">
        <v>45744</v>
      </c>
      <c r="C1935" s="18" t="str">
        <f>TEXT('Working Sheet'!$B1935,"mmm")</f>
        <v>Mar</v>
      </c>
      <c r="D1935" s="18" t="s">
        <v>25</v>
      </c>
      <c r="E1935" s="18" t="s">
        <v>32</v>
      </c>
      <c r="F1935" s="18" t="s">
        <v>23</v>
      </c>
      <c r="G1935" s="18" t="s">
        <v>20</v>
      </c>
      <c r="H1935" s="18" t="s">
        <v>27</v>
      </c>
      <c r="I1935" s="18" t="s">
        <v>22</v>
      </c>
      <c r="J1935" s="19">
        <v>60000</v>
      </c>
      <c r="K1935" s="18">
        <v>10</v>
      </c>
      <c r="L1935" s="18" t="s">
        <v>24</v>
      </c>
      <c r="M1935" s="20">
        <f t="shared" si="61"/>
        <v>48000</v>
      </c>
      <c r="N1935" s="20">
        <f>'Working Sheet'!$J1935*'Working Sheet'!$K1935</f>
        <v>600000</v>
      </c>
      <c r="O1935" s="21">
        <f>'Working Sheet'!$M1935*'Working Sheet'!$K1935</f>
        <v>480000</v>
      </c>
      <c r="P1935" s="20">
        <f>'Working Sheet'!$N1935-'Working Sheet'!$O1935</f>
        <v>120000</v>
      </c>
    </row>
    <row r="1936" spans="1:16" ht="14.25" customHeight="1" x14ac:dyDescent="0.25">
      <c r="A1936" s="23" t="str">
        <f t="shared" ca="1" si="60"/>
        <v>ID_1767</v>
      </c>
      <c r="B1936" s="22">
        <v>45757</v>
      </c>
      <c r="C1936" s="23" t="str">
        <f>TEXT('Working Sheet'!$B1936,"mmm")</f>
        <v>Apr</v>
      </c>
      <c r="D1936" s="23" t="s">
        <v>11</v>
      </c>
      <c r="E1936" s="23" t="s">
        <v>32</v>
      </c>
      <c r="F1936" s="23" t="s">
        <v>13</v>
      </c>
      <c r="G1936" s="23" t="s">
        <v>14</v>
      </c>
      <c r="H1936" s="23" t="s">
        <v>15</v>
      </c>
      <c r="I1936" s="23" t="s">
        <v>16</v>
      </c>
      <c r="J1936" s="24">
        <v>85000</v>
      </c>
      <c r="K1936" s="23">
        <v>7</v>
      </c>
      <c r="L1936" s="23" t="s">
        <v>39</v>
      </c>
      <c r="M1936" s="25">
        <f t="shared" si="61"/>
        <v>68000</v>
      </c>
      <c r="N1936" s="25">
        <f>'Working Sheet'!$J1936*'Working Sheet'!$K1936</f>
        <v>595000</v>
      </c>
      <c r="O1936" s="26">
        <f>'Working Sheet'!$M1936*'Working Sheet'!$K1936</f>
        <v>476000</v>
      </c>
      <c r="P1936" s="25">
        <f>'Working Sheet'!$N1936-'Working Sheet'!$O1936</f>
        <v>119000</v>
      </c>
    </row>
    <row r="1937" spans="1:16" ht="14.25" customHeight="1" x14ac:dyDescent="0.25">
      <c r="A1937" s="18" t="str">
        <f t="shared" ca="1" si="60"/>
        <v>ID_1147</v>
      </c>
      <c r="B1937" s="17">
        <v>45748</v>
      </c>
      <c r="C1937" s="18" t="str">
        <f>TEXT('Working Sheet'!$B1937,"mmm")</f>
        <v>Apr</v>
      </c>
      <c r="D1937" s="18" t="s">
        <v>18</v>
      </c>
      <c r="E1937" s="18" t="s">
        <v>32</v>
      </c>
      <c r="F1937" s="18" t="s">
        <v>23</v>
      </c>
      <c r="G1937" s="18" t="s">
        <v>14</v>
      </c>
      <c r="H1937" s="18" t="s">
        <v>40</v>
      </c>
      <c r="I1937" s="18" t="s">
        <v>31</v>
      </c>
      <c r="J1937" s="19">
        <v>250000</v>
      </c>
      <c r="K1937" s="18">
        <v>1</v>
      </c>
      <c r="L1937" s="18" t="s">
        <v>39</v>
      </c>
      <c r="M1937" s="20">
        <f t="shared" si="61"/>
        <v>200000</v>
      </c>
      <c r="N1937" s="20">
        <f>'Working Sheet'!$J1937*'Working Sheet'!$K1937</f>
        <v>250000</v>
      </c>
      <c r="O1937" s="21">
        <f>'Working Sheet'!$M1937*'Working Sheet'!$K1937</f>
        <v>200000</v>
      </c>
      <c r="P1937" s="20">
        <f>'Working Sheet'!$N1937-'Working Sheet'!$O1937</f>
        <v>50000</v>
      </c>
    </row>
    <row r="1938" spans="1:16" ht="14.25" customHeight="1" x14ac:dyDescent="0.25">
      <c r="A1938" s="23" t="str">
        <f t="shared" ca="1" si="60"/>
        <v>ID_2077</v>
      </c>
      <c r="B1938" s="22">
        <v>45766</v>
      </c>
      <c r="C1938" s="23" t="str">
        <f>TEXT('Working Sheet'!$B1938,"mmm")</f>
        <v>Apr</v>
      </c>
      <c r="D1938" s="23" t="s">
        <v>29</v>
      </c>
      <c r="E1938" s="23" t="s">
        <v>32</v>
      </c>
      <c r="F1938" s="23" t="s">
        <v>23</v>
      </c>
      <c r="G1938" s="23" t="s">
        <v>20</v>
      </c>
      <c r="H1938" s="23" t="s">
        <v>41</v>
      </c>
      <c r="I1938" s="23" t="s">
        <v>22</v>
      </c>
      <c r="J1938" s="24">
        <v>220000</v>
      </c>
      <c r="K1938" s="23">
        <v>8</v>
      </c>
      <c r="L1938" s="23" t="s">
        <v>24</v>
      </c>
      <c r="M1938" s="25">
        <f t="shared" si="61"/>
        <v>176000</v>
      </c>
      <c r="N1938" s="25">
        <f>'Working Sheet'!$J1938*'Working Sheet'!$K1938</f>
        <v>1760000</v>
      </c>
      <c r="O1938" s="26">
        <f>'Working Sheet'!$M1938*'Working Sheet'!$K1938</f>
        <v>1408000</v>
      </c>
      <c r="P1938" s="25">
        <f>'Working Sheet'!$N1938-'Working Sheet'!$O1938</f>
        <v>352000</v>
      </c>
    </row>
    <row r="1939" spans="1:16" ht="14.25" customHeight="1" x14ac:dyDescent="0.25">
      <c r="A1939" s="18" t="str">
        <f t="shared" ca="1" si="60"/>
        <v>ID_1077</v>
      </c>
      <c r="B1939" s="17">
        <v>45707</v>
      </c>
      <c r="C1939" s="18" t="str">
        <f>TEXT('Working Sheet'!$B1939,"mmm")</f>
        <v>Feb</v>
      </c>
      <c r="D1939" s="18" t="s">
        <v>29</v>
      </c>
      <c r="E1939" s="18" t="s">
        <v>19</v>
      </c>
      <c r="F1939" s="18" t="s">
        <v>13</v>
      </c>
      <c r="G1939" s="18" t="s">
        <v>14</v>
      </c>
      <c r="H1939" s="18" t="s">
        <v>40</v>
      </c>
      <c r="I1939" s="18" t="s">
        <v>31</v>
      </c>
      <c r="J1939" s="19">
        <v>250000</v>
      </c>
      <c r="K1939" s="18">
        <v>6</v>
      </c>
      <c r="L1939" s="18" t="s">
        <v>35</v>
      </c>
      <c r="M1939" s="20">
        <f t="shared" si="61"/>
        <v>200000</v>
      </c>
      <c r="N1939" s="20">
        <f>'Working Sheet'!$J1939*'Working Sheet'!$K1939</f>
        <v>1500000</v>
      </c>
      <c r="O1939" s="21">
        <f>'Working Sheet'!$M1939*'Working Sheet'!$K1939</f>
        <v>1200000</v>
      </c>
      <c r="P1939" s="20">
        <f>'Working Sheet'!$N1939-'Working Sheet'!$O1939</f>
        <v>300000</v>
      </c>
    </row>
    <row r="1940" spans="1:16" ht="14.25" customHeight="1" x14ac:dyDescent="0.25">
      <c r="A1940" s="23" t="str">
        <f t="shared" ca="1" si="60"/>
        <v>ID_597</v>
      </c>
      <c r="B1940" s="22">
        <v>45731</v>
      </c>
      <c r="C1940" s="23" t="str">
        <f>TEXT('Working Sheet'!$B1940,"mmm")</f>
        <v>Mar</v>
      </c>
      <c r="D1940" s="23" t="s">
        <v>29</v>
      </c>
      <c r="E1940" s="23" t="s">
        <v>32</v>
      </c>
      <c r="F1940" s="23" t="s">
        <v>13</v>
      </c>
      <c r="G1940" s="23" t="s">
        <v>14</v>
      </c>
      <c r="H1940" s="23" t="s">
        <v>15</v>
      </c>
      <c r="I1940" s="23" t="s">
        <v>16</v>
      </c>
      <c r="J1940" s="24">
        <v>85000</v>
      </c>
      <c r="K1940" s="23">
        <v>7</v>
      </c>
      <c r="L1940" s="23" t="s">
        <v>35</v>
      </c>
      <c r="M1940" s="25">
        <f t="shared" si="61"/>
        <v>68000</v>
      </c>
      <c r="N1940" s="25">
        <f>'Working Sheet'!$J1940*'Working Sheet'!$K1940</f>
        <v>595000</v>
      </c>
      <c r="O1940" s="26">
        <f>'Working Sheet'!$M1940*'Working Sheet'!$K1940</f>
        <v>476000</v>
      </c>
      <c r="P1940" s="25">
        <f>'Working Sheet'!$N1940-'Working Sheet'!$O1940</f>
        <v>119000</v>
      </c>
    </row>
    <row r="1941" spans="1:16" ht="14.25" customHeight="1" x14ac:dyDescent="0.25">
      <c r="A1941" s="18" t="str">
        <f t="shared" ca="1" si="60"/>
        <v>ID_372</v>
      </c>
      <c r="B1941" s="17">
        <v>45704</v>
      </c>
      <c r="C1941" s="18" t="str">
        <f>TEXT('Working Sheet'!$B1941,"mmm")</f>
        <v>Feb</v>
      </c>
      <c r="D1941" s="18" t="s">
        <v>25</v>
      </c>
      <c r="E1941" s="18" t="s">
        <v>26</v>
      </c>
      <c r="F1941" s="18" t="s">
        <v>13</v>
      </c>
      <c r="G1941" s="18" t="s">
        <v>20</v>
      </c>
      <c r="H1941" s="18" t="s">
        <v>15</v>
      </c>
      <c r="I1941" s="18" t="s">
        <v>16</v>
      </c>
      <c r="J1941" s="19">
        <v>85000</v>
      </c>
      <c r="K1941" s="18">
        <v>4</v>
      </c>
      <c r="L1941" s="18" t="s">
        <v>28</v>
      </c>
      <c r="M1941" s="20">
        <f t="shared" si="61"/>
        <v>68000</v>
      </c>
      <c r="N1941" s="20">
        <f>'Working Sheet'!$J1941*'Working Sheet'!$K1941</f>
        <v>340000</v>
      </c>
      <c r="O1941" s="21">
        <f>'Working Sheet'!$M1941*'Working Sheet'!$K1941</f>
        <v>272000</v>
      </c>
      <c r="P1941" s="20">
        <f>'Working Sheet'!$N1941-'Working Sheet'!$O1941</f>
        <v>68000</v>
      </c>
    </row>
    <row r="1942" spans="1:16" ht="14.25" customHeight="1" x14ac:dyDescent="0.25">
      <c r="A1942" s="23" t="str">
        <f t="shared" ca="1" si="60"/>
        <v>ID_25</v>
      </c>
      <c r="B1942" s="22">
        <v>45691</v>
      </c>
      <c r="C1942" s="23" t="str">
        <f>TEXT('Working Sheet'!$B1942,"mmm")</f>
        <v>Feb</v>
      </c>
      <c r="D1942" s="23" t="s">
        <v>18</v>
      </c>
      <c r="E1942" s="23" t="s">
        <v>32</v>
      </c>
      <c r="F1942" s="23" t="s">
        <v>23</v>
      </c>
      <c r="G1942" s="23" t="s">
        <v>20</v>
      </c>
      <c r="H1942" s="23" t="s">
        <v>38</v>
      </c>
      <c r="I1942" s="23" t="s">
        <v>31</v>
      </c>
      <c r="J1942" s="24">
        <v>420000</v>
      </c>
      <c r="K1942" s="23">
        <v>6</v>
      </c>
      <c r="L1942" s="23" t="s">
        <v>17</v>
      </c>
      <c r="M1942" s="25">
        <f t="shared" si="61"/>
        <v>336000</v>
      </c>
      <c r="N1942" s="25">
        <f>'Working Sheet'!$J1942*'Working Sheet'!$K1942</f>
        <v>2520000</v>
      </c>
      <c r="O1942" s="26">
        <f>'Working Sheet'!$M1942*'Working Sheet'!$K1942</f>
        <v>2016000</v>
      </c>
      <c r="P1942" s="25">
        <f>'Working Sheet'!$N1942-'Working Sheet'!$O1942</f>
        <v>504000</v>
      </c>
    </row>
    <row r="1943" spans="1:16" ht="14.25" customHeight="1" x14ac:dyDescent="0.25">
      <c r="A1943" s="18" t="str">
        <f t="shared" ca="1" si="60"/>
        <v>ID_105</v>
      </c>
      <c r="B1943" s="17">
        <v>45694</v>
      </c>
      <c r="C1943" s="18" t="str">
        <f>TEXT('Working Sheet'!$B1943,"mmm")</f>
        <v>Feb</v>
      </c>
      <c r="D1943" s="18" t="s">
        <v>18</v>
      </c>
      <c r="E1943" s="18" t="s">
        <v>12</v>
      </c>
      <c r="F1943" s="18" t="s">
        <v>23</v>
      </c>
      <c r="G1943" s="18" t="s">
        <v>20</v>
      </c>
      <c r="H1943" s="18" t="s">
        <v>40</v>
      </c>
      <c r="I1943" s="18" t="s">
        <v>31</v>
      </c>
      <c r="J1943" s="19">
        <v>250000</v>
      </c>
      <c r="K1943" s="18">
        <v>4</v>
      </c>
      <c r="L1943" s="18" t="s">
        <v>28</v>
      </c>
      <c r="M1943" s="20">
        <f t="shared" si="61"/>
        <v>200000</v>
      </c>
      <c r="N1943" s="20">
        <f>'Working Sheet'!$J1943*'Working Sheet'!$K1943</f>
        <v>1000000</v>
      </c>
      <c r="O1943" s="21">
        <f>'Working Sheet'!$M1943*'Working Sheet'!$K1943</f>
        <v>800000</v>
      </c>
      <c r="P1943" s="20">
        <f>'Working Sheet'!$N1943-'Working Sheet'!$O1943</f>
        <v>200000</v>
      </c>
    </row>
    <row r="1944" spans="1:16" ht="14.25" customHeight="1" x14ac:dyDescent="0.25">
      <c r="A1944" s="23" t="str">
        <f t="shared" ca="1" si="60"/>
        <v>ID_650</v>
      </c>
      <c r="B1944" s="22">
        <v>45734</v>
      </c>
      <c r="C1944" s="23" t="str">
        <f>TEXT('Working Sheet'!$B1944,"mmm")</f>
        <v>Mar</v>
      </c>
      <c r="D1944" s="23" t="s">
        <v>11</v>
      </c>
      <c r="E1944" s="23" t="s">
        <v>12</v>
      </c>
      <c r="F1944" s="23" t="s">
        <v>13</v>
      </c>
      <c r="G1944" s="23" t="s">
        <v>20</v>
      </c>
      <c r="H1944" s="23" t="s">
        <v>21</v>
      </c>
      <c r="I1944" s="23" t="s">
        <v>22</v>
      </c>
      <c r="J1944" s="24">
        <v>30000</v>
      </c>
      <c r="K1944" s="23">
        <v>3</v>
      </c>
      <c r="L1944" s="23" t="s">
        <v>37</v>
      </c>
      <c r="M1944" s="25">
        <f t="shared" si="61"/>
        <v>24000</v>
      </c>
      <c r="N1944" s="25">
        <f>'Working Sheet'!$J1944*'Working Sheet'!$K1944</f>
        <v>90000</v>
      </c>
      <c r="O1944" s="26">
        <f>'Working Sheet'!$M1944*'Working Sheet'!$K1944</f>
        <v>72000</v>
      </c>
      <c r="P1944" s="25">
        <f>'Working Sheet'!$N1944-'Working Sheet'!$O1944</f>
        <v>18000</v>
      </c>
    </row>
    <row r="1945" spans="1:16" ht="14.25" customHeight="1" x14ac:dyDescent="0.25">
      <c r="A1945" s="18" t="str">
        <f t="shared" ca="1" si="60"/>
        <v>ID_117</v>
      </c>
      <c r="B1945" s="17">
        <v>45664</v>
      </c>
      <c r="C1945" s="18" t="str">
        <f>TEXT('Working Sheet'!$B1945,"mmm")</f>
        <v>Jan</v>
      </c>
      <c r="D1945" s="18" t="s">
        <v>29</v>
      </c>
      <c r="E1945" s="18" t="s">
        <v>32</v>
      </c>
      <c r="F1945" s="18" t="s">
        <v>23</v>
      </c>
      <c r="G1945" s="18" t="s">
        <v>14</v>
      </c>
      <c r="H1945" s="18" t="s">
        <v>34</v>
      </c>
      <c r="I1945" s="18" t="s">
        <v>16</v>
      </c>
      <c r="J1945" s="19">
        <v>320000</v>
      </c>
      <c r="K1945" s="18">
        <v>9</v>
      </c>
      <c r="L1945" s="18" t="s">
        <v>35</v>
      </c>
      <c r="M1945" s="20">
        <f t="shared" si="61"/>
        <v>256000</v>
      </c>
      <c r="N1945" s="20">
        <f>'Working Sheet'!$J1945*'Working Sheet'!$K1945</f>
        <v>2880000</v>
      </c>
      <c r="O1945" s="21">
        <f>'Working Sheet'!$M1945*'Working Sheet'!$K1945</f>
        <v>2304000</v>
      </c>
      <c r="P1945" s="20">
        <f>'Working Sheet'!$N1945-'Working Sheet'!$O1945</f>
        <v>576000</v>
      </c>
    </row>
    <row r="1946" spans="1:16" ht="14.25" customHeight="1" x14ac:dyDescent="0.25">
      <c r="A1946" s="23" t="str">
        <f t="shared" ca="1" si="60"/>
        <v>ID_1071</v>
      </c>
      <c r="B1946" s="22">
        <v>45676</v>
      </c>
      <c r="C1946" s="23" t="str">
        <f>TEXT('Working Sheet'!$B1946,"mmm")</f>
        <v>Jan</v>
      </c>
      <c r="D1946" s="23" t="s">
        <v>29</v>
      </c>
      <c r="E1946" s="23" t="s">
        <v>12</v>
      </c>
      <c r="F1946" s="23" t="s">
        <v>13</v>
      </c>
      <c r="G1946" s="23" t="s">
        <v>20</v>
      </c>
      <c r="H1946" s="23" t="s">
        <v>41</v>
      </c>
      <c r="I1946" s="23" t="s">
        <v>22</v>
      </c>
      <c r="J1946" s="24">
        <v>220000</v>
      </c>
      <c r="K1946" s="23">
        <v>7</v>
      </c>
      <c r="L1946" s="23" t="s">
        <v>28</v>
      </c>
      <c r="M1946" s="25">
        <f t="shared" si="61"/>
        <v>176000</v>
      </c>
      <c r="N1946" s="25">
        <f>'Working Sheet'!$J1946*'Working Sheet'!$K1946</f>
        <v>1540000</v>
      </c>
      <c r="O1946" s="26">
        <f>'Working Sheet'!$M1946*'Working Sheet'!$K1946</f>
        <v>1232000</v>
      </c>
      <c r="P1946" s="25">
        <f>'Working Sheet'!$N1946-'Working Sheet'!$O1946</f>
        <v>308000</v>
      </c>
    </row>
    <row r="1947" spans="1:16" ht="14.25" customHeight="1" x14ac:dyDescent="0.25">
      <c r="A1947" s="18" t="str">
        <f t="shared" ca="1" si="60"/>
        <v>ID_236</v>
      </c>
      <c r="B1947" s="17">
        <v>45743</v>
      </c>
      <c r="C1947" s="18" t="str">
        <f>TEXT('Working Sheet'!$B1947,"mmm")</f>
        <v>Mar</v>
      </c>
      <c r="D1947" s="18" t="s">
        <v>25</v>
      </c>
      <c r="E1947" s="18" t="s">
        <v>19</v>
      </c>
      <c r="F1947" s="18" t="s">
        <v>23</v>
      </c>
      <c r="G1947" s="18" t="s">
        <v>14</v>
      </c>
      <c r="H1947" s="18" t="s">
        <v>36</v>
      </c>
      <c r="I1947" s="18" t="s">
        <v>31</v>
      </c>
      <c r="J1947" s="19">
        <v>150000</v>
      </c>
      <c r="K1947" s="18">
        <v>5</v>
      </c>
      <c r="L1947" s="18" t="s">
        <v>17</v>
      </c>
      <c r="M1947" s="20">
        <f t="shared" si="61"/>
        <v>120000</v>
      </c>
      <c r="N1947" s="20">
        <f>'Working Sheet'!$J1947*'Working Sheet'!$K1947</f>
        <v>750000</v>
      </c>
      <c r="O1947" s="21">
        <f>'Working Sheet'!$M1947*'Working Sheet'!$K1947</f>
        <v>600000</v>
      </c>
      <c r="P1947" s="20">
        <f>'Working Sheet'!$N1947-'Working Sheet'!$O1947</f>
        <v>150000</v>
      </c>
    </row>
    <row r="1948" spans="1:16" ht="14.25" customHeight="1" x14ac:dyDescent="0.25">
      <c r="A1948" s="23" t="str">
        <f t="shared" ca="1" si="60"/>
        <v>ID_1176</v>
      </c>
      <c r="B1948" s="22">
        <v>45727</v>
      </c>
      <c r="C1948" s="23" t="str">
        <f>TEXT('Working Sheet'!$B1948,"mmm")</f>
        <v>Mar</v>
      </c>
      <c r="D1948" s="23" t="s">
        <v>25</v>
      </c>
      <c r="E1948" s="23" t="s">
        <v>12</v>
      </c>
      <c r="F1948" s="23" t="s">
        <v>23</v>
      </c>
      <c r="G1948" s="23" t="s">
        <v>20</v>
      </c>
      <c r="H1948" s="23" t="s">
        <v>15</v>
      </c>
      <c r="I1948" s="23" t="s">
        <v>16</v>
      </c>
      <c r="J1948" s="24">
        <v>85000</v>
      </c>
      <c r="K1948" s="23">
        <v>9</v>
      </c>
      <c r="L1948" s="23" t="s">
        <v>35</v>
      </c>
      <c r="M1948" s="25">
        <f t="shared" si="61"/>
        <v>68000</v>
      </c>
      <c r="N1948" s="25">
        <f>'Working Sheet'!$J1948*'Working Sheet'!$K1948</f>
        <v>765000</v>
      </c>
      <c r="O1948" s="26">
        <f>'Working Sheet'!$M1948*'Working Sheet'!$K1948</f>
        <v>612000</v>
      </c>
      <c r="P1948" s="25">
        <f>'Working Sheet'!$N1948-'Working Sheet'!$O1948</f>
        <v>153000</v>
      </c>
    </row>
    <row r="1949" spans="1:16" ht="14.25" customHeight="1" x14ac:dyDescent="0.25">
      <c r="A1949" s="18" t="str">
        <f t="shared" ca="1" si="60"/>
        <v>ID_370</v>
      </c>
      <c r="B1949" s="17">
        <v>45683</v>
      </c>
      <c r="C1949" s="18" t="str">
        <f>TEXT('Working Sheet'!$B1949,"mmm")</f>
        <v>Jan</v>
      </c>
      <c r="D1949" s="18" t="s">
        <v>29</v>
      </c>
      <c r="E1949" s="18" t="s">
        <v>32</v>
      </c>
      <c r="F1949" s="18" t="s">
        <v>23</v>
      </c>
      <c r="G1949" s="18" t="s">
        <v>14</v>
      </c>
      <c r="H1949" s="18" t="s">
        <v>40</v>
      </c>
      <c r="I1949" s="18" t="s">
        <v>31</v>
      </c>
      <c r="J1949" s="19">
        <v>250000</v>
      </c>
      <c r="K1949" s="18">
        <v>10</v>
      </c>
      <c r="L1949" s="18" t="s">
        <v>17</v>
      </c>
      <c r="M1949" s="20">
        <f t="shared" si="61"/>
        <v>200000</v>
      </c>
      <c r="N1949" s="20">
        <f>'Working Sheet'!$J1949*'Working Sheet'!$K1949</f>
        <v>2500000</v>
      </c>
      <c r="O1949" s="21">
        <f>'Working Sheet'!$M1949*'Working Sheet'!$K1949</f>
        <v>2000000</v>
      </c>
      <c r="P1949" s="20">
        <f>'Working Sheet'!$N1949-'Working Sheet'!$O1949</f>
        <v>500000</v>
      </c>
    </row>
    <row r="1950" spans="1:16" ht="14.25" customHeight="1" x14ac:dyDescent="0.25">
      <c r="A1950" s="23" t="str">
        <f t="shared" ca="1" si="60"/>
        <v>ID_564</v>
      </c>
      <c r="B1950" s="22">
        <v>45757</v>
      </c>
      <c r="C1950" s="23" t="str">
        <f>TEXT('Working Sheet'!$B1950,"mmm")</f>
        <v>Apr</v>
      </c>
      <c r="D1950" s="23" t="s">
        <v>18</v>
      </c>
      <c r="E1950" s="23" t="s">
        <v>12</v>
      </c>
      <c r="F1950" s="23" t="s">
        <v>23</v>
      </c>
      <c r="G1950" s="23" t="s">
        <v>14</v>
      </c>
      <c r="H1950" s="23" t="s">
        <v>15</v>
      </c>
      <c r="I1950" s="23" t="s">
        <v>16</v>
      </c>
      <c r="J1950" s="24">
        <v>85000</v>
      </c>
      <c r="K1950" s="23">
        <v>7</v>
      </c>
      <c r="L1950" s="23" t="s">
        <v>24</v>
      </c>
      <c r="M1950" s="25">
        <f t="shared" si="61"/>
        <v>68000</v>
      </c>
      <c r="N1950" s="25">
        <f>'Working Sheet'!$J1950*'Working Sheet'!$K1950</f>
        <v>595000</v>
      </c>
      <c r="O1950" s="26">
        <f>'Working Sheet'!$M1950*'Working Sheet'!$K1950</f>
        <v>476000</v>
      </c>
      <c r="P1950" s="25">
        <f>'Working Sheet'!$N1950-'Working Sheet'!$O1950</f>
        <v>119000</v>
      </c>
    </row>
    <row r="1951" spans="1:16" ht="14.25" customHeight="1" x14ac:dyDescent="0.25">
      <c r="A1951" s="18" t="str">
        <f t="shared" ca="1" si="60"/>
        <v>ID_816</v>
      </c>
      <c r="B1951" s="17">
        <v>45718</v>
      </c>
      <c r="C1951" s="18" t="str">
        <f>TEXT('Working Sheet'!$B1951,"mmm")</f>
        <v>Mar</v>
      </c>
      <c r="D1951" s="18" t="s">
        <v>18</v>
      </c>
      <c r="E1951" s="18" t="s">
        <v>19</v>
      </c>
      <c r="F1951" s="18" t="s">
        <v>13</v>
      </c>
      <c r="G1951" s="18" t="s">
        <v>14</v>
      </c>
      <c r="H1951" s="18" t="s">
        <v>30</v>
      </c>
      <c r="I1951" s="18" t="s">
        <v>31</v>
      </c>
      <c r="J1951" s="19">
        <v>300000</v>
      </c>
      <c r="K1951" s="18">
        <v>6</v>
      </c>
      <c r="L1951" s="18" t="s">
        <v>37</v>
      </c>
      <c r="M1951" s="20">
        <f t="shared" si="61"/>
        <v>240000</v>
      </c>
      <c r="N1951" s="20">
        <f>'Working Sheet'!$J1951*'Working Sheet'!$K1951</f>
        <v>1800000</v>
      </c>
      <c r="O1951" s="21">
        <f>'Working Sheet'!$M1951*'Working Sheet'!$K1951</f>
        <v>1440000</v>
      </c>
      <c r="P1951" s="20">
        <f>'Working Sheet'!$N1951-'Working Sheet'!$O1951</f>
        <v>360000</v>
      </c>
    </row>
    <row r="1952" spans="1:16" ht="14.25" customHeight="1" x14ac:dyDescent="0.25">
      <c r="A1952" s="23" t="str">
        <f t="shared" ca="1" si="60"/>
        <v>ID_1030</v>
      </c>
      <c r="B1952" s="22">
        <v>45736</v>
      </c>
      <c r="C1952" s="23" t="str">
        <f>TEXT('Working Sheet'!$B1952,"mmm")</f>
        <v>Mar</v>
      </c>
      <c r="D1952" s="23" t="s">
        <v>11</v>
      </c>
      <c r="E1952" s="23" t="s">
        <v>12</v>
      </c>
      <c r="F1952" s="23" t="s">
        <v>13</v>
      </c>
      <c r="G1952" s="23" t="s">
        <v>20</v>
      </c>
      <c r="H1952" s="23" t="s">
        <v>30</v>
      </c>
      <c r="I1952" s="23" t="s">
        <v>31</v>
      </c>
      <c r="J1952" s="24">
        <v>300000</v>
      </c>
      <c r="K1952" s="23">
        <v>10</v>
      </c>
      <c r="L1952" s="23" t="s">
        <v>24</v>
      </c>
      <c r="M1952" s="25">
        <f t="shared" si="61"/>
        <v>240000</v>
      </c>
      <c r="N1952" s="25">
        <f>'Working Sheet'!$J1952*'Working Sheet'!$K1952</f>
        <v>3000000</v>
      </c>
      <c r="O1952" s="26">
        <f>'Working Sheet'!$M1952*'Working Sheet'!$K1952</f>
        <v>2400000</v>
      </c>
      <c r="P1952" s="25">
        <f>'Working Sheet'!$N1952-'Working Sheet'!$O1952</f>
        <v>600000</v>
      </c>
    </row>
    <row r="1953" spans="1:16" ht="14.25" customHeight="1" x14ac:dyDescent="0.25">
      <c r="A1953" s="18" t="str">
        <f t="shared" ca="1" si="60"/>
        <v>ID_1225</v>
      </c>
      <c r="B1953" s="17">
        <v>45746</v>
      </c>
      <c r="C1953" s="18" t="str">
        <f>TEXT('Working Sheet'!$B1953,"mmm")</f>
        <v>Mar</v>
      </c>
      <c r="D1953" s="18" t="s">
        <v>18</v>
      </c>
      <c r="E1953" s="18" t="s">
        <v>19</v>
      </c>
      <c r="F1953" s="18" t="s">
        <v>23</v>
      </c>
      <c r="G1953" s="18" t="s">
        <v>14</v>
      </c>
      <c r="H1953" s="18" t="s">
        <v>33</v>
      </c>
      <c r="I1953" s="18" t="s">
        <v>22</v>
      </c>
      <c r="J1953" s="19">
        <v>180000</v>
      </c>
      <c r="K1953" s="18">
        <v>1</v>
      </c>
      <c r="L1953" s="18" t="s">
        <v>28</v>
      </c>
      <c r="M1953" s="20">
        <f t="shared" si="61"/>
        <v>144000</v>
      </c>
      <c r="N1953" s="20">
        <f>'Working Sheet'!$J1953*'Working Sheet'!$K1953</f>
        <v>180000</v>
      </c>
      <c r="O1953" s="21">
        <f>'Working Sheet'!$M1953*'Working Sheet'!$K1953</f>
        <v>144000</v>
      </c>
      <c r="P1953" s="20">
        <f>'Working Sheet'!$N1953-'Working Sheet'!$O1953</f>
        <v>36000</v>
      </c>
    </row>
    <row r="1954" spans="1:16" ht="14.25" customHeight="1" x14ac:dyDescent="0.25">
      <c r="A1954" s="23" t="str">
        <f t="shared" ca="1" si="60"/>
        <v>ID_1251</v>
      </c>
      <c r="B1954" s="22">
        <v>45664</v>
      </c>
      <c r="C1954" s="23" t="str">
        <f>TEXT('Working Sheet'!$B1954,"mmm")</f>
        <v>Jan</v>
      </c>
      <c r="D1954" s="23" t="s">
        <v>25</v>
      </c>
      <c r="E1954" s="23" t="s">
        <v>32</v>
      </c>
      <c r="F1954" s="23" t="s">
        <v>13</v>
      </c>
      <c r="G1954" s="23" t="s">
        <v>14</v>
      </c>
      <c r="H1954" s="23" t="s">
        <v>36</v>
      </c>
      <c r="I1954" s="23" t="s">
        <v>31</v>
      </c>
      <c r="J1954" s="24">
        <v>150000</v>
      </c>
      <c r="K1954" s="23">
        <v>7</v>
      </c>
      <c r="L1954" s="23" t="s">
        <v>37</v>
      </c>
      <c r="M1954" s="25">
        <f t="shared" si="61"/>
        <v>120000</v>
      </c>
      <c r="N1954" s="25">
        <f>'Working Sheet'!$J1954*'Working Sheet'!$K1954</f>
        <v>1050000</v>
      </c>
      <c r="O1954" s="26">
        <f>'Working Sheet'!$M1954*'Working Sheet'!$K1954</f>
        <v>840000</v>
      </c>
      <c r="P1954" s="25">
        <f>'Working Sheet'!$N1954-'Working Sheet'!$O1954</f>
        <v>210000</v>
      </c>
    </row>
    <row r="1955" spans="1:16" ht="14.25" customHeight="1" x14ac:dyDescent="0.25">
      <c r="A1955" s="18" t="str">
        <f t="shared" ca="1" si="60"/>
        <v>ID_737</v>
      </c>
      <c r="B1955" s="17">
        <v>45723</v>
      </c>
      <c r="C1955" s="18" t="str">
        <f>TEXT('Working Sheet'!$B1955,"mmm")</f>
        <v>Mar</v>
      </c>
      <c r="D1955" s="18" t="s">
        <v>29</v>
      </c>
      <c r="E1955" s="18" t="s">
        <v>12</v>
      </c>
      <c r="F1955" s="18" t="s">
        <v>13</v>
      </c>
      <c r="G1955" s="18" t="s">
        <v>14</v>
      </c>
      <c r="H1955" s="18" t="s">
        <v>41</v>
      </c>
      <c r="I1955" s="18" t="s">
        <v>22</v>
      </c>
      <c r="J1955" s="19">
        <v>220000</v>
      </c>
      <c r="K1955" s="18">
        <v>5</v>
      </c>
      <c r="L1955" s="18" t="s">
        <v>24</v>
      </c>
      <c r="M1955" s="20">
        <f t="shared" si="61"/>
        <v>176000</v>
      </c>
      <c r="N1955" s="20">
        <f>'Working Sheet'!$J1955*'Working Sheet'!$K1955</f>
        <v>1100000</v>
      </c>
      <c r="O1955" s="21">
        <f>'Working Sheet'!$M1955*'Working Sheet'!$K1955</f>
        <v>880000</v>
      </c>
      <c r="P1955" s="20">
        <f>'Working Sheet'!$N1955-'Working Sheet'!$O1955</f>
        <v>220000</v>
      </c>
    </row>
    <row r="1956" spans="1:16" ht="14.25" customHeight="1" x14ac:dyDescent="0.25">
      <c r="A1956" s="23" t="str">
        <f t="shared" ca="1" si="60"/>
        <v>ID_1917</v>
      </c>
      <c r="B1956" s="22">
        <v>45689</v>
      </c>
      <c r="C1956" s="23" t="str">
        <f>TEXT('Working Sheet'!$B1956,"mmm")</f>
        <v>Feb</v>
      </c>
      <c r="D1956" s="23" t="s">
        <v>18</v>
      </c>
      <c r="E1956" s="23" t="s">
        <v>12</v>
      </c>
      <c r="F1956" s="23" t="s">
        <v>13</v>
      </c>
      <c r="G1956" s="23" t="s">
        <v>14</v>
      </c>
      <c r="H1956" s="23" t="s">
        <v>38</v>
      </c>
      <c r="I1956" s="23" t="s">
        <v>31</v>
      </c>
      <c r="J1956" s="24">
        <v>420000</v>
      </c>
      <c r="K1956" s="23">
        <v>2</v>
      </c>
      <c r="L1956" s="23" t="s">
        <v>37</v>
      </c>
      <c r="M1956" s="25">
        <f t="shared" si="61"/>
        <v>336000</v>
      </c>
      <c r="N1956" s="25">
        <f>'Working Sheet'!$J1956*'Working Sheet'!$K1956</f>
        <v>840000</v>
      </c>
      <c r="O1956" s="26">
        <f>'Working Sheet'!$M1956*'Working Sheet'!$K1956</f>
        <v>672000</v>
      </c>
      <c r="P1956" s="25">
        <f>'Working Sheet'!$N1956-'Working Sheet'!$O1956</f>
        <v>168000</v>
      </c>
    </row>
    <row r="1957" spans="1:16" ht="14.25" customHeight="1" x14ac:dyDescent="0.25">
      <c r="A1957" s="18" t="str">
        <f t="shared" ca="1" si="60"/>
        <v>ID_510</v>
      </c>
      <c r="B1957" s="17">
        <v>45682</v>
      </c>
      <c r="C1957" s="18" t="str">
        <f>TEXT('Working Sheet'!$B1957,"mmm")</f>
        <v>Jan</v>
      </c>
      <c r="D1957" s="18" t="s">
        <v>11</v>
      </c>
      <c r="E1957" s="18" t="s">
        <v>26</v>
      </c>
      <c r="F1957" s="18" t="s">
        <v>13</v>
      </c>
      <c r="G1957" s="18" t="s">
        <v>14</v>
      </c>
      <c r="H1957" s="18" t="s">
        <v>33</v>
      </c>
      <c r="I1957" s="18" t="s">
        <v>22</v>
      </c>
      <c r="J1957" s="19">
        <v>180000</v>
      </c>
      <c r="K1957" s="18">
        <v>9</v>
      </c>
      <c r="L1957" s="18" t="s">
        <v>35</v>
      </c>
      <c r="M1957" s="20">
        <f t="shared" si="61"/>
        <v>144000</v>
      </c>
      <c r="N1957" s="20">
        <f>'Working Sheet'!$J1957*'Working Sheet'!$K1957</f>
        <v>1620000</v>
      </c>
      <c r="O1957" s="21">
        <f>'Working Sheet'!$M1957*'Working Sheet'!$K1957</f>
        <v>1296000</v>
      </c>
      <c r="P1957" s="20">
        <f>'Working Sheet'!$N1957-'Working Sheet'!$O1957</f>
        <v>324000</v>
      </c>
    </row>
    <row r="1958" spans="1:16" ht="14.25" customHeight="1" x14ac:dyDescent="0.25">
      <c r="A1958" s="23" t="str">
        <f t="shared" ca="1" si="60"/>
        <v>ID_1345</v>
      </c>
      <c r="B1958" s="22">
        <v>45671</v>
      </c>
      <c r="C1958" s="23" t="str">
        <f>TEXT('Working Sheet'!$B1958,"mmm")</f>
        <v>Jan</v>
      </c>
      <c r="D1958" s="23" t="s">
        <v>29</v>
      </c>
      <c r="E1958" s="23" t="s">
        <v>32</v>
      </c>
      <c r="F1958" s="23" t="s">
        <v>13</v>
      </c>
      <c r="G1958" s="23" t="s">
        <v>14</v>
      </c>
      <c r="H1958" s="23" t="s">
        <v>41</v>
      </c>
      <c r="I1958" s="23" t="s">
        <v>22</v>
      </c>
      <c r="J1958" s="24">
        <v>220000</v>
      </c>
      <c r="K1958" s="23">
        <v>5</v>
      </c>
      <c r="L1958" s="23" t="s">
        <v>35</v>
      </c>
      <c r="M1958" s="25">
        <f t="shared" si="61"/>
        <v>176000</v>
      </c>
      <c r="N1958" s="25">
        <f>'Working Sheet'!$J1958*'Working Sheet'!$K1958</f>
        <v>1100000</v>
      </c>
      <c r="O1958" s="26">
        <f>'Working Sheet'!$M1958*'Working Sheet'!$K1958</f>
        <v>880000</v>
      </c>
      <c r="P1958" s="25">
        <f>'Working Sheet'!$N1958-'Working Sheet'!$O1958</f>
        <v>220000</v>
      </c>
    </row>
    <row r="1959" spans="1:16" ht="14.25" customHeight="1" x14ac:dyDescent="0.25">
      <c r="A1959" s="18" t="str">
        <f t="shared" ca="1" si="60"/>
        <v>ID_1570</v>
      </c>
      <c r="B1959" s="17">
        <v>45756</v>
      </c>
      <c r="C1959" s="18" t="str">
        <f>TEXT('Working Sheet'!$B1959,"mmm")</f>
        <v>Apr</v>
      </c>
      <c r="D1959" s="18" t="s">
        <v>29</v>
      </c>
      <c r="E1959" s="18" t="s">
        <v>26</v>
      </c>
      <c r="F1959" s="18" t="s">
        <v>13</v>
      </c>
      <c r="G1959" s="18" t="s">
        <v>14</v>
      </c>
      <c r="H1959" s="18" t="s">
        <v>33</v>
      </c>
      <c r="I1959" s="18" t="s">
        <v>22</v>
      </c>
      <c r="J1959" s="19">
        <v>180000</v>
      </c>
      <c r="K1959" s="18">
        <v>1</v>
      </c>
      <c r="L1959" s="18" t="s">
        <v>39</v>
      </c>
      <c r="M1959" s="20">
        <f t="shared" si="61"/>
        <v>144000</v>
      </c>
      <c r="N1959" s="20">
        <f>'Working Sheet'!$J1959*'Working Sheet'!$K1959</f>
        <v>180000</v>
      </c>
      <c r="O1959" s="21">
        <f>'Working Sheet'!$M1959*'Working Sheet'!$K1959</f>
        <v>144000</v>
      </c>
      <c r="P1959" s="20">
        <f>'Working Sheet'!$N1959-'Working Sheet'!$O1959</f>
        <v>36000</v>
      </c>
    </row>
    <row r="1960" spans="1:16" ht="14.25" customHeight="1" x14ac:dyDescent="0.25">
      <c r="A1960" s="23" t="str">
        <f t="shared" ca="1" si="60"/>
        <v>ID_502</v>
      </c>
      <c r="B1960" s="22">
        <v>45757</v>
      </c>
      <c r="C1960" s="23" t="str">
        <f>TEXT('Working Sheet'!$B1960,"mmm")</f>
        <v>Apr</v>
      </c>
      <c r="D1960" s="23" t="s">
        <v>18</v>
      </c>
      <c r="E1960" s="23" t="s">
        <v>26</v>
      </c>
      <c r="F1960" s="23" t="s">
        <v>23</v>
      </c>
      <c r="G1960" s="23" t="s">
        <v>20</v>
      </c>
      <c r="H1960" s="23" t="s">
        <v>27</v>
      </c>
      <c r="I1960" s="23" t="s">
        <v>22</v>
      </c>
      <c r="J1960" s="24">
        <v>60000</v>
      </c>
      <c r="K1960" s="23">
        <v>2</v>
      </c>
      <c r="L1960" s="23" t="s">
        <v>39</v>
      </c>
      <c r="M1960" s="25">
        <f t="shared" si="61"/>
        <v>48000</v>
      </c>
      <c r="N1960" s="25">
        <f>'Working Sheet'!$J1960*'Working Sheet'!$K1960</f>
        <v>120000</v>
      </c>
      <c r="O1960" s="26">
        <f>'Working Sheet'!$M1960*'Working Sheet'!$K1960</f>
        <v>96000</v>
      </c>
      <c r="P1960" s="25">
        <f>'Working Sheet'!$N1960-'Working Sheet'!$O1960</f>
        <v>24000</v>
      </c>
    </row>
    <row r="1961" spans="1:16" ht="14.25" customHeight="1" x14ac:dyDescent="0.25">
      <c r="A1961" s="18" t="str">
        <f t="shared" ca="1" si="60"/>
        <v>ID_861</v>
      </c>
      <c r="B1961" s="17">
        <v>45727</v>
      </c>
      <c r="C1961" s="18" t="str">
        <f>TEXT('Working Sheet'!$B1961,"mmm")</f>
        <v>Mar</v>
      </c>
      <c r="D1961" s="18" t="s">
        <v>29</v>
      </c>
      <c r="E1961" s="18" t="s">
        <v>26</v>
      </c>
      <c r="F1961" s="18" t="s">
        <v>13</v>
      </c>
      <c r="G1961" s="18" t="s">
        <v>14</v>
      </c>
      <c r="H1961" s="18" t="s">
        <v>30</v>
      </c>
      <c r="I1961" s="18" t="s">
        <v>31</v>
      </c>
      <c r="J1961" s="19">
        <v>300000</v>
      </c>
      <c r="K1961" s="18">
        <v>5</v>
      </c>
      <c r="L1961" s="18" t="s">
        <v>24</v>
      </c>
      <c r="M1961" s="20">
        <f t="shared" si="61"/>
        <v>240000</v>
      </c>
      <c r="N1961" s="20">
        <f>'Working Sheet'!$J1961*'Working Sheet'!$K1961</f>
        <v>1500000</v>
      </c>
      <c r="O1961" s="21">
        <f>'Working Sheet'!$M1961*'Working Sheet'!$K1961</f>
        <v>1200000</v>
      </c>
      <c r="P1961" s="20">
        <f>'Working Sheet'!$N1961-'Working Sheet'!$O1961</f>
        <v>300000</v>
      </c>
    </row>
    <row r="1962" spans="1:16" ht="14.25" customHeight="1" x14ac:dyDescent="0.25">
      <c r="A1962" s="23" t="str">
        <f t="shared" ca="1" si="60"/>
        <v>ID_383</v>
      </c>
      <c r="B1962" s="22">
        <v>45674</v>
      </c>
      <c r="C1962" s="23" t="str">
        <f>TEXT('Working Sheet'!$B1962,"mmm")</f>
        <v>Jan</v>
      </c>
      <c r="D1962" s="23" t="s">
        <v>29</v>
      </c>
      <c r="E1962" s="23" t="s">
        <v>26</v>
      </c>
      <c r="F1962" s="23" t="s">
        <v>13</v>
      </c>
      <c r="G1962" s="23" t="s">
        <v>20</v>
      </c>
      <c r="H1962" s="23" t="s">
        <v>30</v>
      </c>
      <c r="I1962" s="23" t="s">
        <v>31</v>
      </c>
      <c r="J1962" s="24">
        <v>300000</v>
      </c>
      <c r="K1962" s="23">
        <v>9</v>
      </c>
      <c r="L1962" s="23" t="s">
        <v>37</v>
      </c>
      <c r="M1962" s="25">
        <f t="shared" si="61"/>
        <v>240000</v>
      </c>
      <c r="N1962" s="25">
        <f>'Working Sheet'!$J1962*'Working Sheet'!$K1962</f>
        <v>2700000</v>
      </c>
      <c r="O1962" s="26">
        <f>'Working Sheet'!$M1962*'Working Sheet'!$K1962</f>
        <v>2160000</v>
      </c>
      <c r="P1962" s="25">
        <f>'Working Sheet'!$N1962-'Working Sheet'!$O1962</f>
        <v>540000</v>
      </c>
    </row>
    <row r="1963" spans="1:16" ht="14.25" customHeight="1" x14ac:dyDescent="0.25">
      <c r="A1963" s="18" t="str">
        <f t="shared" ca="1" si="60"/>
        <v>ID_19</v>
      </c>
      <c r="B1963" s="17">
        <v>45729</v>
      </c>
      <c r="C1963" s="18" t="str">
        <f>TEXT('Working Sheet'!$B1963,"mmm")</f>
        <v>Mar</v>
      </c>
      <c r="D1963" s="18" t="s">
        <v>25</v>
      </c>
      <c r="E1963" s="18" t="s">
        <v>32</v>
      </c>
      <c r="F1963" s="18" t="s">
        <v>13</v>
      </c>
      <c r="G1963" s="18" t="s">
        <v>14</v>
      </c>
      <c r="H1963" s="18" t="s">
        <v>41</v>
      </c>
      <c r="I1963" s="18" t="s">
        <v>22</v>
      </c>
      <c r="J1963" s="19">
        <v>220000</v>
      </c>
      <c r="K1963" s="18">
        <v>1</v>
      </c>
      <c r="L1963" s="18" t="s">
        <v>37</v>
      </c>
      <c r="M1963" s="20">
        <f t="shared" si="61"/>
        <v>176000</v>
      </c>
      <c r="N1963" s="20">
        <f>'Working Sheet'!$J1963*'Working Sheet'!$K1963</f>
        <v>220000</v>
      </c>
      <c r="O1963" s="21">
        <f>'Working Sheet'!$M1963*'Working Sheet'!$K1963</f>
        <v>176000</v>
      </c>
      <c r="P1963" s="20">
        <f>'Working Sheet'!$N1963-'Working Sheet'!$O1963</f>
        <v>44000</v>
      </c>
    </row>
    <row r="1964" spans="1:16" ht="14.25" customHeight="1" x14ac:dyDescent="0.25">
      <c r="A1964" s="23" t="str">
        <f t="shared" ca="1" si="60"/>
        <v>ID_818</v>
      </c>
      <c r="B1964" s="22">
        <v>45736</v>
      </c>
      <c r="C1964" s="23" t="str">
        <f>TEXT('Working Sheet'!$B1964,"mmm")</f>
        <v>Mar</v>
      </c>
      <c r="D1964" s="23" t="s">
        <v>11</v>
      </c>
      <c r="E1964" s="23" t="s">
        <v>32</v>
      </c>
      <c r="F1964" s="23" t="s">
        <v>23</v>
      </c>
      <c r="G1964" s="23" t="s">
        <v>20</v>
      </c>
      <c r="H1964" s="23" t="s">
        <v>21</v>
      </c>
      <c r="I1964" s="23" t="s">
        <v>22</v>
      </c>
      <c r="J1964" s="24">
        <v>30000</v>
      </c>
      <c r="K1964" s="23">
        <v>5</v>
      </c>
      <c r="L1964" s="23" t="s">
        <v>37</v>
      </c>
      <c r="M1964" s="25">
        <f t="shared" si="61"/>
        <v>24000</v>
      </c>
      <c r="N1964" s="25">
        <f>'Working Sheet'!$J1964*'Working Sheet'!$K1964</f>
        <v>150000</v>
      </c>
      <c r="O1964" s="26">
        <f>'Working Sheet'!$M1964*'Working Sheet'!$K1964</f>
        <v>120000</v>
      </c>
      <c r="P1964" s="25">
        <f>'Working Sheet'!$N1964-'Working Sheet'!$O1964</f>
        <v>30000</v>
      </c>
    </row>
    <row r="1965" spans="1:16" ht="14.25" customHeight="1" x14ac:dyDescent="0.25">
      <c r="A1965" s="18" t="str">
        <f t="shared" ca="1" si="60"/>
        <v>ID_35</v>
      </c>
      <c r="B1965" s="17">
        <v>45747</v>
      </c>
      <c r="C1965" s="18" t="str">
        <f>TEXT('Working Sheet'!$B1965,"mmm")</f>
        <v>Mar</v>
      </c>
      <c r="D1965" s="18" t="s">
        <v>25</v>
      </c>
      <c r="E1965" s="18" t="s">
        <v>12</v>
      </c>
      <c r="F1965" s="18" t="s">
        <v>23</v>
      </c>
      <c r="G1965" s="18" t="s">
        <v>14</v>
      </c>
      <c r="H1965" s="18" t="s">
        <v>33</v>
      </c>
      <c r="I1965" s="18" t="s">
        <v>22</v>
      </c>
      <c r="J1965" s="19">
        <v>180000</v>
      </c>
      <c r="K1965" s="18">
        <v>1</v>
      </c>
      <c r="L1965" s="18" t="s">
        <v>17</v>
      </c>
      <c r="M1965" s="20">
        <f t="shared" si="61"/>
        <v>144000</v>
      </c>
      <c r="N1965" s="20">
        <f>'Working Sheet'!$J1965*'Working Sheet'!$K1965</f>
        <v>180000</v>
      </c>
      <c r="O1965" s="21">
        <f>'Working Sheet'!$M1965*'Working Sheet'!$K1965</f>
        <v>144000</v>
      </c>
      <c r="P1965" s="20">
        <f>'Working Sheet'!$N1965-'Working Sheet'!$O1965</f>
        <v>36000</v>
      </c>
    </row>
    <row r="1966" spans="1:16" ht="14.25" customHeight="1" x14ac:dyDescent="0.25">
      <c r="A1966" s="23" t="str">
        <f t="shared" ca="1" si="60"/>
        <v>ID_1764</v>
      </c>
      <c r="B1966" s="22">
        <v>45777</v>
      </c>
      <c r="C1966" s="23" t="str">
        <f>TEXT('Working Sheet'!$B1966,"mmm")</f>
        <v>Apr</v>
      </c>
      <c r="D1966" s="23" t="s">
        <v>29</v>
      </c>
      <c r="E1966" s="23" t="s">
        <v>26</v>
      </c>
      <c r="F1966" s="23" t="s">
        <v>13</v>
      </c>
      <c r="G1966" s="23" t="s">
        <v>14</v>
      </c>
      <c r="H1966" s="23" t="s">
        <v>30</v>
      </c>
      <c r="I1966" s="23" t="s">
        <v>31</v>
      </c>
      <c r="J1966" s="24">
        <v>300000</v>
      </c>
      <c r="K1966" s="23">
        <v>6</v>
      </c>
      <c r="L1966" s="23" t="s">
        <v>37</v>
      </c>
      <c r="M1966" s="25">
        <f t="shared" si="61"/>
        <v>240000</v>
      </c>
      <c r="N1966" s="25">
        <f>'Working Sheet'!$J1966*'Working Sheet'!$K1966</f>
        <v>1800000</v>
      </c>
      <c r="O1966" s="26">
        <f>'Working Sheet'!$M1966*'Working Sheet'!$K1966</f>
        <v>1440000</v>
      </c>
      <c r="P1966" s="25">
        <f>'Working Sheet'!$N1966-'Working Sheet'!$O1966</f>
        <v>360000</v>
      </c>
    </row>
    <row r="1967" spans="1:16" ht="14.25" customHeight="1" x14ac:dyDescent="0.25">
      <c r="A1967" s="18" t="str">
        <f t="shared" ca="1" si="60"/>
        <v>ID_292</v>
      </c>
      <c r="B1967" s="17">
        <v>45658</v>
      </c>
      <c r="C1967" s="18" t="str">
        <f>TEXT('Working Sheet'!$B1967,"mmm")</f>
        <v>Jan</v>
      </c>
      <c r="D1967" s="18" t="s">
        <v>11</v>
      </c>
      <c r="E1967" s="18" t="s">
        <v>26</v>
      </c>
      <c r="F1967" s="18" t="s">
        <v>13</v>
      </c>
      <c r="G1967" s="18" t="s">
        <v>20</v>
      </c>
      <c r="H1967" s="18" t="s">
        <v>41</v>
      </c>
      <c r="I1967" s="18" t="s">
        <v>22</v>
      </c>
      <c r="J1967" s="19">
        <v>220000</v>
      </c>
      <c r="K1967" s="18">
        <v>3</v>
      </c>
      <c r="L1967" s="18" t="s">
        <v>39</v>
      </c>
      <c r="M1967" s="20">
        <f t="shared" si="61"/>
        <v>176000</v>
      </c>
      <c r="N1967" s="20">
        <f>'Working Sheet'!$J1967*'Working Sheet'!$K1967</f>
        <v>660000</v>
      </c>
      <c r="O1967" s="21">
        <f>'Working Sheet'!$M1967*'Working Sheet'!$K1967</f>
        <v>528000</v>
      </c>
      <c r="P1967" s="20">
        <f>'Working Sheet'!$N1967-'Working Sheet'!$O1967</f>
        <v>132000</v>
      </c>
    </row>
    <row r="1968" spans="1:16" ht="14.25" customHeight="1" x14ac:dyDescent="0.25">
      <c r="A1968" s="23" t="str">
        <f t="shared" ca="1" si="60"/>
        <v>ID_117</v>
      </c>
      <c r="B1968" s="22">
        <v>45750</v>
      </c>
      <c r="C1968" s="23" t="str">
        <f>TEXT('Working Sheet'!$B1968,"mmm")</f>
        <v>Apr</v>
      </c>
      <c r="D1968" s="23" t="s">
        <v>29</v>
      </c>
      <c r="E1968" s="23" t="s">
        <v>12</v>
      </c>
      <c r="F1968" s="23" t="s">
        <v>13</v>
      </c>
      <c r="G1968" s="23" t="s">
        <v>20</v>
      </c>
      <c r="H1968" s="23" t="s">
        <v>34</v>
      </c>
      <c r="I1968" s="23" t="s">
        <v>16</v>
      </c>
      <c r="J1968" s="24">
        <v>320000</v>
      </c>
      <c r="K1968" s="23">
        <v>5</v>
      </c>
      <c r="L1968" s="23" t="s">
        <v>35</v>
      </c>
      <c r="M1968" s="25">
        <f t="shared" si="61"/>
        <v>256000</v>
      </c>
      <c r="N1968" s="25">
        <f>'Working Sheet'!$J1968*'Working Sheet'!$K1968</f>
        <v>1600000</v>
      </c>
      <c r="O1968" s="26">
        <f>'Working Sheet'!$M1968*'Working Sheet'!$K1968</f>
        <v>1280000</v>
      </c>
      <c r="P1968" s="25">
        <f>'Working Sheet'!$N1968-'Working Sheet'!$O1968</f>
        <v>320000</v>
      </c>
    </row>
    <row r="1969" spans="1:16" ht="14.25" customHeight="1" x14ac:dyDescent="0.25">
      <c r="A1969" s="18" t="str">
        <f t="shared" ca="1" si="60"/>
        <v>ID_804</v>
      </c>
      <c r="B1969" s="17">
        <v>45718</v>
      </c>
      <c r="C1969" s="18" t="str">
        <f>TEXT('Working Sheet'!$B1969,"mmm")</f>
        <v>Mar</v>
      </c>
      <c r="D1969" s="18" t="s">
        <v>25</v>
      </c>
      <c r="E1969" s="18" t="s">
        <v>26</v>
      </c>
      <c r="F1969" s="18" t="s">
        <v>13</v>
      </c>
      <c r="G1969" s="18" t="s">
        <v>14</v>
      </c>
      <c r="H1969" s="18" t="s">
        <v>36</v>
      </c>
      <c r="I1969" s="18" t="s">
        <v>31</v>
      </c>
      <c r="J1969" s="19">
        <v>150000</v>
      </c>
      <c r="K1969" s="18">
        <v>2</v>
      </c>
      <c r="L1969" s="18" t="s">
        <v>35</v>
      </c>
      <c r="M1969" s="20">
        <f t="shared" si="61"/>
        <v>120000</v>
      </c>
      <c r="N1969" s="20">
        <f>'Working Sheet'!$J1969*'Working Sheet'!$K1969</f>
        <v>300000</v>
      </c>
      <c r="O1969" s="21">
        <f>'Working Sheet'!$M1969*'Working Sheet'!$K1969</f>
        <v>240000</v>
      </c>
      <c r="P1969" s="20">
        <f>'Working Sheet'!$N1969-'Working Sheet'!$O1969</f>
        <v>60000</v>
      </c>
    </row>
    <row r="1970" spans="1:16" ht="14.25" customHeight="1" x14ac:dyDescent="0.25">
      <c r="A1970" s="23" t="str">
        <f t="shared" ca="1" si="60"/>
        <v>ID_1059</v>
      </c>
      <c r="B1970" s="22">
        <v>45706</v>
      </c>
      <c r="C1970" s="23" t="str">
        <f>TEXT('Working Sheet'!$B1970,"mmm")</f>
        <v>Feb</v>
      </c>
      <c r="D1970" s="23" t="s">
        <v>11</v>
      </c>
      <c r="E1970" s="23" t="s">
        <v>12</v>
      </c>
      <c r="F1970" s="23" t="s">
        <v>13</v>
      </c>
      <c r="G1970" s="23" t="s">
        <v>14</v>
      </c>
      <c r="H1970" s="23" t="s">
        <v>33</v>
      </c>
      <c r="I1970" s="23" t="s">
        <v>22</v>
      </c>
      <c r="J1970" s="24">
        <v>180000</v>
      </c>
      <c r="K1970" s="23">
        <v>1</v>
      </c>
      <c r="L1970" s="23" t="s">
        <v>24</v>
      </c>
      <c r="M1970" s="25">
        <f t="shared" si="61"/>
        <v>144000</v>
      </c>
      <c r="N1970" s="25">
        <f>'Working Sheet'!$J1970*'Working Sheet'!$K1970</f>
        <v>180000</v>
      </c>
      <c r="O1970" s="26">
        <f>'Working Sheet'!$M1970*'Working Sheet'!$K1970</f>
        <v>144000</v>
      </c>
      <c r="P1970" s="25">
        <f>'Working Sheet'!$N1970-'Working Sheet'!$O1970</f>
        <v>36000</v>
      </c>
    </row>
    <row r="1971" spans="1:16" ht="14.25" customHeight="1" x14ac:dyDescent="0.25">
      <c r="A1971" s="18" t="str">
        <f t="shared" ca="1" si="60"/>
        <v>ID_1578</v>
      </c>
      <c r="B1971" s="17">
        <v>45764</v>
      </c>
      <c r="C1971" s="18" t="str">
        <f>TEXT('Working Sheet'!$B1971,"mmm")</f>
        <v>Apr</v>
      </c>
      <c r="D1971" s="18" t="s">
        <v>11</v>
      </c>
      <c r="E1971" s="18" t="s">
        <v>19</v>
      </c>
      <c r="F1971" s="18" t="s">
        <v>23</v>
      </c>
      <c r="G1971" s="18" t="s">
        <v>20</v>
      </c>
      <c r="H1971" s="18" t="s">
        <v>21</v>
      </c>
      <c r="I1971" s="18" t="s">
        <v>22</v>
      </c>
      <c r="J1971" s="19">
        <v>30000</v>
      </c>
      <c r="K1971" s="18">
        <v>10</v>
      </c>
      <c r="L1971" s="18" t="s">
        <v>37</v>
      </c>
      <c r="M1971" s="20">
        <f t="shared" si="61"/>
        <v>24000</v>
      </c>
      <c r="N1971" s="20">
        <f>'Working Sheet'!$J1971*'Working Sheet'!$K1971</f>
        <v>300000</v>
      </c>
      <c r="O1971" s="21">
        <f>'Working Sheet'!$M1971*'Working Sheet'!$K1971</f>
        <v>240000</v>
      </c>
      <c r="P1971" s="20">
        <f>'Working Sheet'!$N1971-'Working Sheet'!$O1971</f>
        <v>60000</v>
      </c>
    </row>
    <row r="1972" spans="1:16" ht="14.25" customHeight="1" x14ac:dyDescent="0.25">
      <c r="A1972" s="23" t="str">
        <f t="shared" ca="1" si="60"/>
        <v>ID_1752</v>
      </c>
      <c r="B1972" s="22">
        <v>45660</v>
      </c>
      <c r="C1972" s="23" t="str">
        <f>TEXT('Working Sheet'!$B1972,"mmm")</f>
        <v>Jan</v>
      </c>
      <c r="D1972" s="23" t="s">
        <v>29</v>
      </c>
      <c r="E1972" s="23" t="s">
        <v>19</v>
      </c>
      <c r="F1972" s="23" t="s">
        <v>13</v>
      </c>
      <c r="G1972" s="23" t="s">
        <v>20</v>
      </c>
      <c r="H1972" s="23" t="s">
        <v>36</v>
      </c>
      <c r="I1972" s="23" t="s">
        <v>31</v>
      </c>
      <c r="J1972" s="24">
        <v>150000</v>
      </c>
      <c r="K1972" s="23">
        <v>4</v>
      </c>
      <c r="L1972" s="23" t="s">
        <v>24</v>
      </c>
      <c r="M1972" s="25">
        <f t="shared" si="61"/>
        <v>120000</v>
      </c>
      <c r="N1972" s="25">
        <f>'Working Sheet'!$J1972*'Working Sheet'!$K1972</f>
        <v>600000</v>
      </c>
      <c r="O1972" s="26">
        <f>'Working Sheet'!$M1972*'Working Sheet'!$K1972</f>
        <v>480000</v>
      </c>
      <c r="P1972" s="25">
        <f>'Working Sheet'!$N1972-'Working Sheet'!$O1972</f>
        <v>120000</v>
      </c>
    </row>
    <row r="1973" spans="1:16" ht="14.25" customHeight="1" x14ac:dyDescent="0.25">
      <c r="A1973" s="18" t="str">
        <f t="shared" ca="1" si="60"/>
        <v>ID_1111</v>
      </c>
      <c r="B1973" s="17">
        <v>45658</v>
      </c>
      <c r="C1973" s="18" t="str">
        <f>TEXT('Working Sheet'!$B1973,"mmm")</f>
        <v>Jan</v>
      </c>
      <c r="D1973" s="18" t="s">
        <v>29</v>
      </c>
      <c r="E1973" s="18" t="s">
        <v>26</v>
      </c>
      <c r="F1973" s="18" t="s">
        <v>13</v>
      </c>
      <c r="G1973" s="18" t="s">
        <v>14</v>
      </c>
      <c r="H1973" s="18" t="s">
        <v>21</v>
      </c>
      <c r="I1973" s="18" t="s">
        <v>22</v>
      </c>
      <c r="J1973" s="19">
        <v>30000</v>
      </c>
      <c r="K1973" s="18">
        <v>1</v>
      </c>
      <c r="L1973" s="18" t="s">
        <v>24</v>
      </c>
      <c r="M1973" s="20">
        <f t="shared" si="61"/>
        <v>24000</v>
      </c>
      <c r="N1973" s="20">
        <f>'Working Sheet'!$J1973*'Working Sheet'!$K1973</f>
        <v>30000</v>
      </c>
      <c r="O1973" s="21">
        <f>'Working Sheet'!$M1973*'Working Sheet'!$K1973</f>
        <v>24000</v>
      </c>
      <c r="P1973" s="20">
        <f>'Working Sheet'!$N1973-'Working Sheet'!$O1973</f>
        <v>6000</v>
      </c>
    </row>
    <row r="1974" spans="1:16" ht="14.25" customHeight="1" x14ac:dyDescent="0.25">
      <c r="A1974" s="23" t="str">
        <f t="shared" ca="1" si="60"/>
        <v>ID_132</v>
      </c>
      <c r="B1974" s="22">
        <v>45742</v>
      </c>
      <c r="C1974" s="23" t="str">
        <f>TEXT('Working Sheet'!$B1974,"mmm")</f>
        <v>Mar</v>
      </c>
      <c r="D1974" s="23" t="s">
        <v>29</v>
      </c>
      <c r="E1974" s="23" t="s">
        <v>19</v>
      </c>
      <c r="F1974" s="23" t="s">
        <v>13</v>
      </c>
      <c r="G1974" s="23" t="s">
        <v>14</v>
      </c>
      <c r="H1974" s="23" t="s">
        <v>21</v>
      </c>
      <c r="I1974" s="23" t="s">
        <v>22</v>
      </c>
      <c r="J1974" s="24">
        <v>30000</v>
      </c>
      <c r="K1974" s="23">
        <v>6</v>
      </c>
      <c r="L1974" s="23" t="s">
        <v>35</v>
      </c>
      <c r="M1974" s="25">
        <f t="shared" si="61"/>
        <v>24000</v>
      </c>
      <c r="N1974" s="25">
        <f>'Working Sheet'!$J1974*'Working Sheet'!$K1974</f>
        <v>180000</v>
      </c>
      <c r="O1974" s="26">
        <f>'Working Sheet'!$M1974*'Working Sheet'!$K1974</f>
        <v>144000</v>
      </c>
      <c r="P1974" s="25">
        <f>'Working Sheet'!$N1974-'Working Sheet'!$O1974</f>
        <v>36000</v>
      </c>
    </row>
    <row r="1975" spans="1:16" ht="14.25" customHeight="1" x14ac:dyDescent="0.25">
      <c r="A1975" s="18" t="str">
        <f t="shared" ca="1" si="60"/>
        <v>ID_856</v>
      </c>
      <c r="B1975" s="17">
        <v>45764</v>
      </c>
      <c r="C1975" s="18" t="str">
        <f>TEXT('Working Sheet'!$B1975,"mmm")</f>
        <v>Apr</v>
      </c>
      <c r="D1975" s="18" t="s">
        <v>25</v>
      </c>
      <c r="E1975" s="18" t="s">
        <v>12</v>
      </c>
      <c r="F1975" s="18" t="s">
        <v>23</v>
      </c>
      <c r="G1975" s="18" t="s">
        <v>14</v>
      </c>
      <c r="H1975" s="18" t="s">
        <v>33</v>
      </c>
      <c r="I1975" s="18" t="s">
        <v>22</v>
      </c>
      <c r="J1975" s="19">
        <v>180000</v>
      </c>
      <c r="K1975" s="18">
        <v>7</v>
      </c>
      <c r="L1975" s="18" t="s">
        <v>17</v>
      </c>
      <c r="M1975" s="20">
        <f t="shared" si="61"/>
        <v>144000</v>
      </c>
      <c r="N1975" s="20">
        <f>'Working Sheet'!$J1975*'Working Sheet'!$K1975</f>
        <v>1260000</v>
      </c>
      <c r="O1975" s="21">
        <f>'Working Sheet'!$M1975*'Working Sheet'!$K1975</f>
        <v>1008000</v>
      </c>
      <c r="P1975" s="20">
        <f>'Working Sheet'!$N1975-'Working Sheet'!$O1975</f>
        <v>252000</v>
      </c>
    </row>
    <row r="1976" spans="1:16" ht="14.25" customHeight="1" x14ac:dyDescent="0.25">
      <c r="A1976" s="23" t="str">
        <f t="shared" ca="1" si="60"/>
        <v>ID_483</v>
      </c>
      <c r="B1976" s="22">
        <v>45684</v>
      </c>
      <c r="C1976" s="23" t="str">
        <f>TEXT('Working Sheet'!$B1976,"mmm")</f>
        <v>Jan</v>
      </c>
      <c r="D1976" s="23" t="s">
        <v>25</v>
      </c>
      <c r="E1976" s="23" t="s">
        <v>32</v>
      </c>
      <c r="F1976" s="23" t="s">
        <v>13</v>
      </c>
      <c r="G1976" s="23" t="s">
        <v>14</v>
      </c>
      <c r="H1976" s="23" t="s">
        <v>27</v>
      </c>
      <c r="I1976" s="23" t="s">
        <v>22</v>
      </c>
      <c r="J1976" s="24">
        <v>60000</v>
      </c>
      <c r="K1976" s="23">
        <v>8</v>
      </c>
      <c r="L1976" s="23" t="s">
        <v>39</v>
      </c>
      <c r="M1976" s="25">
        <f t="shared" si="61"/>
        <v>48000</v>
      </c>
      <c r="N1976" s="25">
        <f>'Working Sheet'!$J1976*'Working Sheet'!$K1976</f>
        <v>480000</v>
      </c>
      <c r="O1976" s="26">
        <f>'Working Sheet'!$M1976*'Working Sheet'!$K1976</f>
        <v>384000</v>
      </c>
      <c r="P1976" s="25">
        <f>'Working Sheet'!$N1976-'Working Sheet'!$O1976</f>
        <v>96000</v>
      </c>
    </row>
    <row r="1977" spans="1:16" ht="14.25" customHeight="1" x14ac:dyDescent="0.25">
      <c r="A1977" s="18" t="str">
        <f t="shared" ca="1" si="60"/>
        <v>ID_1768</v>
      </c>
      <c r="B1977" s="17">
        <v>45768</v>
      </c>
      <c r="C1977" s="18" t="str">
        <f>TEXT('Working Sheet'!$B1977,"mmm")</f>
        <v>Apr</v>
      </c>
      <c r="D1977" s="18" t="s">
        <v>25</v>
      </c>
      <c r="E1977" s="18" t="s">
        <v>19</v>
      </c>
      <c r="F1977" s="18" t="s">
        <v>13</v>
      </c>
      <c r="G1977" s="18" t="s">
        <v>14</v>
      </c>
      <c r="H1977" s="18" t="s">
        <v>27</v>
      </c>
      <c r="I1977" s="18" t="s">
        <v>22</v>
      </c>
      <c r="J1977" s="19">
        <v>60000</v>
      </c>
      <c r="K1977" s="18">
        <v>2</v>
      </c>
      <c r="L1977" s="18" t="s">
        <v>37</v>
      </c>
      <c r="M1977" s="20">
        <f t="shared" si="61"/>
        <v>48000</v>
      </c>
      <c r="N1977" s="20">
        <f>'Working Sheet'!$J1977*'Working Sheet'!$K1977</f>
        <v>120000</v>
      </c>
      <c r="O1977" s="21">
        <f>'Working Sheet'!$M1977*'Working Sheet'!$K1977</f>
        <v>96000</v>
      </c>
      <c r="P1977" s="20">
        <f>'Working Sheet'!$N1977-'Working Sheet'!$O1977</f>
        <v>24000</v>
      </c>
    </row>
    <row r="1978" spans="1:16" ht="14.25" customHeight="1" x14ac:dyDescent="0.25">
      <c r="A1978" s="23" t="str">
        <f t="shared" ca="1" si="60"/>
        <v>ID_1447</v>
      </c>
      <c r="B1978" s="22">
        <v>45705</v>
      </c>
      <c r="C1978" s="23" t="str">
        <f>TEXT('Working Sheet'!$B1978,"mmm")</f>
        <v>Feb</v>
      </c>
      <c r="D1978" s="23" t="s">
        <v>25</v>
      </c>
      <c r="E1978" s="23" t="s">
        <v>26</v>
      </c>
      <c r="F1978" s="23" t="s">
        <v>13</v>
      </c>
      <c r="G1978" s="23" t="s">
        <v>20</v>
      </c>
      <c r="H1978" s="23" t="s">
        <v>15</v>
      </c>
      <c r="I1978" s="23" t="s">
        <v>16</v>
      </c>
      <c r="J1978" s="24">
        <v>85000</v>
      </c>
      <c r="K1978" s="23">
        <v>1</v>
      </c>
      <c r="L1978" s="23" t="s">
        <v>35</v>
      </c>
      <c r="M1978" s="25">
        <f t="shared" si="61"/>
        <v>68000</v>
      </c>
      <c r="N1978" s="25">
        <f>'Working Sheet'!$J1978*'Working Sheet'!$K1978</f>
        <v>85000</v>
      </c>
      <c r="O1978" s="26">
        <f>'Working Sheet'!$M1978*'Working Sheet'!$K1978</f>
        <v>68000</v>
      </c>
      <c r="P1978" s="25">
        <f>'Working Sheet'!$N1978-'Working Sheet'!$O1978</f>
        <v>17000</v>
      </c>
    </row>
    <row r="1979" spans="1:16" ht="14.25" customHeight="1" x14ac:dyDescent="0.25">
      <c r="A1979" s="18" t="str">
        <f t="shared" ca="1" si="60"/>
        <v>ID_2068</v>
      </c>
      <c r="B1979" s="17">
        <v>45750</v>
      </c>
      <c r="C1979" s="18" t="str">
        <f>TEXT('Working Sheet'!$B1979,"mmm")</f>
        <v>Apr</v>
      </c>
      <c r="D1979" s="18" t="s">
        <v>29</v>
      </c>
      <c r="E1979" s="18" t="s">
        <v>26</v>
      </c>
      <c r="F1979" s="18" t="s">
        <v>23</v>
      </c>
      <c r="G1979" s="18" t="s">
        <v>14</v>
      </c>
      <c r="H1979" s="18" t="s">
        <v>21</v>
      </c>
      <c r="I1979" s="18" t="s">
        <v>22</v>
      </c>
      <c r="J1979" s="19">
        <v>30000</v>
      </c>
      <c r="K1979" s="18">
        <v>8</v>
      </c>
      <c r="L1979" s="18" t="s">
        <v>37</v>
      </c>
      <c r="M1979" s="20">
        <f t="shared" si="61"/>
        <v>24000</v>
      </c>
      <c r="N1979" s="20">
        <f>'Working Sheet'!$J1979*'Working Sheet'!$K1979</f>
        <v>240000</v>
      </c>
      <c r="O1979" s="21">
        <f>'Working Sheet'!$M1979*'Working Sheet'!$K1979</f>
        <v>192000</v>
      </c>
      <c r="P1979" s="20">
        <f>'Working Sheet'!$N1979-'Working Sheet'!$O1979</f>
        <v>48000</v>
      </c>
    </row>
    <row r="1980" spans="1:16" ht="14.25" customHeight="1" x14ac:dyDescent="0.25">
      <c r="A1980" s="23" t="str">
        <f t="shared" ca="1" si="60"/>
        <v>ID_1786</v>
      </c>
      <c r="B1980" s="22">
        <v>45716</v>
      </c>
      <c r="C1980" s="23" t="str">
        <f>TEXT('Working Sheet'!$B1980,"mmm")</f>
        <v>Feb</v>
      </c>
      <c r="D1980" s="23" t="s">
        <v>29</v>
      </c>
      <c r="E1980" s="23" t="s">
        <v>32</v>
      </c>
      <c r="F1980" s="23" t="s">
        <v>13</v>
      </c>
      <c r="G1980" s="23" t="s">
        <v>20</v>
      </c>
      <c r="H1980" s="23" t="s">
        <v>27</v>
      </c>
      <c r="I1980" s="23" t="s">
        <v>22</v>
      </c>
      <c r="J1980" s="24">
        <v>60000</v>
      </c>
      <c r="K1980" s="23">
        <v>10</v>
      </c>
      <c r="L1980" s="23" t="s">
        <v>37</v>
      </c>
      <c r="M1980" s="25">
        <f t="shared" si="61"/>
        <v>48000</v>
      </c>
      <c r="N1980" s="25">
        <f>'Working Sheet'!$J1980*'Working Sheet'!$K1980</f>
        <v>600000</v>
      </c>
      <c r="O1980" s="26">
        <f>'Working Sheet'!$M1980*'Working Sheet'!$K1980</f>
        <v>480000</v>
      </c>
      <c r="P1980" s="25">
        <f>'Working Sheet'!$N1980-'Working Sheet'!$O1980</f>
        <v>120000</v>
      </c>
    </row>
    <row r="1981" spans="1:16" ht="14.25" customHeight="1" x14ac:dyDescent="0.25">
      <c r="A1981" s="18" t="str">
        <f t="shared" ca="1" si="60"/>
        <v>ID_1870</v>
      </c>
      <c r="B1981" s="17">
        <v>45751</v>
      </c>
      <c r="C1981" s="18" t="str">
        <f>TEXT('Working Sheet'!$B1981,"mmm")</f>
        <v>Apr</v>
      </c>
      <c r="D1981" s="18" t="s">
        <v>11</v>
      </c>
      <c r="E1981" s="18" t="s">
        <v>12</v>
      </c>
      <c r="F1981" s="18" t="s">
        <v>23</v>
      </c>
      <c r="G1981" s="18" t="s">
        <v>20</v>
      </c>
      <c r="H1981" s="18" t="s">
        <v>36</v>
      </c>
      <c r="I1981" s="18" t="s">
        <v>31</v>
      </c>
      <c r="J1981" s="19">
        <v>150000</v>
      </c>
      <c r="K1981" s="18">
        <v>1</v>
      </c>
      <c r="L1981" s="18" t="s">
        <v>17</v>
      </c>
      <c r="M1981" s="20">
        <f t="shared" si="61"/>
        <v>120000</v>
      </c>
      <c r="N1981" s="20">
        <f>'Working Sheet'!$J1981*'Working Sheet'!$K1981</f>
        <v>150000</v>
      </c>
      <c r="O1981" s="21">
        <f>'Working Sheet'!$M1981*'Working Sheet'!$K1981</f>
        <v>120000</v>
      </c>
      <c r="P1981" s="20">
        <f>'Working Sheet'!$N1981-'Working Sheet'!$O1981</f>
        <v>30000</v>
      </c>
    </row>
    <row r="1982" spans="1:16" ht="14.25" customHeight="1" x14ac:dyDescent="0.25">
      <c r="A1982" s="23" t="str">
        <f t="shared" ca="1" si="60"/>
        <v>ID_555</v>
      </c>
      <c r="B1982" s="22">
        <v>45747</v>
      </c>
      <c r="C1982" s="23" t="str">
        <f>TEXT('Working Sheet'!$B1982,"mmm")</f>
        <v>Mar</v>
      </c>
      <c r="D1982" s="23" t="s">
        <v>25</v>
      </c>
      <c r="E1982" s="23" t="s">
        <v>12</v>
      </c>
      <c r="F1982" s="23" t="s">
        <v>23</v>
      </c>
      <c r="G1982" s="23" t="s">
        <v>20</v>
      </c>
      <c r="H1982" s="23" t="s">
        <v>27</v>
      </c>
      <c r="I1982" s="23" t="s">
        <v>22</v>
      </c>
      <c r="J1982" s="24">
        <v>60000</v>
      </c>
      <c r="K1982" s="23">
        <v>9</v>
      </c>
      <c r="L1982" s="23" t="s">
        <v>39</v>
      </c>
      <c r="M1982" s="25">
        <f t="shared" si="61"/>
        <v>48000</v>
      </c>
      <c r="N1982" s="25">
        <f>'Working Sheet'!$J1982*'Working Sheet'!$K1982</f>
        <v>540000</v>
      </c>
      <c r="O1982" s="26">
        <f>'Working Sheet'!$M1982*'Working Sheet'!$K1982</f>
        <v>432000</v>
      </c>
      <c r="P1982" s="25">
        <f>'Working Sheet'!$N1982-'Working Sheet'!$O1982</f>
        <v>108000</v>
      </c>
    </row>
    <row r="1983" spans="1:16" ht="14.25" customHeight="1" x14ac:dyDescent="0.25">
      <c r="A1983" s="18" t="str">
        <f t="shared" ca="1" si="60"/>
        <v>ID_1305</v>
      </c>
      <c r="B1983" s="17">
        <v>45758</v>
      </c>
      <c r="C1983" s="18" t="str">
        <f>TEXT('Working Sheet'!$B1983,"mmm")</f>
        <v>Apr</v>
      </c>
      <c r="D1983" s="18" t="s">
        <v>29</v>
      </c>
      <c r="E1983" s="18" t="s">
        <v>32</v>
      </c>
      <c r="F1983" s="18" t="s">
        <v>13</v>
      </c>
      <c r="G1983" s="18" t="s">
        <v>14</v>
      </c>
      <c r="H1983" s="18" t="s">
        <v>27</v>
      </c>
      <c r="I1983" s="18" t="s">
        <v>22</v>
      </c>
      <c r="J1983" s="19">
        <v>60000</v>
      </c>
      <c r="K1983" s="18">
        <v>5</v>
      </c>
      <c r="L1983" s="18" t="s">
        <v>39</v>
      </c>
      <c r="M1983" s="20">
        <f t="shared" si="61"/>
        <v>48000</v>
      </c>
      <c r="N1983" s="20">
        <f>'Working Sheet'!$J1983*'Working Sheet'!$K1983</f>
        <v>300000</v>
      </c>
      <c r="O1983" s="21">
        <f>'Working Sheet'!$M1983*'Working Sheet'!$K1983</f>
        <v>240000</v>
      </c>
      <c r="P1983" s="20">
        <f>'Working Sheet'!$N1983-'Working Sheet'!$O1983</f>
        <v>60000</v>
      </c>
    </row>
    <row r="1984" spans="1:16" ht="14.25" customHeight="1" x14ac:dyDescent="0.25">
      <c r="A1984" s="23" t="str">
        <f t="shared" ca="1" si="60"/>
        <v>ID_1773</v>
      </c>
      <c r="B1984" s="22">
        <v>45769</v>
      </c>
      <c r="C1984" s="23" t="str">
        <f>TEXT('Working Sheet'!$B1984,"mmm")</f>
        <v>Apr</v>
      </c>
      <c r="D1984" s="23" t="s">
        <v>18</v>
      </c>
      <c r="E1984" s="23" t="s">
        <v>12</v>
      </c>
      <c r="F1984" s="23" t="s">
        <v>13</v>
      </c>
      <c r="G1984" s="23" t="s">
        <v>20</v>
      </c>
      <c r="H1984" s="23" t="s">
        <v>41</v>
      </c>
      <c r="I1984" s="23" t="s">
        <v>22</v>
      </c>
      <c r="J1984" s="24">
        <v>220000</v>
      </c>
      <c r="K1984" s="23">
        <v>8</v>
      </c>
      <c r="L1984" s="23" t="s">
        <v>17</v>
      </c>
      <c r="M1984" s="25">
        <f t="shared" si="61"/>
        <v>176000</v>
      </c>
      <c r="N1984" s="25">
        <f>'Working Sheet'!$J1984*'Working Sheet'!$K1984</f>
        <v>1760000</v>
      </c>
      <c r="O1984" s="26">
        <f>'Working Sheet'!$M1984*'Working Sheet'!$K1984</f>
        <v>1408000</v>
      </c>
      <c r="P1984" s="25">
        <f>'Working Sheet'!$N1984-'Working Sheet'!$O1984</f>
        <v>352000</v>
      </c>
    </row>
    <row r="1985" spans="1:16" ht="14.25" customHeight="1" x14ac:dyDescent="0.25">
      <c r="A1985" s="18" t="str">
        <f t="shared" ca="1" si="60"/>
        <v>ID_1516</v>
      </c>
      <c r="B1985" s="17">
        <v>45706</v>
      </c>
      <c r="C1985" s="18" t="str">
        <f>TEXT('Working Sheet'!$B1985,"mmm")</f>
        <v>Feb</v>
      </c>
      <c r="D1985" s="18" t="s">
        <v>11</v>
      </c>
      <c r="E1985" s="18" t="s">
        <v>12</v>
      </c>
      <c r="F1985" s="18" t="s">
        <v>13</v>
      </c>
      <c r="G1985" s="18" t="s">
        <v>20</v>
      </c>
      <c r="H1985" s="18" t="s">
        <v>15</v>
      </c>
      <c r="I1985" s="18" t="s">
        <v>16</v>
      </c>
      <c r="J1985" s="19">
        <v>85000</v>
      </c>
      <c r="K1985" s="18">
        <v>2</v>
      </c>
      <c r="L1985" s="18" t="s">
        <v>37</v>
      </c>
      <c r="M1985" s="20">
        <f t="shared" si="61"/>
        <v>68000</v>
      </c>
      <c r="N1985" s="20">
        <f>'Working Sheet'!$J1985*'Working Sheet'!$K1985</f>
        <v>170000</v>
      </c>
      <c r="O1985" s="21">
        <f>'Working Sheet'!$M1985*'Working Sheet'!$K1985</f>
        <v>136000</v>
      </c>
      <c r="P1985" s="20">
        <f>'Working Sheet'!$N1985-'Working Sheet'!$O1985</f>
        <v>34000</v>
      </c>
    </row>
    <row r="1986" spans="1:16" ht="14.25" customHeight="1" x14ac:dyDescent="0.25">
      <c r="A1986" s="23" t="str">
        <f t="shared" ref="A1986:A2049" ca="1" si="62">"ID_"&amp; RANDBETWEEN(1,2098)</f>
        <v>ID_570</v>
      </c>
      <c r="B1986" s="22">
        <v>45774</v>
      </c>
      <c r="C1986" s="23" t="str">
        <f>TEXT('Working Sheet'!$B1986,"mmm")</f>
        <v>Apr</v>
      </c>
      <c r="D1986" s="23" t="s">
        <v>25</v>
      </c>
      <c r="E1986" s="23" t="s">
        <v>32</v>
      </c>
      <c r="F1986" s="23" t="s">
        <v>13</v>
      </c>
      <c r="G1986" s="23" t="s">
        <v>20</v>
      </c>
      <c r="H1986" s="23" t="s">
        <v>34</v>
      </c>
      <c r="I1986" s="23" t="s">
        <v>16</v>
      </c>
      <c r="J1986" s="24">
        <v>320000</v>
      </c>
      <c r="K1986" s="23">
        <v>7</v>
      </c>
      <c r="L1986" s="23" t="s">
        <v>37</v>
      </c>
      <c r="M1986" s="25">
        <f t="shared" ref="M1986:M2049" si="63">J1986-J1986*0.2</f>
        <v>256000</v>
      </c>
      <c r="N1986" s="25">
        <f>'Working Sheet'!$J1986*'Working Sheet'!$K1986</f>
        <v>2240000</v>
      </c>
      <c r="O1986" s="26">
        <f>'Working Sheet'!$M1986*'Working Sheet'!$K1986</f>
        <v>1792000</v>
      </c>
      <c r="P1986" s="25">
        <f>'Working Sheet'!$N1986-'Working Sheet'!$O1986</f>
        <v>448000</v>
      </c>
    </row>
    <row r="1987" spans="1:16" ht="14.25" customHeight="1" x14ac:dyDescent="0.25">
      <c r="A1987" s="18" t="str">
        <f t="shared" ca="1" si="62"/>
        <v>ID_1051</v>
      </c>
      <c r="B1987" s="17">
        <v>45698</v>
      </c>
      <c r="C1987" s="18" t="str">
        <f>TEXT('Working Sheet'!$B1987,"mmm")</f>
        <v>Feb</v>
      </c>
      <c r="D1987" s="18" t="s">
        <v>25</v>
      </c>
      <c r="E1987" s="18" t="s">
        <v>32</v>
      </c>
      <c r="F1987" s="18" t="s">
        <v>13</v>
      </c>
      <c r="G1987" s="18" t="s">
        <v>14</v>
      </c>
      <c r="H1987" s="18" t="s">
        <v>40</v>
      </c>
      <c r="I1987" s="18" t="s">
        <v>31</v>
      </c>
      <c r="J1987" s="19">
        <v>250000</v>
      </c>
      <c r="K1987" s="18">
        <v>4</v>
      </c>
      <c r="L1987" s="18" t="s">
        <v>17</v>
      </c>
      <c r="M1987" s="20">
        <f t="shared" si="63"/>
        <v>200000</v>
      </c>
      <c r="N1987" s="20">
        <f>'Working Sheet'!$J1987*'Working Sheet'!$K1987</f>
        <v>1000000</v>
      </c>
      <c r="O1987" s="21">
        <f>'Working Sheet'!$M1987*'Working Sheet'!$K1987</f>
        <v>800000</v>
      </c>
      <c r="P1987" s="20">
        <f>'Working Sheet'!$N1987-'Working Sheet'!$O1987</f>
        <v>200000</v>
      </c>
    </row>
    <row r="1988" spans="1:16" ht="14.25" customHeight="1" x14ac:dyDescent="0.25">
      <c r="A1988" s="23" t="str">
        <f t="shared" ca="1" si="62"/>
        <v>ID_697</v>
      </c>
      <c r="B1988" s="22">
        <v>45773</v>
      </c>
      <c r="C1988" s="23" t="str">
        <f>TEXT('Working Sheet'!$B1988,"mmm")</f>
        <v>Apr</v>
      </c>
      <c r="D1988" s="23" t="s">
        <v>18</v>
      </c>
      <c r="E1988" s="23" t="s">
        <v>12</v>
      </c>
      <c r="F1988" s="23" t="s">
        <v>23</v>
      </c>
      <c r="G1988" s="23" t="s">
        <v>20</v>
      </c>
      <c r="H1988" s="23" t="s">
        <v>36</v>
      </c>
      <c r="I1988" s="23" t="s">
        <v>31</v>
      </c>
      <c r="J1988" s="24">
        <v>150000</v>
      </c>
      <c r="K1988" s="23">
        <v>6</v>
      </c>
      <c r="L1988" s="23" t="s">
        <v>24</v>
      </c>
      <c r="M1988" s="25">
        <f t="shared" si="63"/>
        <v>120000</v>
      </c>
      <c r="N1988" s="25">
        <f>'Working Sheet'!$J1988*'Working Sheet'!$K1988</f>
        <v>900000</v>
      </c>
      <c r="O1988" s="26">
        <f>'Working Sheet'!$M1988*'Working Sheet'!$K1988</f>
        <v>720000</v>
      </c>
      <c r="P1988" s="25">
        <f>'Working Sheet'!$N1988-'Working Sheet'!$O1988</f>
        <v>180000</v>
      </c>
    </row>
    <row r="1989" spans="1:16" ht="14.25" customHeight="1" x14ac:dyDescent="0.25">
      <c r="A1989" s="18" t="str">
        <f t="shared" ca="1" si="62"/>
        <v>ID_982</v>
      </c>
      <c r="B1989" s="17">
        <v>45738</v>
      </c>
      <c r="C1989" s="18" t="str">
        <f>TEXT('Working Sheet'!$B1989,"mmm")</f>
        <v>Mar</v>
      </c>
      <c r="D1989" s="18" t="s">
        <v>29</v>
      </c>
      <c r="E1989" s="18" t="s">
        <v>32</v>
      </c>
      <c r="F1989" s="18" t="s">
        <v>13</v>
      </c>
      <c r="G1989" s="18" t="s">
        <v>14</v>
      </c>
      <c r="H1989" s="18" t="s">
        <v>30</v>
      </c>
      <c r="I1989" s="18" t="s">
        <v>31</v>
      </c>
      <c r="J1989" s="19">
        <v>300000</v>
      </c>
      <c r="K1989" s="18">
        <v>8</v>
      </c>
      <c r="L1989" s="18" t="s">
        <v>24</v>
      </c>
      <c r="M1989" s="20">
        <f t="shared" si="63"/>
        <v>240000</v>
      </c>
      <c r="N1989" s="20">
        <f>'Working Sheet'!$J1989*'Working Sheet'!$K1989</f>
        <v>2400000</v>
      </c>
      <c r="O1989" s="21">
        <f>'Working Sheet'!$M1989*'Working Sheet'!$K1989</f>
        <v>1920000</v>
      </c>
      <c r="P1989" s="20">
        <f>'Working Sheet'!$N1989-'Working Sheet'!$O1989</f>
        <v>480000</v>
      </c>
    </row>
    <row r="1990" spans="1:16" ht="14.25" customHeight="1" x14ac:dyDescent="0.25">
      <c r="A1990" s="23" t="str">
        <f t="shared" ca="1" si="62"/>
        <v>ID_1405</v>
      </c>
      <c r="B1990" s="22">
        <v>45724</v>
      </c>
      <c r="C1990" s="23" t="str">
        <f>TEXT('Working Sheet'!$B1990,"mmm")</f>
        <v>Mar</v>
      </c>
      <c r="D1990" s="23" t="s">
        <v>11</v>
      </c>
      <c r="E1990" s="23" t="s">
        <v>19</v>
      </c>
      <c r="F1990" s="23" t="s">
        <v>13</v>
      </c>
      <c r="G1990" s="23" t="s">
        <v>20</v>
      </c>
      <c r="H1990" s="23" t="s">
        <v>30</v>
      </c>
      <c r="I1990" s="23" t="s">
        <v>31</v>
      </c>
      <c r="J1990" s="24">
        <v>300000</v>
      </c>
      <c r="K1990" s="23">
        <v>10</v>
      </c>
      <c r="L1990" s="23" t="s">
        <v>17</v>
      </c>
      <c r="M1990" s="25">
        <f t="shared" si="63"/>
        <v>240000</v>
      </c>
      <c r="N1990" s="25">
        <f>'Working Sheet'!$J1990*'Working Sheet'!$K1990</f>
        <v>3000000</v>
      </c>
      <c r="O1990" s="26">
        <f>'Working Sheet'!$M1990*'Working Sheet'!$K1990</f>
        <v>2400000</v>
      </c>
      <c r="P1990" s="25">
        <f>'Working Sheet'!$N1990-'Working Sheet'!$O1990</f>
        <v>600000</v>
      </c>
    </row>
    <row r="1991" spans="1:16" ht="14.25" customHeight="1" x14ac:dyDescent="0.25">
      <c r="A1991" s="18" t="str">
        <f t="shared" ca="1" si="62"/>
        <v>ID_1823</v>
      </c>
      <c r="B1991" s="17">
        <v>45758</v>
      </c>
      <c r="C1991" s="18" t="str">
        <f>TEXT('Working Sheet'!$B1991,"mmm")</f>
        <v>Apr</v>
      </c>
      <c r="D1991" s="18" t="s">
        <v>29</v>
      </c>
      <c r="E1991" s="18" t="s">
        <v>26</v>
      </c>
      <c r="F1991" s="18" t="s">
        <v>23</v>
      </c>
      <c r="G1991" s="18" t="s">
        <v>20</v>
      </c>
      <c r="H1991" s="18" t="s">
        <v>34</v>
      </c>
      <c r="I1991" s="18" t="s">
        <v>16</v>
      </c>
      <c r="J1991" s="19">
        <v>320000</v>
      </c>
      <c r="K1991" s="18">
        <v>1</v>
      </c>
      <c r="L1991" s="18" t="s">
        <v>28</v>
      </c>
      <c r="M1991" s="20">
        <f t="shared" si="63"/>
        <v>256000</v>
      </c>
      <c r="N1991" s="20">
        <f>'Working Sheet'!$J1991*'Working Sheet'!$K1991</f>
        <v>320000</v>
      </c>
      <c r="O1991" s="21">
        <f>'Working Sheet'!$M1991*'Working Sheet'!$K1991</f>
        <v>256000</v>
      </c>
      <c r="P1991" s="20">
        <f>'Working Sheet'!$N1991-'Working Sheet'!$O1991</f>
        <v>64000</v>
      </c>
    </row>
    <row r="1992" spans="1:16" ht="14.25" customHeight="1" x14ac:dyDescent="0.25">
      <c r="A1992" s="23" t="str">
        <f t="shared" ca="1" si="62"/>
        <v>ID_1169</v>
      </c>
      <c r="B1992" s="22">
        <v>45764</v>
      </c>
      <c r="C1992" s="23" t="str">
        <f>TEXT('Working Sheet'!$B1992,"mmm")</f>
        <v>Apr</v>
      </c>
      <c r="D1992" s="23" t="s">
        <v>25</v>
      </c>
      <c r="E1992" s="23" t="s">
        <v>19</v>
      </c>
      <c r="F1992" s="23" t="s">
        <v>23</v>
      </c>
      <c r="G1992" s="23" t="s">
        <v>20</v>
      </c>
      <c r="H1992" s="23" t="s">
        <v>34</v>
      </c>
      <c r="I1992" s="23" t="s">
        <v>16</v>
      </c>
      <c r="J1992" s="24">
        <v>320000</v>
      </c>
      <c r="K1992" s="23">
        <v>3</v>
      </c>
      <c r="L1992" s="23" t="s">
        <v>28</v>
      </c>
      <c r="M1992" s="25">
        <f t="shared" si="63"/>
        <v>256000</v>
      </c>
      <c r="N1992" s="25">
        <f>'Working Sheet'!$J1992*'Working Sheet'!$K1992</f>
        <v>960000</v>
      </c>
      <c r="O1992" s="26">
        <f>'Working Sheet'!$M1992*'Working Sheet'!$K1992</f>
        <v>768000</v>
      </c>
      <c r="P1992" s="25">
        <f>'Working Sheet'!$N1992-'Working Sheet'!$O1992</f>
        <v>192000</v>
      </c>
    </row>
    <row r="1993" spans="1:16" ht="14.25" customHeight="1" x14ac:dyDescent="0.25">
      <c r="A1993" s="18" t="str">
        <f t="shared" ca="1" si="62"/>
        <v>ID_970</v>
      </c>
      <c r="B1993" s="17">
        <v>45721</v>
      </c>
      <c r="C1993" s="18" t="str">
        <f>TEXT('Working Sheet'!$B1993,"mmm")</f>
        <v>Mar</v>
      </c>
      <c r="D1993" s="18" t="s">
        <v>11</v>
      </c>
      <c r="E1993" s="18" t="s">
        <v>12</v>
      </c>
      <c r="F1993" s="18" t="s">
        <v>23</v>
      </c>
      <c r="G1993" s="18" t="s">
        <v>14</v>
      </c>
      <c r="H1993" s="18" t="s">
        <v>36</v>
      </c>
      <c r="I1993" s="18" t="s">
        <v>31</v>
      </c>
      <c r="J1993" s="19">
        <v>150000</v>
      </c>
      <c r="K1993" s="18">
        <v>6</v>
      </c>
      <c r="L1993" s="18" t="s">
        <v>35</v>
      </c>
      <c r="M1993" s="20">
        <f t="shared" si="63"/>
        <v>120000</v>
      </c>
      <c r="N1993" s="20">
        <f>'Working Sheet'!$J1993*'Working Sheet'!$K1993</f>
        <v>900000</v>
      </c>
      <c r="O1993" s="21">
        <f>'Working Sheet'!$M1993*'Working Sheet'!$K1993</f>
        <v>720000</v>
      </c>
      <c r="P1993" s="20">
        <f>'Working Sheet'!$N1993-'Working Sheet'!$O1993</f>
        <v>180000</v>
      </c>
    </row>
    <row r="1994" spans="1:16" ht="14.25" customHeight="1" x14ac:dyDescent="0.25">
      <c r="A1994" s="23" t="str">
        <f t="shared" ca="1" si="62"/>
        <v>ID_67</v>
      </c>
      <c r="B1994" s="22">
        <v>45686</v>
      </c>
      <c r="C1994" s="23" t="str">
        <f>TEXT('Working Sheet'!$B1994,"mmm")</f>
        <v>Jan</v>
      </c>
      <c r="D1994" s="23" t="s">
        <v>18</v>
      </c>
      <c r="E1994" s="23" t="s">
        <v>19</v>
      </c>
      <c r="F1994" s="23" t="s">
        <v>13</v>
      </c>
      <c r="G1994" s="23" t="s">
        <v>14</v>
      </c>
      <c r="H1994" s="23" t="s">
        <v>33</v>
      </c>
      <c r="I1994" s="23" t="s">
        <v>22</v>
      </c>
      <c r="J1994" s="24">
        <v>180000</v>
      </c>
      <c r="K1994" s="23">
        <v>9</v>
      </c>
      <c r="L1994" s="23" t="s">
        <v>39</v>
      </c>
      <c r="M1994" s="25">
        <f t="shared" si="63"/>
        <v>144000</v>
      </c>
      <c r="N1994" s="25">
        <f>'Working Sheet'!$J1994*'Working Sheet'!$K1994</f>
        <v>1620000</v>
      </c>
      <c r="O1994" s="26">
        <f>'Working Sheet'!$M1994*'Working Sheet'!$K1994</f>
        <v>1296000</v>
      </c>
      <c r="P1994" s="25">
        <f>'Working Sheet'!$N1994-'Working Sheet'!$O1994</f>
        <v>324000</v>
      </c>
    </row>
    <row r="1995" spans="1:16" ht="14.25" customHeight="1" x14ac:dyDescent="0.25">
      <c r="A1995" s="18" t="str">
        <f t="shared" ca="1" si="62"/>
        <v>ID_789</v>
      </c>
      <c r="B1995" s="17">
        <v>45747</v>
      </c>
      <c r="C1995" s="18" t="str">
        <f>TEXT('Working Sheet'!$B1995,"mmm")</f>
        <v>Mar</v>
      </c>
      <c r="D1995" s="18" t="s">
        <v>25</v>
      </c>
      <c r="E1995" s="18" t="s">
        <v>32</v>
      </c>
      <c r="F1995" s="18" t="s">
        <v>13</v>
      </c>
      <c r="G1995" s="18" t="s">
        <v>14</v>
      </c>
      <c r="H1995" s="18" t="s">
        <v>27</v>
      </c>
      <c r="I1995" s="18" t="s">
        <v>22</v>
      </c>
      <c r="J1995" s="19">
        <v>60000</v>
      </c>
      <c r="K1995" s="18">
        <v>2</v>
      </c>
      <c r="L1995" s="18" t="s">
        <v>35</v>
      </c>
      <c r="M1995" s="20">
        <f t="shared" si="63"/>
        <v>48000</v>
      </c>
      <c r="N1995" s="20">
        <f>'Working Sheet'!$J1995*'Working Sheet'!$K1995</f>
        <v>120000</v>
      </c>
      <c r="O1995" s="21">
        <f>'Working Sheet'!$M1995*'Working Sheet'!$K1995</f>
        <v>96000</v>
      </c>
      <c r="P1995" s="20">
        <f>'Working Sheet'!$N1995-'Working Sheet'!$O1995</f>
        <v>24000</v>
      </c>
    </row>
    <row r="1996" spans="1:16" ht="14.25" customHeight="1" x14ac:dyDescent="0.25">
      <c r="A1996" s="23" t="str">
        <f t="shared" ca="1" si="62"/>
        <v>ID_1038</v>
      </c>
      <c r="B1996" s="22">
        <v>45699</v>
      </c>
      <c r="C1996" s="23" t="str">
        <f>TEXT('Working Sheet'!$B1996,"mmm")</f>
        <v>Feb</v>
      </c>
      <c r="D1996" s="23" t="s">
        <v>18</v>
      </c>
      <c r="E1996" s="23" t="s">
        <v>26</v>
      </c>
      <c r="F1996" s="23" t="s">
        <v>13</v>
      </c>
      <c r="G1996" s="23" t="s">
        <v>20</v>
      </c>
      <c r="H1996" s="23" t="s">
        <v>36</v>
      </c>
      <c r="I1996" s="23" t="s">
        <v>31</v>
      </c>
      <c r="J1996" s="24">
        <v>150000</v>
      </c>
      <c r="K1996" s="23">
        <v>5</v>
      </c>
      <c r="L1996" s="23" t="s">
        <v>35</v>
      </c>
      <c r="M1996" s="25">
        <f t="shared" si="63"/>
        <v>120000</v>
      </c>
      <c r="N1996" s="25">
        <f>'Working Sheet'!$J1996*'Working Sheet'!$K1996</f>
        <v>750000</v>
      </c>
      <c r="O1996" s="26">
        <f>'Working Sheet'!$M1996*'Working Sheet'!$K1996</f>
        <v>600000</v>
      </c>
      <c r="P1996" s="25">
        <f>'Working Sheet'!$N1996-'Working Sheet'!$O1996</f>
        <v>150000</v>
      </c>
    </row>
    <row r="1997" spans="1:16" ht="14.25" customHeight="1" x14ac:dyDescent="0.25">
      <c r="A1997" s="18" t="str">
        <f t="shared" ca="1" si="62"/>
        <v>ID_907</v>
      </c>
      <c r="B1997" s="17">
        <v>45758</v>
      </c>
      <c r="C1997" s="18" t="str">
        <f>TEXT('Working Sheet'!$B1997,"mmm")</f>
        <v>Apr</v>
      </c>
      <c r="D1997" s="18" t="s">
        <v>18</v>
      </c>
      <c r="E1997" s="18" t="s">
        <v>26</v>
      </c>
      <c r="F1997" s="18" t="s">
        <v>13</v>
      </c>
      <c r="G1997" s="18" t="s">
        <v>20</v>
      </c>
      <c r="H1997" s="18" t="s">
        <v>33</v>
      </c>
      <c r="I1997" s="18" t="s">
        <v>22</v>
      </c>
      <c r="J1997" s="19">
        <v>180000</v>
      </c>
      <c r="K1997" s="18">
        <v>10</v>
      </c>
      <c r="L1997" s="18" t="s">
        <v>35</v>
      </c>
      <c r="M1997" s="20">
        <f t="shared" si="63"/>
        <v>144000</v>
      </c>
      <c r="N1997" s="20">
        <f>'Working Sheet'!$J1997*'Working Sheet'!$K1997</f>
        <v>1800000</v>
      </c>
      <c r="O1997" s="21">
        <f>'Working Sheet'!$M1997*'Working Sheet'!$K1997</f>
        <v>1440000</v>
      </c>
      <c r="P1997" s="20">
        <f>'Working Sheet'!$N1997-'Working Sheet'!$O1997</f>
        <v>360000</v>
      </c>
    </row>
    <row r="1998" spans="1:16" ht="14.25" customHeight="1" x14ac:dyDescent="0.25">
      <c r="A1998" s="23" t="str">
        <f t="shared" ca="1" si="62"/>
        <v>ID_507</v>
      </c>
      <c r="B1998" s="22">
        <v>45693</v>
      </c>
      <c r="C1998" s="23" t="str">
        <f>TEXT('Working Sheet'!$B1998,"mmm")</f>
        <v>Feb</v>
      </c>
      <c r="D1998" s="23" t="s">
        <v>11</v>
      </c>
      <c r="E1998" s="23" t="s">
        <v>12</v>
      </c>
      <c r="F1998" s="23" t="s">
        <v>13</v>
      </c>
      <c r="G1998" s="23" t="s">
        <v>14</v>
      </c>
      <c r="H1998" s="23" t="s">
        <v>15</v>
      </c>
      <c r="I1998" s="23" t="s">
        <v>16</v>
      </c>
      <c r="J1998" s="24">
        <v>85000</v>
      </c>
      <c r="K1998" s="23">
        <v>7</v>
      </c>
      <c r="L1998" s="23" t="s">
        <v>37</v>
      </c>
      <c r="M1998" s="25">
        <f t="shared" si="63"/>
        <v>68000</v>
      </c>
      <c r="N1998" s="25">
        <f>'Working Sheet'!$J1998*'Working Sheet'!$K1998</f>
        <v>595000</v>
      </c>
      <c r="O1998" s="26">
        <f>'Working Sheet'!$M1998*'Working Sheet'!$K1998</f>
        <v>476000</v>
      </c>
      <c r="P1998" s="25">
        <f>'Working Sheet'!$N1998-'Working Sheet'!$O1998</f>
        <v>119000</v>
      </c>
    </row>
    <row r="1999" spans="1:16" ht="14.25" customHeight="1" x14ac:dyDescent="0.25">
      <c r="A1999" s="18" t="str">
        <f t="shared" ca="1" si="62"/>
        <v>ID_1880</v>
      </c>
      <c r="B1999" s="17">
        <v>45676</v>
      </c>
      <c r="C1999" s="18" t="str">
        <f>TEXT('Working Sheet'!$B1999,"mmm")</f>
        <v>Jan</v>
      </c>
      <c r="D1999" s="18" t="s">
        <v>18</v>
      </c>
      <c r="E1999" s="18" t="s">
        <v>32</v>
      </c>
      <c r="F1999" s="18" t="s">
        <v>23</v>
      </c>
      <c r="G1999" s="18" t="s">
        <v>20</v>
      </c>
      <c r="H1999" s="18" t="s">
        <v>38</v>
      </c>
      <c r="I1999" s="18" t="s">
        <v>31</v>
      </c>
      <c r="J1999" s="19">
        <v>420000</v>
      </c>
      <c r="K1999" s="18">
        <v>3</v>
      </c>
      <c r="L1999" s="18" t="s">
        <v>24</v>
      </c>
      <c r="M1999" s="20">
        <f t="shared" si="63"/>
        <v>336000</v>
      </c>
      <c r="N1999" s="20">
        <f>'Working Sheet'!$J1999*'Working Sheet'!$K1999</f>
        <v>1260000</v>
      </c>
      <c r="O1999" s="21">
        <f>'Working Sheet'!$M1999*'Working Sheet'!$K1999</f>
        <v>1008000</v>
      </c>
      <c r="P1999" s="20">
        <f>'Working Sheet'!$N1999-'Working Sheet'!$O1999</f>
        <v>252000</v>
      </c>
    </row>
    <row r="2000" spans="1:16" ht="14.25" customHeight="1" x14ac:dyDescent="0.25">
      <c r="A2000" s="23" t="str">
        <f t="shared" ca="1" si="62"/>
        <v>ID_484</v>
      </c>
      <c r="B2000" s="22">
        <v>45718</v>
      </c>
      <c r="C2000" s="23" t="str">
        <f>TEXT('Working Sheet'!$B2000,"mmm")</f>
        <v>Mar</v>
      </c>
      <c r="D2000" s="23" t="s">
        <v>18</v>
      </c>
      <c r="E2000" s="23" t="s">
        <v>32</v>
      </c>
      <c r="F2000" s="23" t="s">
        <v>23</v>
      </c>
      <c r="G2000" s="23" t="s">
        <v>14</v>
      </c>
      <c r="H2000" s="23" t="s">
        <v>30</v>
      </c>
      <c r="I2000" s="23" t="s">
        <v>31</v>
      </c>
      <c r="J2000" s="24">
        <v>300000</v>
      </c>
      <c r="K2000" s="23">
        <v>2</v>
      </c>
      <c r="L2000" s="23" t="s">
        <v>37</v>
      </c>
      <c r="M2000" s="25">
        <f t="shared" si="63"/>
        <v>240000</v>
      </c>
      <c r="N2000" s="25">
        <f>'Working Sheet'!$J2000*'Working Sheet'!$K2000</f>
        <v>600000</v>
      </c>
      <c r="O2000" s="26">
        <f>'Working Sheet'!$M2000*'Working Sheet'!$K2000</f>
        <v>480000</v>
      </c>
      <c r="P2000" s="25">
        <f>'Working Sheet'!$N2000-'Working Sheet'!$O2000</f>
        <v>120000</v>
      </c>
    </row>
    <row r="2001" spans="1:16" ht="14.25" customHeight="1" x14ac:dyDescent="0.25">
      <c r="A2001" s="18" t="str">
        <f t="shared" ca="1" si="62"/>
        <v>ID_369</v>
      </c>
      <c r="B2001" s="17">
        <v>45750</v>
      </c>
      <c r="C2001" s="18" t="str">
        <f>TEXT('Working Sheet'!$B2001,"mmm")</f>
        <v>Apr</v>
      </c>
      <c r="D2001" s="18" t="s">
        <v>18</v>
      </c>
      <c r="E2001" s="18" t="s">
        <v>19</v>
      </c>
      <c r="F2001" s="18" t="s">
        <v>23</v>
      </c>
      <c r="G2001" s="18" t="s">
        <v>14</v>
      </c>
      <c r="H2001" s="18" t="s">
        <v>40</v>
      </c>
      <c r="I2001" s="18" t="s">
        <v>31</v>
      </c>
      <c r="J2001" s="19">
        <v>250000</v>
      </c>
      <c r="K2001" s="18">
        <v>3</v>
      </c>
      <c r="L2001" s="18" t="s">
        <v>37</v>
      </c>
      <c r="M2001" s="20">
        <f t="shared" si="63"/>
        <v>200000</v>
      </c>
      <c r="N2001" s="20">
        <f>'Working Sheet'!$J2001*'Working Sheet'!$K2001</f>
        <v>750000</v>
      </c>
      <c r="O2001" s="21">
        <f>'Working Sheet'!$M2001*'Working Sheet'!$K2001</f>
        <v>600000</v>
      </c>
      <c r="P2001" s="20">
        <f>'Working Sheet'!$N2001-'Working Sheet'!$O2001</f>
        <v>150000</v>
      </c>
    </row>
    <row r="2002" spans="1:16" ht="14.25" customHeight="1" x14ac:dyDescent="0.25">
      <c r="A2002" s="23" t="str">
        <f t="shared" ca="1" si="62"/>
        <v>ID_1474</v>
      </c>
      <c r="B2002" s="22">
        <v>45702</v>
      </c>
      <c r="C2002" s="23" t="str">
        <f>TEXT('Working Sheet'!$B2002,"mmm")</f>
        <v>Feb</v>
      </c>
      <c r="D2002" s="23" t="s">
        <v>18</v>
      </c>
      <c r="E2002" s="23" t="s">
        <v>12</v>
      </c>
      <c r="F2002" s="23" t="s">
        <v>13</v>
      </c>
      <c r="G2002" s="23" t="s">
        <v>20</v>
      </c>
      <c r="H2002" s="23" t="s">
        <v>36</v>
      </c>
      <c r="I2002" s="23" t="s">
        <v>31</v>
      </c>
      <c r="J2002" s="24">
        <v>150000</v>
      </c>
      <c r="K2002" s="23">
        <v>7</v>
      </c>
      <c r="L2002" s="23" t="s">
        <v>24</v>
      </c>
      <c r="M2002" s="25">
        <f t="shared" si="63"/>
        <v>120000</v>
      </c>
      <c r="N2002" s="25">
        <f>'Working Sheet'!$J2002*'Working Sheet'!$K2002</f>
        <v>1050000</v>
      </c>
      <c r="O2002" s="26">
        <f>'Working Sheet'!$M2002*'Working Sheet'!$K2002</f>
        <v>840000</v>
      </c>
      <c r="P2002" s="25">
        <f>'Working Sheet'!$N2002-'Working Sheet'!$O2002</f>
        <v>210000</v>
      </c>
    </row>
    <row r="2003" spans="1:16" ht="14.25" customHeight="1" x14ac:dyDescent="0.25">
      <c r="A2003" s="18" t="str">
        <f t="shared" ca="1" si="62"/>
        <v>ID_448</v>
      </c>
      <c r="B2003" s="17">
        <v>45756</v>
      </c>
      <c r="C2003" s="18" t="str">
        <f>TEXT('Working Sheet'!$B2003,"mmm")</f>
        <v>Apr</v>
      </c>
      <c r="D2003" s="18" t="s">
        <v>11</v>
      </c>
      <c r="E2003" s="18" t="s">
        <v>12</v>
      </c>
      <c r="F2003" s="18" t="s">
        <v>23</v>
      </c>
      <c r="G2003" s="18" t="s">
        <v>14</v>
      </c>
      <c r="H2003" s="18" t="s">
        <v>38</v>
      </c>
      <c r="I2003" s="18" t="s">
        <v>31</v>
      </c>
      <c r="J2003" s="19">
        <v>420000</v>
      </c>
      <c r="K2003" s="18">
        <v>7</v>
      </c>
      <c r="L2003" s="18" t="s">
        <v>35</v>
      </c>
      <c r="M2003" s="20">
        <f t="shared" si="63"/>
        <v>336000</v>
      </c>
      <c r="N2003" s="20">
        <f>'Working Sheet'!$J2003*'Working Sheet'!$K2003</f>
        <v>2940000</v>
      </c>
      <c r="O2003" s="21">
        <f>'Working Sheet'!$M2003*'Working Sheet'!$K2003</f>
        <v>2352000</v>
      </c>
      <c r="P2003" s="20">
        <f>'Working Sheet'!$N2003-'Working Sheet'!$O2003</f>
        <v>588000</v>
      </c>
    </row>
    <row r="2004" spans="1:16" ht="14.25" customHeight="1" x14ac:dyDescent="0.25">
      <c r="A2004" s="23" t="str">
        <f t="shared" ca="1" si="62"/>
        <v>ID_976</v>
      </c>
      <c r="B2004" s="22">
        <v>45700</v>
      </c>
      <c r="C2004" s="23" t="str">
        <f>TEXT('Working Sheet'!$B2004,"mmm")</f>
        <v>Feb</v>
      </c>
      <c r="D2004" s="23" t="s">
        <v>25</v>
      </c>
      <c r="E2004" s="23" t="s">
        <v>19</v>
      </c>
      <c r="F2004" s="23" t="s">
        <v>13</v>
      </c>
      <c r="G2004" s="23" t="s">
        <v>20</v>
      </c>
      <c r="H2004" s="23" t="s">
        <v>33</v>
      </c>
      <c r="I2004" s="23" t="s">
        <v>22</v>
      </c>
      <c r="J2004" s="24">
        <v>180000</v>
      </c>
      <c r="K2004" s="23">
        <v>7</v>
      </c>
      <c r="L2004" s="23" t="s">
        <v>28</v>
      </c>
      <c r="M2004" s="25">
        <f t="shared" si="63"/>
        <v>144000</v>
      </c>
      <c r="N2004" s="25">
        <f>'Working Sheet'!$J2004*'Working Sheet'!$K2004</f>
        <v>1260000</v>
      </c>
      <c r="O2004" s="26">
        <f>'Working Sheet'!$M2004*'Working Sheet'!$K2004</f>
        <v>1008000</v>
      </c>
      <c r="P2004" s="25">
        <f>'Working Sheet'!$N2004-'Working Sheet'!$O2004</f>
        <v>252000</v>
      </c>
    </row>
    <row r="2005" spans="1:16" ht="14.25" customHeight="1" x14ac:dyDescent="0.25">
      <c r="A2005" s="18" t="str">
        <f t="shared" ca="1" si="62"/>
        <v>ID_341</v>
      </c>
      <c r="B2005" s="17">
        <v>45670</v>
      </c>
      <c r="C2005" s="18" t="str">
        <f>TEXT('Working Sheet'!$B2005,"mmm")</f>
        <v>Jan</v>
      </c>
      <c r="D2005" s="18" t="s">
        <v>11</v>
      </c>
      <c r="E2005" s="18" t="s">
        <v>12</v>
      </c>
      <c r="F2005" s="18" t="s">
        <v>13</v>
      </c>
      <c r="G2005" s="18" t="s">
        <v>20</v>
      </c>
      <c r="H2005" s="18" t="s">
        <v>34</v>
      </c>
      <c r="I2005" s="18" t="s">
        <v>16</v>
      </c>
      <c r="J2005" s="19">
        <v>320000</v>
      </c>
      <c r="K2005" s="18">
        <v>2</v>
      </c>
      <c r="L2005" s="18" t="s">
        <v>39</v>
      </c>
      <c r="M2005" s="20">
        <f t="shared" si="63"/>
        <v>256000</v>
      </c>
      <c r="N2005" s="20">
        <f>'Working Sheet'!$J2005*'Working Sheet'!$K2005</f>
        <v>640000</v>
      </c>
      <c r="O2005" s="21">
        <f>'Working Sheet'!$M2005*'Working Sheet'!$K2005</f>
        <v>512000</v>
      </c>
      <c r="P2005" s="20">
        <f>'Working Sheet'!$N2005-'Working Sheet'!$O2005</f>
        <v>128000</v>
      </c>
    </row>
    <row r="2006" spans="1:16" ht="14.25" customHeight="1" x14ac:dyDescent="0.25">
      <c r="A2006" s="23" t="str">
        <f t="shared" ca="1" si="62"/>
        <v>ID_1240</v>
      </c>
      <c r="B2006" s="22">
        <v>45736</v>
      </c>
      <c r="C2006" s="23" t="str">
        <f>TEXT('Working Sheet'!$B2006,"mmm")</f>
        <v>Mar</v>
      </c>
      <c r="D2006" s="23" t="s">
        <v>29</v>
      </c>
      <c r="E2006" s="23" t="s">
        <v>12</v>
      </c>
      <c r="F2006" s="23" t="s">
        <v>23</v>
      </c>
      <c r="G2006" s="23" t="s">
        <v>20</v>
      </c>
      <c r="H2006" s="23" t="s">
        <v>34</v>
      </c>
      <c r="I2006" s="23" t="s">
        <v>16</v>
      </c>
      <c r="J2006" s="24">
        <v>320000</v>
      </c>
      <c r="K2006" s="23">
        <v>6</v>
      </c>
      <c r="L2006" s="23" t="s">
        <v>39</v>
      </c>
      <c r="M2006" s="25">
        <f t="shared" si="63"/>
        <v>256000</v>
      </c>
      <c r="N2006" s="25">
        <f>'Working Sheet'!$J2006*'Working Sheet'!$K2006</f>
        <v>1920000</v>
      </c>
      <c r="O2006" s="26">
        <f>'Working Sheet'!$M2006*'Working Sheet'!$K2006</f>
        <v>1536000</v>
      </c>
      <c r="P2006" s="25">
        <f>'Working Sheet'!$N2006-'Working Sheet'!$O2006</f>
        <v>384000</v>
      </c>
    </row>
    <row r="2007" spans="1:16" ht="14.25" customHeight="1" x14ac:dyDescent="0.25">
      <c r="A2007" s="18" t="str">
        <f t="shared" ca="1" si="62"/>
        <v>ID_851</v>
      </c>
      <c r="B2007" s="17">
        <v>45730</v>
      </c>
      <c r="C2007" s="18" t="str">
        <f>TEXT('Working Sheet'!$B2007,"mmm")</f>
        <v>Mar</v>
      </c>
      <c r="D2007" s="18" t="s">
        <v>18</v>
      </c>
      <c r="E2007" s="18" t="s">
        <v>26</v>
      </c>
      <c r="F2007" s="18" t="s">
        <v>23</v>
      </c>
      <c r="G2007" s="18" t="s">
        <v>14</v>
      </c>
      <c r="H2007" s="18" t="s">
        <v>21</v>
      </c>
      <c r="I2007" s="18" t="s">
        <v>22</v>
      </c>
      <c r="J2007" s="19">
        <v>30000</v>
      </c>
      <c r="K2007" s="18">
        <v>3</v>
      </c>
      <c r="L2007" s="18" t="s">
        <v>37</v>
      </c>
      <c r="M2007" s="20">
        <f t="shared" si="63"/>
        <v>24000</v>
      </c>
      <c r="N2007" s="20">
        <f>'Working Sheet'!$J2007*'Working Sheet'!$K2007</f>
        <v>90000</v>
      </c>
      <c r="O2007" s="21">
        <f>'Working Sheet'!$M2007*'Working Sheet'!$K2007</f>
        <v>72000</v>
      </c>
      <c r="P2007" s="20">
        <f>'Working Sheet'!$N2007-'Working Sheet'!$O2007</f>
        <v>18000</v>
      </c>
    </row>
    <row r="2008" spans="1:16" ht="14.25" customHeight="1" x14ac:dyDescent="0.25">
      <c r="A2008" s="23" t="str">
        <f t="shared" ca="1" si="62"/>
        <v>ID_716</v>
      </c>
      <c r="B2008" s="22">
        <v>45678</v>
      </c>
      <c r="C2008" s="23" t="str">
        <f>TEXT('Working Sheet'!$B2008,"mmm")</f>
        <v>Jan</v>
      </c>
      <c r="D2008" s="23" t="s">
        <v>29</v>
      </c>
      <c r="E2008" s="23" t="s">
        <v>12</v>
      </c>
      <c r="F2008" s="23" t="s">
        <v>13</v>
      </c>
      <c r="G2008" s="23" t="s">
        <v>14</v>
      </c>
      <c r="H2008" s="23" t="s">
        <v>38</v>
      </c>
      <c r="I2008" s="23" t="s">
        <v>31</v>
      </c>
      <c r="J2008" s="24">
        <v>420000</v>
      </c>
      <c r="K2008" s="23">
        <v>3</v>
      </c>
      <c r="L2008" s="23" t="s">
        <v>17</v>
      </c>
      <c r="M2008" s="25">
        <f t="shared" si="63"/>
        <v>336000</v>
      </c>
      <c r="N2008" s="25">
        <f>'Working Sheet'!$J2008*'Working Sheet'!$K2008</f>
        <v>1260000</v>
      </c>
      <c r="O2008" s="26">
        <f>'Working Sheet'!$M2008*'Working Sheet'!$K2008</f>
        <v>1008000</v>
      </c>
      <c r="P2008" s="25">
        <f>'Working Sheet'!$N2008-'Working Sheet'!$O2008</f>
        <v>252000</v>
      </c>
    </row>
    <row r="2009" spans="1:16" ht="14.25" customHeight="1" x14ac:dyDescent="0.25">
      <c r="A2009" s="18" t="str">
        <f t="shared" ca="1" si="62"/>
        <v>ID_1022</v>
      </c>
      <c r="B2009" s="17">
        <v>45754</v>
      </c>
      <c r="C2009" s="18" t="str">
        <f>TEXT('Working Sheet'!$B2009,"mmm")</f>
        <v>Apr</v>
      </c>
      <c r="D2009" s="18" t="s">
        <v>25</v>
      </c>
      <c r="E2009" s="18" t="s">
        <v>19</v>
      </c>
      <c r="F2009" s="18" t="s">
        <v>13</v>
      </c>
      <c r="G2009" s="18" t="s">
        <v>20</v>
      </c>
      <c r="H2009" s="18" t="s">
        <v>21</v>
      </c>
      <c r="I2009" s="18" t="s">
        <v>22</v>
      </c>
      <c r="J2009" s="19">
        <v>30000</v>
      </c>
      <c r="K2009" s="18">
        <v>9</v>
      </c>
      <c r="L2009" s="18" t="s">
        <v>35</v>
      </c>
      <c r="M2009" s="20">
        <f t="shared" si="63"/>
        <v>24000</v>
      </c>
      <c r="N2009" s="20">
        <f>'Working Sheet'!$J2009*'Working Sheet'!$K2009</f>
        <v>270000</v>
      </c>
      <c r="O2009" s="21">
        <f>'Working Sheet'!$M2009*'Working Sheet'!$K2009</f>
        <v>216000</v>
      </c>
      <c r="P2009" s="20">
        <f>'Working Sheet'!$N2009-'Working Sheet'!$O2009</f>
        <v>54000</v>
      </c>
    </row>
    <row r="2010" spans="1:16" ht="14.25" customHeight="1" x14ac:dyDescent="0.25">
      <c r="A2010" s="23" t="str">
        <f t="shared" ca="1" si="62"/>
        <v>ID_869</v>
      </c>
      <c r="B2010" s="22">
        <v>45765</v>
      </c>
      <c r="C2010" s="23" t="str">
        <f>TEXT('Working Sheet'!$B2010,"mmm")</f>
        <v>Apr</v>
      </c>
      <c r="D2010" s="23" t="s">
        <v>18</v>
      </c>
      <c r="E2010" s="23" t="s">
        <v>12</v>
      </c>
      <c r="F2010" s="23" t="s">
        <v>23</v>
      </c>
      <c r="G2010" s="23" t="s">
        <v>20</v>
      </c>
      <c r="H2010" s="23" t="s">
        <v>34</v>
      </c>
      <c r="I2010" s="23" t="s">
        <v>16</v>
      </c>
      <c r="J2010" s="24">
        <v>320000</v>
      </c>
      <c r="K2010" s="23">
        <v>4</v>
      </c>
      <c r="L2010" s="23" t="s">
        <v>17</v>
      </c>
      <c r="M2010" s="25">
        <f t="shared" si="63"/>
        <v>256000</v>
      </c>
      <c r="N2010" s="25">
        <f>'Working Sheet'!$J2010*'Working Sheet'!$K2010</f>
        <v>1280000</v>
      </c>
      <c r="O2010" s="26">
        <f>'Working Sheet'!$M2010*'Working Sheet'!$K2010</f>
        <v>1024000</v>
      </c>
      <c r="P2010" s="25">
        <f>'Working Sheet'!$N2010-'Working Sheet'!$O2010</f>
        <v>256000</v>
      </c>
    </row>
    <row r="2011" spans="1:16" ht="14.25" customHeight="1" x14ac:dyDescent="0.25">
      <c r="A2011" s="18" t="str">
        <f t="shared" ca="1" si="62"/>
        <v>ID_373</v>
      </c>
      <c r="B2011" s="17">
        <v>45750</v>
      </c>
      <c r="C2011" s="18" t="str">
        <f>TEXT('Working Sheet'!$B2011,"mmm")</f>
        <v>Apr</v>
      </c>
      <c r="D2011" s="18" t="s">
        <v>29</v>
      </c>
      <c r="E2011" s="18" t="s">
        <v>32</v>
      </c>
      <c r="F2011" s="18" t="s">
        <v>23</v>
      </c>
      <c r="G2011" s="18" t="s">
        <v>20</v>
      </c>
      <c r="H2011" s="18" t="s">
        <v>36</v>
      </c>
      <c r="I2011" s="18" t="s">
        <v>31</v>
      </c>
      <c r="J2011" s="19">
        <v>150000</v>
      </c>
      <c r="K2011" s="18">
        <v>5</v>
      </c>
      <c r="L2011" s="18" t="s">
        <v>24</v>
      </c>
      <c r="M2011" s="20">
        <f t="shared" si="63"/>
        <v>120000</v>
      </c>
      <c r="N2011" s="20">
        <f>'Working Sheet'!$J2011*'Working Sheet'!$K2011</f>
        <v>750000</v>
      </c>
      <c r="O2011" s="21">
        <f>'Working Sheet'!$M2011*'Working Sheet'!$K2011</f>
        <v>600000</v>
      </c>
      <c r="P2011" s="20">
        <f>'Working Sheet'!$N2011-'Working Sheet'!$O2011</f>
        <v>150000</v>
      </c>
    </row>
    <row r="2012" spans="1:16" ht="14.25" customHeight="1" x14ac:dyDescent="0.25">
      <c r="A2012" s="23" t="str">
        <f t="shared" ca="1" si="62"/>
        <v>ID_635</v>
      </c>
      <c r="B2012" s="22">
        <v>45702</v>
      </c>
      <c r="C2012" s="23" t="str">
        <f>TEXT('Working Sheet'!$B2012,"mmm")</f>
        <v>Feb</v>
      </c>
      <c r="D2012" s="23" t="s">
        <v>25</v>
      </c>
      <c r="E2012" s="23" t="s">
        <v>12</v>
      </c>
      <c r="F2012" s="23" t="s">
        <v>23</v>
      </c>
      <c r="G2012" s="23" t="s">
        <v>20</v>
      </c>
      <c r="H2012" s="23" t="s">
        <v>15</v>
      </c>
      <c r="I2012" s="23" t="s">
        <v>16</v>
      </c>
      <c r="J2012" s="24">
        <v>85000</v>
      </c>
      <c r="K2012" s="23">
        <v>8</v>
      </c>
      <c r="L2012" s="23" t="s">
        <v>35</v>
      </c>
      <c r="M2012" s="25">
        <f t="shared" si="63"/>
        <v>68000</v>
      </c>
      <c r="N2012" s="25">
        <f>'Working Sheet'!$J2012*'Working Sheet'!$K2012</f>
        <v>680000</v>
      </c>
      <c r="O2012" s="26">
        <f>'Working Sheet'!$M2012*'Working Sheet'!$K2012</f>
        <v>544000</v>
      </c>
      <c r="P2012" s="25">
        <f>'Working Sheet'!$N2012-'Working Sheet'!$O2012</f>
        <v>136000</v>
      </c>
    </row>
    <row r="2013" spans="1:16" ht="14.25" customHeight="1" x14ac:dyDescent="0.25">
      <c r="A2013" s="18" t="str">
        <f t="shared" ca="1" si="62"/>
        <v>ID_463</v>
      </c>
      <c r="B2013" s="17">
        <v>45760</v>
      </c>
      <c r="C2013" s="18" t="str">
        <f>TEXT('Working Sheet'!$B2013,"mmm")</f>
        <v>Apr</v>
      </c>
      <c r="D2013" s="18" t="s">
        <v>29</v>
      </c>
      <c r="E2013" s="18" t="s">
        <v>32</v>
      </c>
      <c r="F2013" s="18" t="s">
        <v>13</v>
      </c>
      <c r="G2013" s="18" t="s">
        <v>20</v>
      </c>
      <c r="H2013" s="18" t="s">
        <v>27</v>
      </c>
      <c r="I2013" s="18" t="s">
        <v>22</v>
      </c>
      <c r="J2013" s="19">
        <v>60000</v>
      </c>
      <c r="K2013" s="18">
        <v>1</v>
      </c>
      <c r="L2013" s="18" t="s">
        <v>17</v>
      </c>
      <c r="M2013" s="20">
        <f t="shared" si="63"/>
        <v>48000</v>
      </c>
      <c r="N2013" s="20">
        <f>'Working Sheet'!$J2013*'Working Sheet'!$K2013</f>
        <v>60000</v>
      </c>
      <c r="O2013" s="21">
        <f>'Working Sheet'!$M2013*'Working Sheet'!$K2013</f>
        <v>48000</v>
      </c>
      <c r="P2013" s="20">
        <f>'Working Sheet'!$N2013-'Working Sheet'!$O2013</f>
        <v>12000</v>
      </c>
    </row>
    <row r="2014" spans="1:16" ht="14.25" customHeight="1" x14ac:dyDescent="0.25">
      <c r="A2014" s="23" t="str">
        <f t="shared" ca="1" si="62"/>
        <v>ID_460</v>
      </c>
      <c r="B2014" s="22">
        <v>45747</v>
      </c>
      <c r="C2014" s="23" t="str">
        <f>TEXT('Working Sheet'!$B2014,"mmm")</f>
        <v>Mar</v>
      </c>
      <c r="D2014" s="23" t="s">
        <v>25</v>
      </c>
      <c r="E2014" s="23" t="s">
        <v>19</v>
      </c>
      <c r="F2014" s="23" t="s">
        <v>13</v>
      </c>
      <c r="G2014" s="23" t="s">
        <v>14</v>
      </c>
      <c r="H2014" s="23" t="s">
        <v>41</v>
      </c>
      <c r="I2014" s="23" t="s">
        <v>22</v>
      </c>
      <c r="J2014" s="24">
        <v>220000</v>
      </c>
      <c r="K2014" s="23">
        <v>3</v>
      </c>
      <c r="L2014" s="23" t="s">
        <v>28</v>
      </c>
      <c r="M2014" s="25">
        <f t="shared" si="63"/>
        <v>176000</v>
      </c>
      <c r="N2014" s="25">
        <f>'Working Sheet'!$J2014*'Working Sheet'!$K2014</f>
        <v>660000</v>
      </c>
      <c r="O2014" s="26">
        <f>'Working Sheet'!$M2014*'Working Sheet'!$K2014</f>
        <v>528000</v>
      </c>
      <c r="P2014" s="25">
        <f>'Working Sheet'!$N2014-'Working Sheet'!$O2014</f>
        <v>132000</v>
      </c>
    </row>
    <row r="2015" spans="1:16" ht="14.25" customHeight="1" x14ac:dyDescent="0.25">
      <c r="A2015" s="18" t="str">
        <f t="shared" ca="1" si="62"/>
        <v>ID_1377</v>
      </c>
      <c r="B2015" s="17">
        <v>45699</v>
      </c>
      <c r="C2015" s="18" t="str">
        <f>TEXT('Working Sheet'!$B2015,"mmm")</f>
        <v>Feb</v>
      </c>
      <c r="D2015" s="18" t="s">
        <v>11</v>
      </c>
      <c r="E2015" s="18" t="s">
        <v>32</v>
      </c>
      <c r="F2015" s="18" t="s">
        <v>23</v>
      </c>
      <c r="G2015" s="18" t="s">
        <v>14</v>
      </c>
      <c r="H2015" s="18" t="s">
        <v>33</v>
      </c>
      <c r="I2015" s="18" t="s">
        <v>22</v>
      </c>
      <c r="J2015" s="19">
        <v>180000</v>
      </c>
      <c r="K2015" s="18">
        <v>2</v>
      </c>
      <c r="L2015" s="18" t="s">
        <v>37</v>
      </c>
      <c r="M2015" s="20">
        <f t="shared" si="63"/>
        <v>144000</v>
      </c>
      <c r="N2015" s="20">
        <f>'Working Sheet'!$J2015*'Working Sheet'!$K2015</f>
        <v>360000</v>
      </c>
      <c r="O2015" s="21">
        <f>'Working Sheet'!$M2015*'Working Sheet'!$K2015</f>
        <v>288000</v>
      </c>
      <c r="P2015" s="20">
        <f>'Working Sheet'!$N2015-'Working Sheet'!$O2015</f>
        <v>72000</v>
      </c>
    </row>
    <row r="2016" spans="1:16" ht="14.25" customHeight="1" x14ac:dyDescent="0.25">
      <c r="A2016" s="23" t="str">
        <f t="shared" ca="1" si="62"/>
        <v>ID_159</v>
      </c>
      <c r="B2016" s="22">
        <v>45733</v>
      </c>
      <c r="C2016" s="23" t="str">
        <f>TEXT('Working Sheet'!$B2016,"mmm")</f>
        <v>Mar</v>
      </c>
      <c r="D2016" s="23" t="s">
        <v>25</v>
      </c>
      <c r="E2016" s="23" t="s">
        <v>12</v>
      </c>
      <c r="F2016" s="23" t="s">
        <v>23</v>
      </c>
      <c r="G2016" s="23" t="s">
        <v>14</v>
      </c>
      <c r="H2016" s="23" t="s">
        <v>40</v>
      </c>
      <c r="I2016" s="23" t="s">
        <v>31</v>
      </c>
      <c r="J2016" s="24">
        <v>250000</v>
      </c>
      <c r="K2016" s="23">
        <v>9</v>
      </c>
      <c r="L2016" s="23" t="s">
        <v>24</v>
      </c>
      <c r="M2016" s="25">
        <f t="shared" si="63"/>
        <v>200000</v>
      </c>
      <c r="N2016" s="25">
        <f>'Working Sheet'!$J2016*'Working Sheet'!$K2016</f>
        <v>2250000</v>
      </c>
      <c r="O2016" s="26">
        <f>'Working Sheet'!$M2016*'Working Sheet'!$K2016</f>
        <v>1800000</v>
      </c>
      <c r="P2016" s="25">
        <f>'Working Sheet'!$N2016-'Working Sheet'!$O2016</f>
        <v>450000</v>
      </c>
    </row>
    <row r="2017" spans="1:16" ht="14.25" customHeight="1" x14ac:dyDescent="0.25">
      <c r="A2017" s="18" t="str">
        <f t="shared" ca="1" si="62"/>
        <v>ID_1107</v>
      </c>
      <c r="B2017" s="17">
        <v>45769</v>
      </c>
      <c r="C2017" s="18" t="str">
        <f>TEXT('Working Sheet'!$B2017,"mmm")</f>
        <v>Apr</v>
      </c>
      <c r="D2017" s="18" t="s">
        <v>11</v>
      </c>
      <c r="E2017" s="18" t="s">
        <v>12</v>
      </c>
      <c r="F2017" s="18" t="s">
        <v>23</v>
      </c>
      <c r="G2017" s="18" t="s">
        <v>14</v>
      </c>
      <c r="H2017" s="18" t="s">
        <v>30</v>
      </c>
      <c r="I2017" s="18" t="s">
        <v>31</v>
      </c>
      <c r="J2017" s="19">
        <v>300000</v>
      </c>
      <c r="K2017" s="18">
        <v>8</v>
      </c>
      <c r="L2017" s="18" t="s">
        <v>37</v>
      </c>
      <c r="M2017" s="20">
        <f t="shared" si="63"/>
        <v>240000</v>
      </c>
      <c r="N2017" s="20">
        <f>'Working Sheet'!$J2017*'Working Sheet'!$K2017</f>
        <v>2400000</v>
      </c>
      <c r="O2017" s="21">
        <f>'Working Sheet'!$M2017*'Working Sheet'!$K2017</f>
        <v>1920000</v>
      </c>
      <c r="P2017" s="20">
        <f>'Working Sheet'!$N2017-'Working Sheet'!$O2017</f>
        <v>480000</v>
      </c>
    </row>
    <row r="2018" spans="1:16" ht="14.25" customHeight="1" x14ac:dyDescent="0.25">
      <c r="A2018" s="23" t="str">
        <f t="shared" ca="1" si="62"/>
        <v>ID_423</v>
      </c>
      <c r="B2018" s="22">
        <v>45775</v>
      </c>
      <c r="C2018" s="23" t="str">
        <f>TEXT('Working Sheet'!$B2018,"mmm")</f>
        <v>Apr</v>
      </c>
      <c r="D2018" s="23" t="s">
        <v>11</v>
      </c>
      <c r="E2018" s="23" t="s">
        <v>19</v>
      </c>
      <c r="F2018" s="23" t="s">
        <v>13</v>
      </c>
      <c r="G2018" s="23" t="s">
        <v>14</v>
      </c>
      <c r="H2018" s="23" t="s">
        <v>36</v>
      </c>
      <c r="I2018" s="23" t="s">
        <v>31</v>
      </c>
      <c r="J2018" s="24">
        <v>150000</v>
      </c>
      <c r="K2018" s="23">
        <v>6</v>
      </c>
      <c r="L2018" s="23" t="s">
        <v>17</v>
      </c>
      <c r="M2018" s="25">
        <f t="shared" si="63"/>
        <v>120000</v>
      </c>
      <c r="N2018" s="25">
        <f>'Working Sheet'!$J2018*'Working Sheet'!$K2018</f>
        <v>900000</v>
      </c>
      <c r="O2018" s="26">
        <f>'Working Sheet'!$M2018*'Working Sheet'!$K2018</f>
        <v>720000</v>
      </c>
      <c r="P2018" s="25">
        <f>'Working Sheet'!$N2018-'Working Sheet'!$O2018</f>
        <v>180000</v>
      </c>
    </row>
    <row r="2019" spans="1:16" ht="14.25" customHeight="1" x14ac:dyDescent="0.25">
      <c r="A2019" s="18" t="str">
        <f t="shared" ca="1" si="62"/>
        <v>ID_387</v>
      </c>
      <c r="B2019" s="17">
        <v>45701</v>
      </c>
      <c r="C2019" s="18" t="str">
        <f>TEXT('Working Sheet'!$B2019,"mmm")</f>
        <v>Feb</v>
      </c>
      <c r="D2019" s="18" t="s">
        <v>29</v>
      </c>
      <c r="E2019" s="18" t="s">
        <v>32</v>
      </c>
      <c r="F2019" s="18" t="s">
        <v>23</v>
      </c>
      <c r="G2019" s="18" t="s">
        <v>20</v>
      </c>
      <c r="H2019" s="18" t="s">
        <v>15</v>
      </c>
      <c r="I2019" s="18" t="s">
        <v>16</v>
      </c>
      <c r="J2019" s="19">
        <v>85000</v>
      </c>
      <c r="K2019" s="18">
        <v>9</v>
      </c>
      <c r="L2019" s="18" t="s">
        <v>28</v>
      </c>
      <c r="M2019" s="20">
        <f t="shared" si="63"/>
        <v>68000</v>
      </c>
      <c r="N2019" s="20">
        <f>'Working Sheet'!$J2019*'Working Sheet'!$K2019</f>
        <v>765000</v>
      </c>
      <c r="O2019" s="21">
        <f>'Working Sheet'!$M2019*'Working Sheet'!$K2019</f>
        <v>612000</v>
      </c>
      <c r="P2019" s="20">
        <f>'Working Sheet'!$N2019-'Working Sheet'!$O2019</f>
        <v>153000</v>
      </c>
    </row>
    <row r="2020" spans="1:16" ht="14.25" customHeight="1" x14ac:dyDescent="0.25">
      <c r="A2020" s="23" t="str">
        <f t="shared" ca="1" si="62"/>
        <v>ID_838</v>
      </c>
      <c r="B2020" s="22">
        <v>45701</v>
      </c>
      <c r="C2020" s="23" t="str">
        <f>TEXT('Working Sheet'!$B2020,"mmm")</f>
        <v>Feb</v>
      </c>
      <c r="D2020" s="23" t="s">
        <v>29</v>
      </c>
      <c r="E2020" s="23" t="s">
        <v>26</v>
      </c>
      <c r="F2020" s="23" t="s">
        <v>23</v>
      </c>
      <c r="G2020" s="23" t="s">
        <v>14</v>
      </c>
      <c r="H2020" s="23" t="s">
        <v>27</v>
      </c>
      <c r="I2020" s="23" t="s">
        <v>22</v>
      </c>
      <c r="J2020" s="24">
        <v>60000</v>
      </c>
      <c r="K2020" s="23">
        <v>3</v>
      </c>
      <c r="L2020" s="23" t="s">
        <v>24</v>
      </c>
      <c r="M2020" s="25">
        <f t="shared" si="63"/>
        <v>48000</v>
      </c>
      <c r="N2020" s="25">
        <f>'Working Sheet'!$J2020*'Working Sheet'!$K2020</f>
        <v>180000</v>
      </c>
      <c r="O2020" s="26">
        <f>'Working Sheet'!$M2020*'Working Sheet'!$K2020</f>
        <v>144000</v>
      </c>
      <c r="P2020" s="25">
        <f>'Working Sheet'!$N2020-'Working Sheet'!$O2020</f>
        <v>36000</v>
      </c>
    </row>
    <row r="2021" spans="1:16" ht="14.25" customHeight="1" x14ac:dyDescent="0.25">
      <c r="A2021" s="18" t="str">
        <f t="shared" ca="1" si="62"/>
        <v>ID_832</v>
      </c>
      <c r="B2021" s="17">
        <v>45754</v>
      </c>
      <c r="C2021" s="18" t="str">
        <f>TEXT('Working Sheet'!$B2021,"mmm")</f>
        <v>Apr</v>
      </c>
      <c r="D2021" s="18" t="s">
        <v>25</v>
      </c>
      <c r="E2021" s="18" t="s">
        <v>32</v>
      </c>
      <c r="F2021" s="18" t="s">
        <v>13</v>
      </c>
      <c r="G2021" s="18" t="s">
        <v>20</v>
      </c>
      <c r="H2021" s="18" t="s">
        <v>38</v>
      </c>
      <c r="I2021" s="18" t="s">
        <v>31</v>
      </c>
      <c r="J2021" s="19">
        <v>420000</v>
      </c>
      <c r="K2021" s="18">
        <v>7</v>
      </c>
      <c r="L2021" s="18" t="s">
        <v>35</v>
      </c>
      <c r="M2021" s="20">
        <f t="shared" si="63"/>
        <v>336000</v>
      </c>
      <c r="N2021" s="20">
        <f>'Working Sheet'!$J2021*'Working Sheet'!$K2021</f>
        <v>2940000</v>
      </c>
      <c r="O2021" s="21">
        <f>'Working Sheet'!$M2021*'Working Sheet'!$K2021</f>
        <v>2352000</v>
      </c>
      <c r="P2021" s="20">
        <f>'Working Sheet'!$N2021-'Working Sheet'!$O2021</f>
        <v>588000</v>
      </c>
    </row>
    <row r="2022" spans="1:16" ht="14.25" customHeight="1" x14ac:dyDescent="0.25">
      <c r="A2022" s="23" t="str">
        <f t="shared" ca="1" si="62"/>
        <v>ID_106</v>
      </c>
      <c r="B2022" s="22">
        <v>45750</v>
      </c>
      <c r="C2022" s="23" t="str">
        <f>TEXT('Working Sheet'!$B2022,"mmm")</f>
        <v>Apr</v>
      </c>
      <c r="D2022" s="23" t="s">
        <v>25</v>
      </c>
      <c r="E2022" s="23" t="s">
        <v>12</v>
      </c>
      <c r="F2022" s="23" t="s">
        <v>23</v>
      </c>
      <c r="G2022" s="23" t="s">
        <v>14</v>
      </c>
      <c r="H2022" s="23" t="s">
        <v>15</v>
      </c>
      <c r="I2022" s="23" t="s">
        <v>16</v>
      </c>
      <c r="J2022" s="24">
        <v>85000</v>
      </c>
      <c r="K2022" s="23">
        <v>5</v>
      </c>
      <c r="L2022" s="23" t="s">
        <v>24</v>
      </c>
      <c r="M2022" s="25">
        <f t="shared" si="63"/>
        <v>68000</v>
      </c>
      <c r="N2022" s="25">
        <f>'Working Sheet'!$J2022*'Working Sheet'!$K2022</f>
        <v>425000</v>
      </c>
      <c r="O2022" s="26">
        <f>'Working Sheet'!$M2022*'Working Sheet'!$K2022</f>
        <v>340000</v>
      </c>
      <c r="P2022" s="25">
        <f>'Working Sheet'!$N2022-'Working Sheet'!$O2022</f>
        <v>85000</v>
      </c>
    </row>
    <row r="2023" spans="1:16" ht="14.25" customHeight="1" x14ac:dyDescent="0.25">
      <c r="A2023" s="18" t="str">
        <f t="shared" ca="1" si="62"/>
        <v>ID_1492</v>
      </c>
      <c r="B2023" s="17">
        <v>45718</v>
      </c>
      <c r="C2023" s="18" t="str">
        <f>TEXT('Working Sheet'!$B2023,"mmm")</f>
        <v>Mar</v>
      </c>
      <c r="D2023" s="18" t="s">
        <v>18</v>
      </c>
      <c r="E2023" s="18" t="s">
        <v>12</v>
      </c>
      <c r="F2023" s="18" t="s">
        <v>23</v>
      </c>
      <c r="G2023" s="18" t="s">
        <v>14</v>
      </c>
      <c r="H2023" s="18" t="s">
        <v>27</v>
      </c>
      <c r="I2023" s="18" t="s">
        <v>22</v>
      </c>
      <c r="J2023" s="19">
        <v>60000</v>
      </c>
      <c r="K2023" s="18">
        <v>7</v>
      </c>
      <c r="L2023" s="18" t="s">
        <v>24</v>
      </c>
      <c r="M2023" s="20">
        <f t="shared" si="63"/>
        <v>48000</v>
      </c>
      <c r="N2023" s="20">
        <f>'Working Sheet'!$J2023*'Working Sheet'!$K2023</f>
        <v>420000</v>
      </c>
      <c r="O2023" s="21">
        <f>'Working Sheet'!$M2023*'Working Sheet'!$K2023</f>
        <v>336000</v>
      </c>
      <c r="P2023" s="20">
        <f>'Working Sheet'!$N2023-'Working Sheet'!$O2023</f>
        <v>84000</v>
      </c>
    </row>
    <row r="2024" spans="1:16" ht="14.25" customHeight="1" x14ac:dyDescent="0.25">
      <c r="A2024" s="23" t="str">
        <f t="shared" ca="1" si="62"/>
        <v>ID_1418</v>
      </c>
      <c r="B2024" s="22">
        <v>45687</v>
      </c>
      <c r="C2024" s="23" t="str">
        <f>TEXT('Working Sheet'!$B2024,"mmm")</f>
        <v>Jan</v>
      </c>
      <c r="D2024" s="23" t="s">
        <v>18</v>
      </c>
      <c r="E2024" s="23" t="s">
        <v>32</v>
      </c>
      <c r="F2024" s="23" t="s">
        <v>13</v>
      </c>
      <c r="G2024" s="23" t="s">
        <v>14</v>
      </c>
      <c r="H2024" s="23" t="s">
        <v>33</v>
      </c>
      <c r="I2024" s="23" t="s">
        <v>22</v>
      </c>
      <c r="J2024" s="24">
        <v>180000</v>
      </c>
      <c r="K2024" s="23">
        <v>2</v>
      </c>
      <c r="L2024" s="23" t="s">
        <v>35</v>
      </c>
      <c r="M2024" s="25">
        <f t="shared" si="63"/>
        <v>144000</v>
      </c>
      <c r="N2024" s="25">
        <f>'Working Sheet'!$J2024*'Working Sheet'!$K2024</f>
        <v>360000</v>
      </c>
      <c r="O2024" s="26">
        <f>'Working Sheet'!$M2024*'Working Sheet'!$K2024</f>
        <v>288000</v>
      </c>
      <c r="P2024" s="25">
        <f>'Working Sheet'!$N2024-'Working Sheet'!$O2024</f>
        <v>72000</v>
      </c>
    </row>
    <row r="2025" spans="1:16" ht="14.25" customHeight="1" x14ac:dyDescent="0.25">
      <c r="A2025" s="18" t="str">
        <f t="shared" ca="1" si="62"/>
        <v>ID_1236</v>
      </c>
      <c r="B2025" s="17">
        <v>45678</v>
      </c>
      <c r="C2025" s="18" t="str">
        <f>TEXT('Working Sheet'!$B2025,"mmm")</f>
        <v>Jan</v>
      </c>
      <c r="D2025" s="18" t="s">
        <v>11</v>
      </c>
      <c r="E2025" s="18" t="s">
        <v>12</v>
      </c>
      <c r="F2025" s="18" t="s">
        <v>23</v>
      </c>
      <c r="G2025" s="18" t="s">
        <v>20</v>
      </c>
      <c r="H2025" s="18" t="s">
        <v>40</v>
      </c>
      <c r="I2025" s="18" t="s">
        <v>31</v>
      </c>
      <c r="J2025" s="19">
        <v>250000</v>
      </c>
      <c r="K2025" s="18">
        <v>3</v>
      </c>
      <c r="L2025" s="18" t="s">
        <v>37</v>
      </c>
      <c r="M2025" s="20">
        <f t="shared" si="63"/>
        <v>200000</v>
      </c>
      <c r="N2025" s="20">
        <f>'Working Sheet'!$J2025*'Working Sheet'!$K2025</f>
        <v>750000</v>
      </c>
      <c r="O2025" s="21">
        <f>'Working Sheet'!$M2025*'Working Sheet'!$K2025</f>
        <v>600000</v>
      </c>
      <c r="P2025" s="20">
        <f>'Working Sheet'!$N2025-'Working Sheet'!$O2025</f>
        <v>150000</v>
      </c>
    </row>
    <row r="2026" spans="1:16" ht="14.25" customHeight="1" x14ac:dyDescent="0.25">
      <c r="A2026" s="23" t="str">
        <f t="shared" ca="1" si="62"/>
        <v>ID_656</v>
      </c>
      <c r="B2026" s="22">
        <v>45673</v>
      </c>
      <c r="C2026" s="23" t="str">
        <f>TEXT('Working Sheet'!$B2026,"mmm")</f>
        <v>Jan</v>
      </c>
      <c r="D2026" s="23" t="s">
        <v>18</v>
      </c>
      <c r="E2026" s="23" t="s">
        <v>26</v>
      </c>
      <c r="F2026" s="23" t="s">
        <v>23</v>
      </c>
      <c r="G2026" s="23" t="s">
        <v>14</v>
      </c>
      <c r="H2026" s="23" t="s">
        <v>33</v>
      </c>
      <c r="I2026" s="23" t="s">
        <v>22</v>
      </c>
      <c r="J2026" s="24">
        <v>180000</v>
      </c>
      <c r="K2026" s="23">
        <v>6</v>
      </c>
      <c r="L2026" s="23" t="s">
        <v>39</v>
      </c>
      <c r="M2026" s="25">
        <f t="shared" si="63"/>
        <v>144000</v>
      </c>
      <c r="N2026" s="25">
        <f>'Working Sheet'!$J2026*'Working Sheet'!$K2026</f>
        <v>1080000</v>
      </c>
      <c r="O2026" s="26">
        <f>'Working Sheet'!$M2026*'Working Sheet'!$K2026</f>
        <v>864000</v>
      </c>
      <c r="P2026" s="25">
        <f>'Working Sheet'!$N2026-'Working Sheet'!$O2026</f>
        <v>216000</v>
      </c>
    </row>
    <row r="2027" spans="1:16" ht="14.25" customHeight="1" x14ac:dyDescent="0.25">
      <c r="A2027" s="18" t="str">
        <f t="shared" ca="1" si="62"/>
        <v>ID_1726</v>
      </c>
      <c r="B2027" s="17">
        <v>45749</v>
      </c>
      <c r="C2027" s="18" t="str">
        <f>TEXT('Working Sheet'!$B2027,"mmm")</f>
        <v>Apr</v>
      </c>
      <c r="D2027" s="18" t="s">
        <v>18</v>
      </c>
      <c r="E2027" s="18" t="s">
        <v>32</v>
      </c>
      <c r="F2027" s="18" t="s">
        <v>13</v>
      </c>
      <c r="G2027" s="18" t="s">
        <v>20</v>
      </c>
      <c r="H2027" s="18" t="s">
        <v>15</v>
      </c>
      <c r="I2027" s="18" t="s">
        <v>16</v>
      </c>
      <c r="J2027" s="19">
        <v>85000</v>
      </c>
      <c r="K2027" s="18">
        <v>2</v>
      </c>
      <c r="L2027" s="18" t="s">
        <v>39</v>
      </c>
      <c r="M2027" s="20">
        <f t="shared" si="63"/>
        <v>68000</v>
      </c>
      <c r="N2027" s="20">
        <f>'Working Sheet'!$J2027*'Working Sheet'!$K2027</f>
        <v>170000</v>
      </c>
      <c r="O2027" s="21">
        <f>'Working Sheet'!$M2027*'Working Sheet'!$K2027</f>
        <v>136000</v>
      </c>
      <c r="P2027" s="20">
        <f>'Working Sheet'!$N2027-'Working Sheet'!$O2027</f>
        <v>34000</v>
      </c>
    </row>
    <row r="2028" spans="1:16" ht="14.25" customHeight="1" x14ac:dyDescent="0.25">
      <c r="A2028" s="23" t="str">
        <f t="shared" ca="1" si="62"/>
        <v>ID_705</v>
      </c>
      <c r="B2028" s="22">
        <v>45702</v>
      </c>
      <c r="C2028" s="23" t="str">
        <f>TEXT('Working Sheet'!$B2028,"mmm")</f>
        <v>Feb</v>
      </c>
      <c r="D2028" s="23" t="s">
        <v>29</v>
      </c>
      <c r="E2028" s="23" t="s">
        <v>32</v>
      </c>
      <c r="F2028" s="23" t="s">
        <v>23</v>
      </c>
      <c r="G2028" s="23" t="s">
        <v>20</v>
      </c>
      <c r="H2028" s="23" t="s">
        <v>40</v>
      </c>
      <c r="I2028" s="23" t="s">
        <v>31</v>
      </c>
      <c r="J2028" s="24">
        <v>250000</v>
      </c>
      <c r="K2028" s="23">
        <v>5</v>
      </c>
      <c r="L2028" s="23" t="s">
        <v>28</v>
      </c>
      <c r="M2028" s="25">
        <f t="shared" si="63"/>
        <v>200000</v>
      </c>
      <c r="N2028" s="25">
        <f>'Working Sheet'!$J2028*'Working Sheet'!$K2028</f>
        <v>1250000</v>
      </c>
      <c r="O2028" s="26">
        <f>'Working Sheet'!$M2028*'Working Sheet'!$K2028</f>
        <v>1000000</v>
      </c>
      <c r="P2028" s="25">
        <f>'Working Sheet'!$N2028-'Working Sheet'!$O2028</f>
        <v>250000</v>
      </c>
    </row>
    <row r="2029" spans="1:16" ht="14.25" customHeight="1" x14ac:dyDescent="0.25">
      <c r="A2029" s="18" t="str">
        <f t="shared" ca="1" si="62"/>
        <v>ID_467</v>
      </c>
      <c r="B2029" s="17">
        <v>45697</v>
      </c>
      <c r="C2029" s="18" t="str">
        <f>TEXT('Working Sheet'!$B2029,"mmm")</f>
        <v>Feb</v>
      </c>
      <c r="D2029" s="18" t="s">
        <v>11</v>
      </c>
      <c r="E2029" s="18" t="s">
        <v>12</v>
      </c>
      <c r="F2029" s="18" t="s">
        <v>23</v>
      </c>
      <c r="G2029" s="18" t="s">
        <v>20</v>
      </c>
      <c r="H2029" s="18" t="s">
        <v>41</v>
      </c>
      <c r="I2029" s="18" t="s">
        <v>22</v>
      </c>
      <c r="J2029" s="19">
        <v>220000</v>
      </c>
      <c r="K2029" s="18">
        <v>2</v>
      </c>
      <c r="L2029" s="18" t="s">
        <v>37</v>
      </c>
      <c r="M2029" s="20">
        <f t="shared" si="63"/>
        <v>176000</v>
      </c>
      <c r="N2029" s="20">
        <f>'Working Sheet'!$J2029*'Working Sheet'!$K2029</f>
        <v>440000</v>
      </c>
      <c r="O2029" s="21">
        <f>'Working Sheet'!$M2029*'Working Sheet'!$K2029</f>
        <v>352000</v>
      </c>
      <c r="P2029" s="20">
        <f>'Working Sheet'!$N2029-'Working Sheet'!$O2029</f>
        <v>88000</v>
      </c>
    </row>
    <row r="2030" spans="1:16" ht="14.25" customHeight="1" x14ac:dyDescent="0.25">
      <c r="A2030" s="23" t="str">
        <f t="shared" ca="1" si="62"/>
        <v>ID_386</v>
      </c>
      <c r="B2030" s="22">
        <v>45761</v>
      </c>
      <c r="C2030" s="23" t="str">
        <f>TEXT('Working Sheet'!$B2030,"mmm")</f>
        <v>Apr</v>
      </c>
      <c r="D2030" s="23" t="s">
        <v>25</v>
      </c>
      <c r="E2030" s="23" t="s">
        <v>32</v>
      </c>
      <c r="F2030" s="23" t="s">
        <v>13</v>
      </c>
      <c r="G2030" s="23" t="s">
        <v>14</v>
      </c>
      <c r="H2030" s="23" t="s">
        <v>21</v>
      </c>
      <c r="I2030" s="23" t="s">
        <v>22</v>
      </c>
      <c r="J2030" s="24">
        <v>30000</v>
      </c>
      <c r="K2030" s="23">
        <v>2</v>
      </c>
      <c r="L2030" s="23" t="s">
        <v>24</v>
      </c>
      <c r="M2030" s="25">
        <f t="shared" si="63"/>
        <v>24000</v>
      </c>
      <c r="N2030" s="25">
        <f>'Working Sheet'!$J2030*'Working Sheet'!$K2030</f>
        <v>60000</v>
      </c>
      <c r="O2030" s="26">
        <f>'Working Sheet'!$M2030*'Working Sheet'!$K2030</f>
        <v>48000</v>
      </c>
      <c r="P2030" s="25">
        <f>'Working Sheet'!$N2030-'Working Sheet'!$O2030</f>
        <v>12000</v>
      </c>
    </row>
    <row r="2031" spans="1:16" ht="14.25" customHeight="1" x14ac:dyDescent="0.25">
      <c r="A2031" s="18" t="str">
        <f t="shared" ca="1" si="62"/>
        <v>ID_971</v>
      </c>
      <c r="B2031" s="17">
        <v>45738</v>
      </c>
      <c r="C2031" s="18" t="str">
        <f>TEXT('Working Sheet'!$B2031,"mmm")</f>
        <v>Mar</v>
      </c>
      <c r="D2031" s="18" t="s">
        <v>18</v>
      </c>
      <c r="E2031" s="18" t="s">
        <v>26</v>
      </c>
      <c r="F2031" s="18" t="s">
        <v>23</v>
      </c>
      <c r="G2031" s="18" t="s">
        <v>20</v>
      </c>
      <c r="H2031" s="18" t="s">
        <v>38</v>
      </c>
      <c r="I2031" s="18" t="s">
        <v>31</v>
      </c>
      <c r="J2031" s="19">
        <v>420000</v>
      </c>
      <c r="K2031" s="18">
        <v>10</v>
      </c>
      <c r="L2031" s="18" t="s">
        <v>37</v>
      </c>
      <c r="M2031" s="20">
        <f t="shared" si="63"/>
        <v>336000</v>
      </c>
      <c r="N2031" s="20">
        <f>'Working Sheet'!$J2031*'Working Sheet'!$K2031</f>
        <v>4200000</v>
      </c>
      <c r="O2031" s="21">
        <f>'Working Sheet'!$M2031*'Working Sheet'!$K2031</f>
        <v>3360000</v>
      </c>
      <c r="P2031" s="20">
        <f>'Working Sheet'!$N2031-'Working Sheet'!$O2031</f>
        <v>840000</v>
      </c>
    </row>
    <row r="2032" spans="1:16" ht="14.25" customHeight="1" x14ac:dyDescent="0.25">
      <c r="A2032" s="23" t="str">
        <f t="shared" ca="1" si="62"/>
        <v>ID_1605</v>
      </c>
      <c r="B2032" s="22">
        <v>45698</v>
      </c>
      <c r="C2032" s="23" t="str">
        <f>TEXT('Working Sheet'!$B2032,"mmm")</f>
        <v>Feb</v>
      </c>
      <c r="D2032" s="23" t="s">
        <v>29</v>
      </c>
      <c r="E2032" s="23" t="s">
        <v>32</v>
      </c>
      <c r="F2032" s="23" t="s">
        <v>23</v>
      </c>
      <c r="G2032" s="23" t="s">
        <v>14</v>
      </c>
      <c r="H2032" s="23" t="s">
        <v>41</v>
      </c>
      <c r="I2032" s="23" t="s">
        <v>22</v>
      </c>
      <c r="J2032" s="24">
        <v>220000</v>
      </c>
      <c r="K2032" s="23">
        <v>2</v>
      </c>
      <c r="L2032" s="23" t="s">
        <v>35</v>
      </c>
      <c r="M2032" s="25">
        <f t="shared" si="63"/>
        <v>176000</v>
      </c>
      <c r="N2032" s="25">
        <f>'Working Sheet'!$J2032*'Working Sheet'!$K2032</f>
        <v>440000</v>
      </c>
      <c r="O2032" s="26">
        <f>'Working Sheet'!$M2032*'Working Sheet'!$K2032</f>
        <v>352000</v>
      </c>
      <c r="P2032" s="25">
        <f>'Working Sheet'!$N2032-'Working Sheet'!$O2032</f>
        <v>88000</v>
      </c>
    </row>
    <row r="2033" spans="1:16" ht="14.25" customHeight="1" x14ac:dyDescent="0.25">
      <c r="A2033" s="18" t="str">
        <f t="shared" ca="1" si="62"/>
        <v>ID_207</v>
      </c>
      <c r="B2033" s="17">
        <v>45694</v>
      </c>
      <c r="C2033" s="18" t="str">
        <f>TEXT('Working Sheet'!$B2033,"mmm")</f>
        <v>Feb</v>
      </c>
      <c r="D2033" s="18" t="s">
        <v>25</v>
      </c>
      <c r="E2033" s="18" t="s">
        <v>26</v>
      </c>
      <c r="F2033" s="18" t="s">
        <v>23</v>
      </c>
      <c r="G2033" s="18" t="s">
        <v>20</v>
      </c>
      <c r="H2033" s="18" t="s">
        <v>41</v>
      </c>
      <c r="I2033" s="18" t="s">
        <v>22</v>
      </c>
      <c r="J2033" s="19">
        <v>220000</v>
      </c>
      <c r="K2033" s="18">
        <v>10</v>
      </c>
      <c r="L2033" s="18" t="s">
        <v>24</v>
      </c>
      <c r="M2033" s="20">
        <f t="shared" si="63"/>
        <v>176000</v>
      </c>
      <c r="N2033" s="20">
        <f>'Working Sheet'!$J2033*'Working Sheet'!$K2033</f>
        <v>2200000</v>
      </c>
      <c r="O2033" s="21">
        <f>'Working Sheet'!$M2033*'Working Sheet'!$K2033</f>
        <v>1760000</v>
      </c>
      <c r="P2033" s="20">
        <f>'Working Sheet'!$N2033-'Working Sheet'!$O2033</f>
        <v>440000</v>
      </c>
    </row>
    <row r="2034" spans="1:16" ht="14.25" customHeight="1" x14ac:dyDescent="0.25">
      <c r="A2034" s="23" t="str">
        <f t="shared" ca="1" si="62"/>
        <v>ID_937</v>
      </c>
      <c r="B2034" s="22">
        <v>45715</v>
      </c>
      <c r="C2034" s="23" t="str">
        <f>TEXT('Working Sheet'!$B2034,"mmm")</f>
        <v>Feb</v>
      </c>
      <c r="D2034" s="23" t="s">
        <v>11</v>
      </c>
      <c r="E2034" s="23" t="s">
        <v>19</v>
      </c>
      <c r="F2034" s="23" t="s">
        <v>23</v>
      </c>
      <c r="G2034" s="23" t="s">
        <v>20</v>
      </c>
      <c r="H2034" s="23" t="s">
        <v>34</v>
      </c>
      <c r="I2034" s="23" t="s">
        <v>16</v>
      </c>
      <c r="J2034" s="24">
        <v>320000</v>
      </c>
      <c r="K2034" s="23">
        <v>6</v>
      </c>
      <c r="L2034" s="23" t="s">
        <v>35</v>
      </c>
      <c r="M2034" s="25">
        <f t="shared" si="63"/>
        <v>256000</v>
      </c>
      <c r="N2034" s="25">
        <f>'Working Sheet'!$J2034*'Working Sheet'!$K2034</f>
        <v>1920000</v>
      </c>
      <c r="O2034" s="26">
        <f>'Working Sheet'!$M2034*'Working Sheet'!$K2034</f>
        <v>1536000</v>
      </c>
      <c r="P2034" s="25">
        <f>'Working Sheet'!$N2034-'Working Sheet'!$O2034</f>
        <v>384000</v>
      </c>
    </row>
    <row r="2035" spans="1:16" ht="14.25" customHeight="1" x14ac:dyDescent="0.25">
      <c r="A2035" s="18" t="str">
        <f t="shared" ca="1" si="62"/>
        <v>ID_1855</v>
      </c>
      <c r="B2035" s="17">
        <v>45726</v>
      </c>
      <c r="C2035" s="18" t="str">
        <f>TEXT('Working Sheet'!$B2035,"mmm")</f>
        <v>Mar</v>
      </c>
      <c r="D2035" s="18" t="s">
        <v>29</v>
      </c>
      <c r="E2035" s="18" t="s">
        <v>12</v>
      </c>
      <c r="F2035" s="18" t="s">
        <v>23</v>
      </c>
      <c r="G2035" s="18" t="s">
        <v>20</v>
      </c>
      <c r="H2035" s="18" t="s">
        <v>38</v>
      </c>
      <c r="I2035" s="18" t="s">
        <v>31</v>
      </c>
      <c r="J2035" s="19">
        <v>420000</v>
      </c>
      <c r="K2035" s="18">
        <v>8</v>
      </c>
      <c r="L2035" s="18" t="s">
        <v>35</v>
      </c>
      <c r="M2035" s="20">
        <f t="shared" si="63"/>
        <v>336000</v>
      </c>
      <c r="N2035" s="20">
        <f>'Working Sheet'!$J2035*'Working Sheet'!$K2035</f>
        <v>3360000</v>
      </c>
      <c r="O2035" s="21">
        <f>'Working Sheet'!$M2035*'Working Sheet'!$K2035</f>
        <v>2688000</v>
      </c>
      <c r="P2035" s="20">
        <f>'Working Sheet'!$N2035-'Working Sheet'!$O2035</f>
        <v>672000</v>
      </c>
    </row>
    <row r="2036" spans="1:16" ht="14.25" customHeight="1" x14ac:dyDescent="0.25">
      <c r="A2036" s="23" t="str">
        <f t="shared" ca="1" si="62"/>
        <v>ID_1719</v>
      </c>
      <c r="B2036" s="22">
        <v>45760</v>
      </c>
      <c r="C2036" s="23" t="str">
        <f>TEXT('Working Sheet'!$B2036,"mmm")</f>
        <v>Apr</v>
      </c>
      <c r="D2036" s="23" t="s">
        <v>18</v>
      </c>
      <c r="E2036" s="23" t="s">
        <v>32</v>
      </c>
      <c r="F2036" s="23" t="s">
        <v>13</v>
      </c>
      <c r="G2036" s="23" t="s">
        <v>20</v>
      </c>
      <c r="H2036" s="23" t="s">
        <v>41</v>
      </c>
      <c r="I2036" s="23" t="s">
        <v>22</v>
      </c>
      <c r="J2036" s="24">
        <v>220000</v>
      </c>
      <c r="K2036" s="23">
        <v>9</v>
      </c>
      <c r="L2036" s="23" t="s">
        <v>35</v>
      </c>
      <c r="M2036" s="25">
        <f t="shared" si="63"/>
        <v>176000</v>
      </c>
      <c r="N2036" s="25">
        <f>'Working Sheet'!$J2036*'Working Sheet'!$K2036</f>
        <v>1980000</v>
      </c>
      <c r="O2036" s="26">
        <f>'Working Sheet'!$M2036*'Working Sheet'!$K2036</f>
        <v>1584000</v>
      </c>
      <c r="P2036" s="25">
        <f>'Working Sheet'!$N2036-'Working Sheet'!$O2036</f>
        <v>396000</v>
      </c>
    </row>
    <row r="2037" spans="1:16" ht="14.25" customHeight="1" x14ac:dyDescent="0.25">
      <c r="A2037" s="18" t="str">
        <f t="shared" ca="1" si="62"/>
        <v>ID_908</v>
      </c>
      <c r="B2037" s="17">
        <v>45715</v>
      </c>
      <c r="C2037" s="18" t="str">
        <f>TEXT('Working Sheet'!$B2037,"mmm")</f>
        <v>Feb</v>
      </c>
      <c r="D2037" s="18" t="s">
        <v>29</v>
      </c>
      <c r="E2037" s="18" t="s">
        <v>19</v>
      </c>
      <c r="F2037" s="18" t="s">
        <v>23</v>
      </c>
      <c r="G2037" s="18" t="s">
        <v>14</v>
      </c>
      <c r="H2037" s="18" t="s">
        <v>41</v>
      </c>
      <c r="I2037" s="18" t="s">
        <v>22</v>
      </c>
      <c r="J2037" s="19">
        <v>220000</v>
      </c>
      <c r="K2037" s="18">
        <v>2</v>
      </c>
      <c r="L2037" s="18" t="s">
        <v>39</v>
      </c>
      <c r="M2037" s="20">
        <f t="shared" si="63"/>
        <v>176000</v>
      </c>
      <c r="N2037" s="20">
        <f>'Working Sheet'!$J2037*'Working Sheet'!$K2037</f>
        <v>440000</v>
      </c>
      <c r="O2037" s="21">
        <f>'Working Sheet'!$M2037*'Working Sheet'!$K2037</f>
        <v>352000</v>
      </c>
      <c r="P2037" s="20">
        <f>'Working Sheet'!$N2037-'Working Sheet'!$O2037</f>
        <v>88000</v>
      </c>
    </row>
    <row r="2038" spans="1:16" ht="14.25" customHeight="1" x14ac:dyDescent="0.25">
      <c r="A2038" s="23" t="str">
        <f t="shared" ca="1" si="62"/>
        <v>ID_1948</v>
      </c>
      <c r="B2038" s="22">
        <v>45722</v>
      </c>
      <c r="C2038" s="23" t="str">
        <f>TEXT('Working Sheet'!$B2038,"mmm")</f>
        <v>Mar</v>
      </c>
      <c r="D2038" s="23" t="s">
        <v>25</v>
      </c>
      <c r="E2038" s="23" t="s">
        <v>32</v>
      </c>
      <c r="F2038" s="23" t="s">
        <v>13</v>
      </c>
      <c r="G2038" s="23" t="s">
        <v>14</v>
      </c>
      <c r="H2038" s="23" t="s">
        <v>36</v>
      </c>
      <c r="I2038" s="23" t="s">
        <v>31</v>
      </c>
      <c r="J2038" s="24">
        <v>150000</v>
      </c>
      <c r="K2038" s="23">
        <v>4</v>
      </c>
      <c r="L2038" s="23" t="s">
        <v>37</v>
      </c>
      <c r="M2038" s="25">
        <f t="shared" si="63"/>
        <v>120000</v>
      </c>
      <c r="N2038" s="25">
        <f>'Working Sheet'!$J2038*'Working Sheet'!$K2038</f>
        <v>600000</v>
      </c>
      <c r="O2038" s="26">
        <f>'Working Sheet'!$M2038*'Working Sheet'!$K2038</f>
        <v>480000</v>
      </c>
      <c r="P2038" s="25">
        <f>'Working Sheet'!$N2038-'Working Sheet'!$O2038</f>
        <v>120000</v>
      </c>
    </row>
    <row r="2039" spans="1:16" ht="14.25" customHeight="1" x14ac:dyDescent="0.25">
      <c r="A2039" s="18" t="str">
        <f t="shared" ca="1" si="62"/>
        <v>ID_782</v>
      </c>
      <c r="B2039" s="17">
        <v>45712</v>
      </c>
      <c r="C2039" s="18" t="str">
        <f>TEXT('Working Sheet'!$B2039,"mmm")</f>
        <v>Feb</v>
      </c>
      <c r="D2039" s="18" t="s">
        <v>18</v>
      </c>
      <c r="E2039" s="18" t="s">
        <v>26</v>
      </c>
      <c r="F2039" s="18" t="s">
        <v>13</v>
      </c>
      <c r="G2039" s="18" t="s">
        <v>20</v>
      </c>
      <c r="H2039" s="18" t="s">
        <v>30</v>
      </c>
      <c r="I2039" s="18" t="s">
        <v>31</v>
      </c>
      <c r="J2039" s="19">
        <v>300000</v>
      </c>
      <c r="K2039" s="18">
        <v>7</v>
      </c>
      <c r="L2039" s="18" t="s">
        <v>39</v>
      </c>
      <c r="M2039" s="20">
        <f t="shared" si="63"/>
        <v>240000</v>
      </c>
      <c r="N2039" s="20">
        <f>'Working Sheet'!$J2039*'Working Sheet'!$K2039</f>
        <v>2100000</v>
      </c>
      <c r="O2039" s="21">
        <f>'Working Sheet'!$M2039*'Working Sheet'!$K2039</f>
        <v>1680000</v>
      </c>
      <c r="P2039" s="20">
        <f>'Working Sheet'!$N2039-'Working Sheet'!$O2039</f>
        <v>420000</v>
      </c>
    </row>
    <row r="2040" spans="1:16" ht="14.25" customHeight="1" x14ac:dyDescent="0.25">
      <c r="A2040" s="23" t="str">
        <f t="shared" ca="1" si="62"/>
        <v>ID_1842</v>
      </c>
      <c r="B2040" s="22">
        <v>45667</v>
      </c>
      <c r="C2040" s="23" t="str">
        <f>TEXT('Working Sheet'!$B2040,"mmm")</f>
        <v>Jan</v>
      </c>
      <c r="D2040" s="23" t="s">
        <v>25</v>
      </c>
      <c r="E2040" s="23" t="s">
        <v>19</v>
      </c>
      <c r="F2040" s="23" t="s">
        <v>23</v>
      </c>
      <c r="G2040" s="23" t="s">
        <v>14</v>
      </c>
      <c r="H2040" s="23" t="s">
        <v>38</v>
      </c>
      <c r="I2040" s="23" t="s">
        <v>31</v>
      </c>
      <c r="J2040" s="24">
        <v>420000</v>
      </c>
      <c r="K2040" s="23">
        <v>4</v>
      </c>
      <c r="L2040" s="23" t="s">
        <v>39</v>
      </c>
      <c r="M2040" s="25">
        <f t="shared" si="63"/>
        <v>336000</v>
      </c>
      <c r="N2040" s="25">
        <f>'Working Sheet'!$J2040*'Working Sheet'!$K2040</f>
        <v>1680000</v>
      </c>
      <c r="O2040" s="26">
        <f>'Working Sheet'!$M2040*'Working Sheet'!$K2040</f>
        <v>1344000</v>
      </c>
      <c r="P2040" s="25">
        <f>'Working Sheet'!$N2040-'Working Sheet'!$O2040</f>
        <v>336000</v>
      </c>
    </row>
    <row r="2041" spans="1:16" ht="14.25" customHeight="1" x14ac:dyDescent="0.25">
      <c r="A2041" s="18" t="str">
        <f t="shared" ca="1" si="62"/>
        <v>ID_1109</v>
      </c>
      <c r="B2041" s="17">
        <v>45705</v>
      </c>
      <c r="C2041" s="18" t="str">
        <f>TEXT('Working Sheet'!$B2041,"mmm")</f>
        <v>Feb</v>
      </c>
      <c r="D2041" s="18" t="s">
        <v>11</v>
      </c>
      <c r="E2041" s="18" t="s">
        <v>26</v>
      </c>
      <c r="F2041" s="18" t="s">
        <v>23</v>
      </c>
      <c r="G2041" s="18" t="s">
        <v>20</v>
      </c>
      <c r="H2041" s="18" t="s">
        <v>27</v>
      </c>
      <c r="I2041" s="18" t="s">
        <v>22</v>
      </c>
      <c r="J2041" s="19">
        <v>60000</v>
      </c>
      <c r="K2041" s="18">
        <v>4</v>
      </c>
      <c r="L2041" s="18" t="s">
        <v>37</v>
      </c>
      <c r="M2041" s="20">
        <f t="shared" si="63"/>
        <v>48000</v>
      </c>
      <c r="N2041" s="20">
        <f>'Working Sheet'!$J2041*'Working Sheet'!$K2041</f>
        <v>240000</v>
      </c>
      <c r="O2041" s="21">
        <f>'Working Sheet'!$M2041*'Working Sheet'!$K2041</f>
        <v>192000</v>
      </c>
      <c r="P2041" s="20">
        <f>'Working Sheet'!$N2041-'Working Sheet'!$O2041</f>
        <v>48000</v>
      </c>
    </row>
    <row r="2042" spans="1:16" ht="14.25" customHeight="1" x14ac:dyDescent="0.25">
      <c r="A2042" s="23" t="str">
        <f t="shared" ca="1" si="62"/>
        <v>ID_1674</v>
      </c>
      <c r="B2042" s="22">
        <v>45693</v>
      </c>
      <c r="C2042" s="23" t="str">
        <f>TEXT('Working Sheet'!$B2042,"mmm")</f>
        <v>Feb</v>
      </c>
      <c r="D2042" s="23" t="s">
        <v>29</v>
      </c>
      <c r="E2042" s="23" t="s">
        <v>26</v>
      </c>
      <c r="F2042" s="23" t="s">
        <v>13</v>
      </c>
      <c r="G2042" s="23" t="s">
        <v>14</v>
      </c>
      <c r="H2042" s="23" t="s">
        <v>33</v>
      </c>
      <c r="I2042" s="23" t="s">
        <v>22</v>
      </c>
      <c r="J2042" s="24">
        <v>180000</v>
      </c>
      <c r="K2042" s="23">
        <v>6</v>
      </c>
      <c r="L2042" s="23" t="s">
        <v>17</v>
      </c>
      <c r="M2042" s="25">
        <f t="shared" si="63"/>
        <v>144000</v>
      </c>
      <c r="N2042" s="25">
        <f>'Working Sheet'!$J2042*'Working Sheet'!$K2042</f>
        <v>1080000</v>
      </c>
      <c r="O2042" s="26">
        <f>'Working Sheet'!$M2042*'Working Sheet'!$K2042</f>
        <v>864000</v>
      </c>
      <c r="P2042" s="25">
        <f>'Working Sheet'!$N2042-'Working Sheet'!$O2042</f>
        <v>216000</v>
      </c>
    </row>
    <row r="2043" spans="1:16" ht="14.25" customHeight="1" x14ac:dyDescent="0.25">
      <c r="A2043" s="18" t="str">
        <f t="shared" ca="1" si="62"/>
        <v>ID_1447</v>
      </c>
      <c r="B2043" s="17">
        <v>45690</v>
      </c>
      <c r="C2043" s="18" t="str">
        <f>TEXT('Working Sheet'!$B2043,"mmm")</f>
        <v>Feb</v>
      </c>
      <c r="D2043" s="18" t="s">
        <v>25</v>
      </c>
      <c r="E2043" s="18" t="s">
        <v>26</v>
      </c>
      <c r="F2043" s="18" t="s">
        <v>23</v>
      </c>
      <c r="G2043" s="18" t="s">
        <v>14</v>
      </c>
      <c r="H2043" s="18" t="s">
        <v>30</v>
      </c>
      <c r="I2043" s="18" t="s">
        <v>31</v>
      </c>
      <c r="J2043" s="19">
        <v>300000</v>
      </c>
      <c r="K2043" s="18">
        <v>8</v>
      </c>
      <c r="L2043" s="18" t="s">
        <v>35</v>
      </c>
      <c r="M2043" s="20">
        <f t="shared" si="63"/>
        <v>240000</v>
      </c>
      <c r="N2043" s="20">
        <f>'Working Sheet'!$J2043*'Working Sheet'!$K2043</f>
        <v>2400000</v>
      </c>
      <c r="O2043" s="21">
        <f>'Working Sheet'!$M2043*'Working Sheet'!$K2043</f>
        <v>1920000</v>
      </c>
      <c r="P2043" s="20">
        <f>'Working Sheet'!$N2043-'Working Sheet'!$O2043</f>
        <v>480000</v>
      </c>
    </row>
    <row r="2044" spans="1:16" ht="14.25" customHeight="1" x14ac:dyDescent="0.25">
      <c r="A2044" s="23" t="str">
        <f t="shared" ca="1" si="62"/>
        <v>ID_1530</v>
      </c>
      <c r="B2044" s="22">
        <v>45712</v>
      </c>
      <c r="C2044" s="23" t="str">
        <f>TEXT('Working Sheet'!$B2044,"mmm")</f>
        <v>Feb</v>
      </c>
      <c r="D2044" s="23" t="s">
        <v>11</v>
      </c>
      <c r="E2044" s="23" t="s">
        <v>12</v>
      </c>
      <c r="F2044" s="23" t="s">
        <v>13</v>
      </c>
      <c r="G2044" s="23" t="s">
        <v>20</v>
      </c>
      <c r="H2044" s="23" t="s">
        <v>34</v>
      </c>
      <c r="I2044" s="23" t="s">
        <v>16</v>
      </c>
      <c r="J2044" s="24">
        <v>320000</v>
      </c>
      <c r="K2044" s="23">
        <v>10</v>
      </c>
      <c r="L2044" s="23" t="s">
        <v>17</v>
      </c>
      <c r="M2044" s="25">
        <f t="shared" si="63"/>
        <v>256000</v>
      </c>
      <c r="N2044" s="25">
        <f>'Working Sheet'!$J2044*'Working Sheet'!$K2044</f>
        <v>3200000</v>
      </c>
      <c r="O2044" s="26">
        <f>'Working Sheet'!$M2044*'Working Sheet'!$K2044</f>
        <v>2560000</v>
      </c>
      <c r="P2044" s="25">
        <f>'Working Sheet'!$N2044-'Working Sheet'!$O2044</f>
        <v>640000</v>
      </c>
    </row>
    <row r="2045" spans="1:16" ht="14.25" customHeight="1" x14ac:dyDescent="0.25">
      <c r="A2045" s="18" t="str">
        <f t="shared" ca="1" si="62"/>
        <v>ID_1036</v>
      </c>
      <c r="B2045" s="17">
        <v>45745</v>
      </c>
      <c r="C2045" s="18" t="str">
        <f>TEXT('Working Sheet'!$B2045,"mmm")</f>
        <v>Mar</v>
      </c>
      <c r="D2045" s="18" t="s">
        <v>11</v>
      </c>
      <c r="E2045" s="18" t="s">
        <v>19</v>
      </c>
      <c r="F2045" s="18" t="s">
        <v>13</v>
      </c>
      <c r="G2045" s="18" t="s">
        <v>20</v>
      </c>
      <c r="H2045" s="18" t="s">
        <v>21</v>
      </c>
      <c r="I2045" s="18" t="s">
        <v>22</v>
      </c>
      <c r="J2045" s="19">
        <v>30000</v>
      </c>
      <c r="K2045" s="18">
        <v>1</v>
      </c>
      <c r="L2045" s="18" t="s">
        <v>17</v>
      </c>
      <c r="M2045" s="20">
        <f t="shared" si="63"/>
        <v>24000</v>
      </c>
      <c r="N2045" s="20">
        <f>'Working Sheet'!$J2045*'Working Sheet'!$K2045</f>
        <v>30000</v>
      </c>
      <c r="O2045" s="21">
        <f>'Working Sheet'!$M2045*'Working Sheet'!$K2045</f>
        <v>24000</v>
      </c>
      <c r="P2045" s="20">
        <f>'Working Sheet'!$N2045-'Working Sheet'!$O2045</f>
        <v>6000</v>
      </c>
    </row>
    <row r="2046" spans="1:16" ht="14.25" customHeight="1" x14ac:dyDescent="0.25">
      <c r="A2046" s="23" t="str">
        <f t="shared" ca="1" si="62"/>
        <v>ID_277</v>
      </c>
      <c r="B2046" s="22">
        <v>45664</v>
      </c>
      <c r="C2046" s="23" t="str">
        <f>TEXT('Working Sheet'!$B2046,"mmm")</f>
        <v>Jan</v>
      </c>
      <c r="D2046" s="23" t="s">
        <v>18</v>
      </c>
      <c r="E2046" s="23" t="s">
        <v>19</v>
      </c>
      <c r="F2046" s="23" t="s">
        <v>23</v>
      </c>
      <c r="G2046" s="23" t="s">
        <v>20</v>
      </c>
      <c r="H2046" s="23" t="s">
        <v>15</v>
      </c>
      <c r="I2046" s="23" t="s">
        <v>16</v>
      </c>
      <c r="J2046" s="24">
        <v>85000</v>
      </c>
      <c r="K2046" s="23">
        <v>2</v>
      </c>
      <c r="L2046" s="23" t="s">
        <v>35</v>
      </c>
      <c r="M2046" s="25">
        <f t="shared" si="63"/>
        <v>68000</v>
      </c>
      <c r="N2046" s="25">
        <f>'Working Sheet'!$J2046*'Working Sheet'!$K2046</f>
        <v>170000</v>
      </c>
      <c r="O2046" s="26">
        <f>'Working Sheet'!$M2046*'Working Sheet'!$K2046</f>
        <v>136000</v>
      </c>
      <c r="P2046" s="25">
        <f>'Working Sheet'!$N2046-'Working Sheet'!$O2046</f>
        <v>34000</v>
      </c>
    </row>
    <row r="2047" spans="1:16" ht="14.25" customHeight="1" x14ac:dyDescent="0.25">
      <c r="A2047" s="18" t="str">
        <f t="shared" ca="1" si="62"/>
        <v>ID_688</v>
      </c>
      <c r="B2047" s="17">
        <v>45772</v>
      </c>
      <c r="C2047" s="18" t="str">
        <f>TEXT('Working Sheet'!$B2047,"mmm")</f>
        <v>Apr</v>
      </c>
      <c r="D2047" s="18" t="s">
        <v>11</v>
      </c>
      <c r="E2047" s="18" t="s">
        <v>12</v>
      </c>
      <c r="F2047" s="18" t="s">
        <v>23</v>
      </c>
      <c r="G2047" s="18" t="s">
        <v>14</v>
      </c>
      <c r="H2047" s="18" t="s">
        <v>15</v>
      </c>
      <c r="I2047" s="18" t="s">
        <v>16</v>
      </c>
      <c r="J2047" s="19">
        <v>85000</v>
      </c>
      <c r="K2047" s="18">
        <v>5</v>
      </c>
      <c r="L2047" s="18" t="s">
        <v>37</v>
      </c>
      <c r="M2047" s="20">
        <f t="shared" si="63"/>
        <v>68000</v>
      </c>
      <c r="N2047" s="20">
        <f>'Working Sheet'!$J2047*'Working Sheet'!$K2047</f>
        <v>425000</v>
      </c>
      <c r="O2047" s="21">
        <f>'Working Sheet'!$M2047*'Working Sheet'!$K2047</f>
        <v>340000</v>
      </c>
      <c r="P2047" s="20">
        <f>'Working Sheet'!$N2047-'Working Sheet'!$O2047</f>
        <v>85000</v>
      </c>
    </row>
    <row r="2048" spans="1:16" ht="14.25" customHeight="1" x14ac:dyDescent="0.25">
      <c r="A2048" s="23" t="str">
        <f t="shared" ca="1" si="62"/>
        <v>ID_1210</v>
      </c>
      <c r="B2048" s="22">
        <v>45689</v>
      </c>
      <c r="C2048" s="23" t="str">
        <f>TEXT('Working Sheet'!$B2048,"mmm")</f>
        <v>Feb</v>
      </c>
      <c r="D2048" s="23" t="s">
        <v>25</v>
      </c>
      <c r="E2048" s="23" t="s">
        <v>12</v>
      </c>
      <c r="F2048" s="23" t="s">
        <v>13</v>
      </c>
      <c r="G2048" s="23" t="s">
        <v>20</v>
      </c>
      <c r="H2048" s="23" t="s">
        <v>40</v>
      </c>
      <c r="I2048" s="23" t="s">
        <v>31</v>
      </c>
      <c r="J2048" s="24">
        <v>250000</v>
      </c>
      <c r="K2048" s="23">
        <v>8</v>
      </c>
      <c r="L2048" s="23" t="s">
        <v>37</v>
      </c>
      <c r="M2048" s="25">
        <f t="shared" si="63"/>
        <v>200000</v>
      </c>
      <c r="N2048" s="25">
        <f>'Working Sheet'!$J2048*'Working Sheet'!$K2048</f>
        <v>2000000</v>
      </c>
      <c r="O2048" s="26">
        <f>'Working Sheet'!$M2048*'Working Sheet'!$K2048</f>
        <v>1600000</v>
      </c>
      <c r="P2048" s="25">
        <f>'Working Sheet'!$N2048-'Working Sheet'!$O2048</f>
        <v>400000</v>
      </c>
    </row>
    <row r="2049" spans="1:16" ht="14.25" customHeight="1" x14ac:dyDescent="0.25">
      <c r="A2049" s="18" t="str">
        <f t="shared" ca="1" si="62"/>
        <v>ID_1656</v>
      </c>
      <c r="B2049" s="17">
        <v>45693</v>
      </c>
      <c r="C2049" s="18" t="str">
        <f>TEXT('Working Sheet'!$B2049,"mmm")</f>
        <v>Feb</v>
      </c>
      <c r="D2049" s="18" t="s">
        <v>29</v>
      </c>
      <c r="E2049" s="18" t="s">
        <v>26</v>
      </c>
      <c r="F2049" s="18" t="s">
        <v>23</v>
      </c>
      <c r="G2049" s="18" t="s">
        <v>14</v>
      </c>
      <c r="H2049" s="18" t="s">
        <v>30</v>
      </c>
      <c r="I2049" s="18" t="s">
        <v>31</v>
      </c>
      <c r="J2049" s="19">
        <v>300000</v>
      </c>
      <c r="K2049" s="18">
        <v>8</v>
      </c>
      <c r="L2049" s="18" t="s">
        <v>35</v>
      </c>
      <c r="M2049" s="20">
        <f t="shared" si="63"/>
        <v>240000</v>
      </c>
      <c r="N2049" s="20">
        <f>'Working Sheet'!$J2049*'Working Sheet'!$K2049</f>
        <v>2400000</v>
      </c>
      <c r="O2049" s="21">
        <f>'Working Sheet'!$M2049*'Working Sheet'!$K2049</f>
        <v>1920000</v>
      </c>
      <c r="P2049" s="20">
        <f>'Working Sheet'!$N2049-'Working Sheet'!$O2049</f>
        <v>480000</v>
      </c>
    </row>
    <row r="2050" spans="1:16" ht="14.25" customHeight="1" x14ac:dyDescent="0.25">
      <c r="A2050" s="23" t="str">
        <f t="shared" ref="A2050:A2099" ca="1" si="64">"ID_"&amp; RANDBETWEEN(1,2098)</f>
        <v>ID_1645</v>
      </c>
      <c r="B2050" s="22">
        <v>45766</v>
      </c>
      <c r="C2050" s="23" t="str">
        <f>TEXT('Working Sheet'!$B2050,"mmm")</f>
        <v>Apr</v>
      </c>
      <c r="D2050" s="23" t="s">
        <v>11</v>
      </c>
      <c r="E2050" s="23" t="s">
        <v>19</v>
      </c>
      <c r="F2050" s="23" t="s">
        <v>23</v>
      </c>
      <c r="G2050" s="23" t="s">
        <v>20</v>
      </c>
      <c r="H2050" s="23" t="s">
        <v>33</v>
      </c>
      <c r="I2050" s="23" t="s">
        <v>22</v>
      </c>
      <c r="J2050" s="24">
        <v>180000</v>
      </c>
      <c r="K2050" s="23">
        <v>9</v>
      </c>
      <c r="L2050" s="23" t="s">
        <v>28</v>
      </c>
      <c r="M2050" s="25">
        <f t="shared" ref="M2050:M2099" si="65">J2050-J2050*0.2</f>
        <v>144000</v>
      </c>
      <c r="N2050" s="25">
        <f>'Working Sheet'!$J2050*'Working Sheet'!$K2050</f>
        <v>1620000</v>
      </c>
      <c r="O2050" s="26">
        <f>'Working Sheet'!$M2050*'Working Sheet'!$K2050</f>
        <v>1296000</v>
      </c>
      <c r="P2050" s="25">
        <f>'Working Sheet'!$N2050-'Working Sheet'!$O2050</f>
        <v>324000</v>
      </c>
    </row>
    <row r="2051" spans="1:16" ht="14.25" customHeight="1" x14ac:dyDescent="0.25">
      <c r="A2051" s="18" t="str">
        <f t="shared" ca="1" si="64"/>
        <v>ID_1893</v>
      </c>
      <c r="B2051" s="17">
        <v>45765</v>
      </c>
      <c r="C2051" s="18" t="str">
        <f>TEXT('Working Sheet'!$B2051,"mmm")</f>
        <v>Apr</v>
      </c>
      <c r="D2051" s="18" t="s">
        <v>29</v>
      </c>
      <c r="E2051" s="18" t="s">
        <v>32</v>
      </c>
      <c r="F2051" s="18" t="s">
        <v>23</v>
      </c>
      <c r="G2051" s="18" t="s">
        <v>14</v>
      </c>
      <c r="H2051" s="18" t="s">
        <v>27</v>
      </c>
      <c r="I2051" s="18" t="s">
        <v>22</v>
      </c>
      <c r="J2051" s="19">
        <v>60000</v>
      </c>
      <c r="K2051" s="18">
        <v>4</v>
      </c>
      <c r="L2051" s="18" t="s">
        <v>35</v>
      </c>
      <c r="M2051" s="20">
        <f t="shared" si="65"/>
        <v>48000</v>
      </c>
      <c r="N2051" s="20">
        <f>'Working Sheet'!$J2051*'Working Sheet'!$K2051</f>
        <v>240000</v>
      </c>
      <c r="O2051" s="21">
        <f>'Working Sheet'!$M2051*'Working Sheet'!$K2051</f>
        <v>192000</v>
      </c>
      <c r="P2051" s="20">
        <f>'Working Sheet'!$N2051-'Working Sheet'!$O2051</f>
        <v>48000</v>
      </c>
    </row>
    <row r="2052" spans="1:16" ht="14.25" customHeight="1" x14ac:dyDescent="0.25">
      <c r="A2052" s="23" t="str">
        <f t="shared" ca="1" si="64"/>
        <v>ID_901</v>
      </c>
      <c r="B2052" s="22">
        <v>45679</v>
      </c>
      <c r="C2052" s="23" t="str">
        <f>TEXT('Working Sheet'!$B2052,"mmm")</f>
        <v>Jan</v>
      </c>
      <c r="D2052" s="23" t="s">
        <v>25</v>
      </c>
      <c r="E2052" s="23" t="s">
        <v>12</v>
      </c>
      <c r="F2052" s="23" t="s">
        <v>13</v>
      </c>
      <c r="G2052" s="23" t="s">
        <v>20</v>
      </c>
      <c r="H2052" s="23" t="s">
        <v>27</v>
      </c>
      <c r="I2052" s="23" t="s">
        <v>22</v>
      </c>
      <c r="J2052" s="24">
        <v>60000</v>
      </c>
      <c r="K2052" s="23">
        <v>3</v>
      </c>
      <c r="L2052" s="23" t="s">
        <v>35</v>
      </c>
      <c r="M2052" s="25">
        <f t="shared" si="65"/>
        <v>48000</v>
      </c>
      <c r="N2052" s="25">
        <f>'Working Sheet'!$J2052*'Working Sheet'!$K2052</f>
        <v>180000</v>
      </c>
      <c r="O2052" s="26">
        <f>'Working Sheet'!$M2052*'Working Sheet'!$K2052</f>
        <v>144000</v>
      </c>
      <c r="P2052" s="25">
        <f>'Working Sheet'!$N2052-'Working Sheet'!$O2052</f>
        <v>36000</v>
      </c>
    </row>
    <row r="2053" spans="1:16" ht="14.25" customHeight="1" x14ac:dyDescent="0.25">
      <c r="A2053" s="18" t="str">
        <f t="shared" ca="1" si="64"/>
        <v>ID_1637</v>
      </c>
      <c r="B2053" s="17">
        <v>45763</v>
      </c>
      <c r="C2053" s="18" t="str">
        <f>TEXT('Working Sheet'!$B2053,"mmm")</f>
        <v>Apr</v>
      </c>
      <c r="D2053" s="18" t="s">
        <v>25</v>
      </c>
      <c r="E2053" s="18" t="s">
        <v>12</v>
      </c>
      <c r="F2053" s="18" t="s">
        <v>13</v>
      </c>
      <c r="G2053" s="18" t="s">
        <v>14</v>
      </c>
      <c r="H2053" s="18" t="s">
        <v>41</v>
      </c>
      <c r="I2053" s="18" t="s">
        <v>22</v>
      </c>
      <c r="J2053" s="19">
        <v>220000</v>
      </c>
      <c r="K2053" s="18">
        <v>6</v>
      </c>
      <c r="L2053" s="18" t="s">
        <v>37</v>
      </c>
      <c r="M2053" s="20">
        <f t="shared" si="65"/>
        <v>176000</v>
      </c>
      <c r="N2053" s="20">
        <f>'Working Sheet'!$J2053*'Working Sheet'!$K2053</f>
        <v>1320000</v>
      </c>
      <c r="O2053" s="21">
        <f>'Working Sheet'!$M2053*'Working Sheet'!$K2053</f>
        <v>1056000</v>
      </c>
      <c r="P2053" s="20">
        <f>'Working Sheet'!$N2053-'Working Sheet'!$O2053</f>
        <v>264000</v>
      </c>
    </row>
    <row r="2054" spans="1:16" ht="14.25" customHeight="1" x14ac:dyDescent="0.25">
      <c r="A2054" s="23" t="str">
        <f t="shared" ca="1" si="64"/>
        <v>ID_493</v>
      </c>
      <c r="B2054" s="22">
        <v>45725</v>
      </c>
      <c r="C2054" s="23" t="str">
        <f>TEXT('Working Sheet'!$B2054,"mmm")</f>
        <v>Mar</v>
      </c>
      <c r="D2054" s="23" t="s">
        <v>18</v>
      </c>
      <c r="E2054" s="23" t="s">
        <v>26</v>
      </c>
      <c r="F2054" s="23" t="s">
        <v>13</v>
      </c>
      <c r="G2054" s="23" t="s">
        <v>20</v>
      </c>
      <c r="H2054" s="23" t="s">
        <v>34</v>
      </c>
      <c r="I2054" s="23" t="s">
        <v>16</v>
      </c>
      <c r="J2054" s="24">
        <v>320000</v>
      </c>
      <c r="K2054" s="23">
        <v>9</v>
      </c>
      <c r="L2054" s="23" t="s">
        <v>35</v>
      </c>
      <c r="M2054" s="25">
        <f t="shared" si="65"/>
        <v>256000</v>
      </c>
      <c r="N2054" s="25">
        <f>'Working Sheet'!$J2054*'Working Sheet'!$K2054</f>
        <v>2880000</v>
      </c>
      <c r="O2054" s="26">
        <f>'Working Sheet'!$M2054*'Working Sheet'!$K2054</f>
        <v>2304000</v>
      </c>
      <c r="P2054" s="25">
        <f>'Working Sheet'!$N2054-'Working Sheet'!$O2054</f>
        <v>576000</v>
      </c>
    </row>
    <row r="2055" spans="1:16" ht="14.25" customHeight="1" x14ac:dyDescent="0.25">
      <c r="A2055" s="18" t="str">
        <f t="shared" ca="1" si="64"/>
        <v>ID_13</v>
      </c>
      <c r="B2055" s="17">
        <v>45676</v>
      </c>
      <c r="C2055" s="18" t="str">
        <f>TEXT('Working Sheet'!$B2055,"mmm")</f>
        <v>Jan</v>
      </c>
      <c r="D2055" s="18" t="s">
        <v>25</v>
      </c>
      <c r="E2055" s="18" t="s">
        <v>26</v>
      </c>
      <c r="F2055" s="18" t="s">
        <v>13</v>
      </c>
      <c r="G2055" s="18" t="s">
        <v>20</v>
      </c>
      <c r="H2055" s="18" t="s">
        <v>38</v>
      </c>
      <c r="I2055" s="18" t="s">
        <v>31</v>
      </c>
      <c r="J2055" s="19">
        <v>420000</v>
      </c>
      <c r="K2055" s="18">
        <v>3</v>
      </c>
      <c r="L2055" s="18" t="s">
        <v>24</v>
      </c>
      <c r="M2055" s="20">
        <f t="shared" si="65"/>
        <v>336000</v>
      </c>
      <c r="N2055" s="20">
        <f>'Working Sheet'!$J2055*'Working Sheet'!$K2055</f>
        <v>1260000</v>
      </c>
      <c r="O2055" s="21">
        <f>'Working Sheet'!$M2055*'Working Sheet'!$K2055</f>
        <v>1008000</v>
      </c>
      <c r="P2055" s="20">
        <f>'Working Sheet'!$N2055-'Working Sheet'!$O2055</f>
        <v>252000</v>
      </c>
    </row>
    <row r="2056" spans="1:16" ht="14.25" customHeight="1" x14ac:dyDescent="0.25">
      <c r="A2056" s="23" t="str">
        <f t="shared" ca="1" si="64"/>
        <v>ID_1349</v>
      </c>
      <c r="B2056" s="22">
        <v>45775</v>
      </c>
      <c r="C2056" s="23" t="str">
        <f>TEXT('Working Sheet'!$B2056,"mmm")</f>
        <v>Apr</v>
      </c>
      <c r="D2056" s="23" t="s">
        <v>18</v>
      </c>
      <c r="E2056" s="23" t="s">
        <v>32</v>
      </c>
      <c r="F2056" s="23" t="s">
        <v>23</v>
      </c>
      <c r="G2056" s="23" t="s">
        <v>20</v>
      </c>
      <c r="H2056" s="23" t="s">
        <v>33</v>
      </c>
      <c r="I2056" s="23" t="s">
        <v>22</v>
      </c>
      <c r="J2056" s="24">
        <v>180000</v>
      </c>
      <c r="K2056" s="23">
        <v>9</v>
      </c>
      <c r="L2056" s="23" t="s">
        <v>17</v>
      </c>
      <c r="M2056" s="25">
        <f t="shared" si="65"/>
        <v>144000</v>
      </c>
      <c r="N2056" s="25">
        <f>'Working Sheet'!$J2056*'Working Sheet'!$K2056</f>
        <v>1620000</v>
      </c>
      <c r="O2056" s="26">
        <f>'Working Sheet'!$M2056*'Working Sheet'!$K2056</f>
        <v>1296000</v>
      </c>
      <c r="P2056" s="25">
        <f>'Working Sheet'!$N2056-'Working Sheet'!$O2056</f>
        <v>324000</v>
      </c>
    </row>
    <row r="2057" spans="1:16" ht="14.25" customHeight="1" x14ac:dyDescent="0.25">
      <c r="A2057" s="18" t="str">
        <f t="shared" ca="1" si="64"/>
        <v>ID_1017</v>
      </c>
      <c r="B2057" s="17">
        <v>45738</v>
      </c>
      <c r="C2057" s="18" t="str">
        <f>TEXT('Working Sheet'!$B2057,"mmm")</f>
        <v>Mar</v>
      </c>
      <c r="D2057" s="18" t="s">
        <v>25</v>
      </c>
      <c r="E2057" s="18" t="s">
        <v>32</v>
      </c>
      <c r="F2057" s="18" t="s">
        <v>23</v>
      </c>
      <c r="G2057" s="18" t="s">
        <v>20</v>
      </c>
      <c r="H2057" s="18" t="s">
        <v>27</v>
      </c>
      <c r="I2057" s="18" t="s">
        <v>22</v>
      </c>
      <c r="J2057" s="19">
        <v>60000</v>
      </c>
      <c r="K2057" s="18">
        <v>1</v>
      </c>
      <c r="L2057" s="18" t="s">
        <v>17</v>
      </c>
      <c r="M2057" s="20">
        <f t="shared" si="65"/>
        <v>48000</v>
      </c>
      <c r="N2057" s="20">
        <f>'Working Sheet'!$J2057*'Working Sheet'!$K2057</f>
        <v>60000</v>
      </c>
      <c r="O2057" s="21">
        <f>'Working Sheet'!$M2057*'Working Sheet'!$K2057</f>
        <v>48000</v>
      </c>
      <c r="P2057" s="20">
        <f>'Working Sheet'!$N2057-'Working Sheet'!$O2057</f>
        <v>12000</v>
      </c>
    </row>
    <row r="2058" spans="1:16" ht="14.25" customHeight="1" x14ac:dyDescent="0.25">
      <c r="A2058" s="23" t="str">
        <f t="shared" ca="1" si="64"/>
        <v>ID_127</v>
      </c>
      <c r="B2058" s="22">
        <v>45729</v>
      </c>
      <c r="C2058" s="23" t="str">
        <f>TEXT('Working Sheet'!$B2058,"mmm")</f>
        <v>Mar</v>
      </c>
      <c r="D2058" s="23" t="s">
        <v>11</v>
      </c>
      <c r="E2058" s="23" t="s">
        <v>26</v>
      </c>
      <c r="F2058" s="23" t="s">
        <v>23</v>
      </c>
      <c r="G2058" s="23" t="s">
        <v>20</v>
      </c>
      <c r="H2058" s="23" t="s">
        <v>40</v>
      </c>
      <c r="I2058" s="23" t="s">
        <v>31</v>
      </c>
      <c r="J2058" s="24">
        <v>250000</v>
      </c>
      <c r="K2058" s="23">
        <v>5</v>
      </c>
      <c r="L2058" s="23" t="s">
        <v>35</v>
      </c>
      <c r="M2058" s="25">
        <f t="shared" si="65"/>
        <v>200000</v>
      </c>
      <c r="N2058" s="25">
        <f>'Working Sheet'!$J2058*'Working Sheet'!$K2058</f>
        <v>1250000</v>
      </c>
      <c r="O2058" s="26">
        <f>'Working Sheet'!$M2058*'Working Sheet'!$K2058</f>
        <v>1000000</v>
      </c>
      <c r="P2058" s="25">
        <f>'Working Sheet'!$N2058-'Working Sheet'!$O2058</f>
        <v>250000</v>
      </c>
    </row>
    <row r="2059" spans="1:16" ht="14.25" customHeight="1" x14ac:dyDescent="0.25">
      <c r="A2059" s="18" t="str">
        <f t="shared" ca="1" si="64"/>
        <v>ID_387</v>
      </c>
      <c r="B2059" s="17">
        <v>45772</v>
      </c>
      <c r="C2059" s="18" t="str">
        <f>TEXT('Working Sheet'!$B2059,"mmm")</f>
        <v>Apr</v>
      </c>
      <c r="D2059" s="18" t="s">
        <v>11</v>
      </c>
      <c r="E2059" s="18" t="s">
        <v>12</v>
      </c>
      <c r="F2059" s="18" t="s">
        <v>23</v>
      </c>
      <c r="G2059" s="18" t="s">
        <v>20</v>
      </c>
      <c r="H2059" s="18" t="s">
        <v>21</v>
      </c>
      <c r="I2059" s="18" t="s">
        <v>22</v>
      </c>
      <c r="J2059" s="19">
        <v>30000</v>
      </c>
      <c r="K2059" s="18">
        <v>8</v>
      </c>
      <c r="L2059" s="18" t="s">
        <v>17</v>
      </c>
      <c r="M2059" s="20">
        <f t="shared" si="65"/>
        <v>24000</v>
      </c>
      <c r="N2059" s="20">
        <f>'Working Sheet'!$J2059*'Working Sheet'!$K2059</f>
        <v>240000</v>
      </c>
      <c r="O2059" s="21">
        <f>'Working Sheet'!$M2059*'Working Sheet'!$K2059</f>
        <v>192000</v>
      </c>
      <c r="P2059" s="20">
        <f>'Working Sheet'!$N2059-'Working Sheet'!$O2059</f>
        <v>48000</v>
      </c>
    </row>
    <row r="2060" spans="1:16" ht="14.25" customHeight="1" x14ac:dyDescent="0.25">
      <c r="A2060" s="23" t="str">
        <f t="shared" ca="1" si="64"/>
        <v>ID_1067</v>
      </c>
      <c r="B2060" s="22">
        <v>45689</v>
      </c>
      <c r="C2060" s="23" t="str">
        <f>TEXT('Working Sheet'!$B2060,"mmm")</f>
        <v>Feb</v>
      </c>
      <c r="D2060" s="23" t="s">
        <v>29</v>
      </c>
      <c r="E2060" s="23" t="s">
        <v>12</v>
      </c>
      <c r="F2060" s="23" t="s">
        <v>13</v>
      </c>
      <c r="G2060" s="23" t="s">
        <v>14</v>
      </c>
      <c r="H2060" s="23" t="s">
        <v>33</v>
      </c>
      <c r="I2060" s="23" t="s">
        <v>22</v>
      </c>
      <c r="J2060" s="24">
        <v>180000</v>
      </c>
      <c r="K2060" s="23">
        <v>6</v>
      </c>
      <c r="L2060" s="23" t="s">
        <v>17</v>
      </c>
      <c r="M2060" s="25">
        <f t="shared" si="65"/>
        <v>144000</v>
      </c>
      <c r="N2060" s="25">
        <f>'Working Sheet'!$J2060*'Working Sheet'!$K2060</f>
        <v>1080000</v>
      </c>
      <c r="O2060" s="26">
        <f>'Working Sheet'!$M2060*'Working Sheet'!$K2060</f>
        <v>864000</v>
      </c>
      <c r="P2060" s="25">
        <f>'Working Sheet'!$N2060-'Working Sheet'!$O2060</f>
        <v>216000</v>
      </c>
    </row>
    <row r="2061" spans="1:16" ht="14.25" customHeight="1" x14ac:dyDescent="0.25">
      <c r="A2061" s="18" t="str">
        <f t="shared" ca="1" si="64"/>
        <v>ID_1844</v>
      </c>
      <c r="B2061" s="17">
        <v>45775</v>
      </c>
      <c r="C2061" s="18" t="str">
        <f>TEXT('Working Sheet'!$B2061,"mmm")</f>
        <v>Apr</v>
      </c>
      <c r="D2061" s="18" t="s">
        <v>18</v>
      </c>
      <c r="E2061" s="18" t="s">
        <v>26</v>
      </c>
      <c r="F2061" s="18" t="s">
        <v>13</v>
      </c>
      <c r="G2061" s="18" t="s">
        <v>20</v>
      </c>
      <c r="H2061" s="18" t="s">
        <v>27</v>
      </c>
      <c r="I2061" s="18" t="s">
        <v>22</v>
      </c>
      <c r="J2061" s="19">
        <v>60000</v>
      </c>
      <c r="K2061" s="18">
        <v>1</v>
      </c>
      <c r="L2061" s="18" t="s">
        <v>28</v>
      </c>
      <c r="M2061" s="20">
        <f t="shared" si="65"/>
        <v>48000</v>
      </c>
      <c r="N2061" s="20">
        <f>'Working Sheet'!$J2061*'Working Sheet'!$K2061</f>
        <v>60000</v>
      </c>
      <c r="O2061" s="21">
        <f>'Working Sheet'!$M2061*'Working Sheet'!$K2061</f>
        <v>48000</v>
      </c>
      <c r="P2061" s="20">
        <f>'Working Sheet'!$N2061-'Working Sheet'!$O2061</f>
        <v>12000</v>
      </c>
    </row>
    <row r="2062" spans="1:16" ht="14.25" customHeight="1" x14ac:dyDescent="0.25">
      <c r="A2062" s="23" t="str">
        <f t="shared" ca="1" si="64"/>
        <v>ID_1117</v>
      </c>
      <c r="B2062" s="22">
        <v>45774</v>
      </c>
      <c r="C2062" s="23" t="str">
        <f>TEXT('Working Sheet'!$B2062,"mmm")</f>
        <v>Apr</v>
      </c>
      <c r="D2062" s="23" t="s">
        <v>18</v>
      </c>
      <c r="E2062" s="23" t="s">
        <v>26</v>
      </c>
      <c r="F2062" s="23" t="s">
        <v>13</v>
      </c>
      <c r="G2062" s="23" t="s">
        <v>14</v>
      </c>
      <c r="H2062" s="23" t="s">
        <v>36</v>
      </c>
      <c r="I2062" s="23" t="s">
        <v>31</v>
      </c>
      <c r="J2062" s="24">
        <v>150000</v>
      </c>
      <c r="K2062" s="23">
        <v>5</v>
      </c>
      <c r="L2062" s="23" t="s">
        <v>39</v>
      </c>
      <c r="M2062" s="25">
        <f t="shared" si="65"/>
        <v>120000</v>
      </c>
      <c r="N2062" s="25">
        <f>'Working Sheet'!$J2062*'Working Sheet'!$K2062</f>
        <v>750000</v>
      </c>
      <c r="O2062" s="26">
        <f>'Working Sheet'!$M2062*'Working Sheet'!$K2062</f>
        <v>600000</v>
      </c>
      <c r="P2062" s="25">
        <f>'Working Sheet'!$N2062-'Working Sheet'!$O2062</f>
        <v>150000</v>
      </c>
    </row>
    <row r="2063" spans="1:16" ht="14.25" customHeight="1" x14ac:dyDescent="0.25">
      <c r="A2063" s="18" t="str">
        <f t="shared" ca="1" si="64"/>
        <v>ID_716</v>
      </c>
      <c r="B2063" s="17">
        <v>45728</v>
      </c>
      <c r="C2063" s="18" t="str">
        <f>TEXT('Working Sheet'!$B2063,"mmm")</f>
        <v>Mar</v>
      </c>
      <c r="D2063" s="18" t="s">
        <v>29</v>
      </c>
      <c r="E2063" s="18" t="s">
        <v>19</v>
      </c>
      <c r="F2063" s="18" t="s">
        <v>23</v>
      </c>
      <c r="G2063" s="18" t="s">
        <v>20</v>
      </c>
      <c r="H2063" s="18" t="s">
        <v>15</v>
      </c>
      <c r="I2063" s="18" t="s">
        <v>16</v>
      </c>
      <c r="J2063" s="19">
        <v>85000</v>
      </c>
      <c r="K2063" s="18">
        <v>1</v>
      </c>
      <c r="L2063" s="18" t="s">
        <v>39</v>
      </c>
      <c r="M2063" s="20">
        <f t="shared" si="65"/>
        <v>68000</v>
      </c>
      <c r="N2063" s="20">
        <f>'Working Sheet'!$J2063*'Working Sheet'!$K2063</f>
        <v>85000</v>
      </c>
      <c r="O2063" s="21">
        <f>'Working Sheet'!$M2063*'Working Sheet'!$K2063</f>
        <v>68000</v>
      </c>
      <c r="P2063" s="20">
        <f>'Working Sheet'!$N2063-'Working Sheet'!$O2063</f>
        <v>17000</v>
      </c>
    </row>
    <row r="2064" spans="1:16" ht="14.25" customHeight="1" x14ac:dyDescent="0.25">
      <c r="A2064" s="23" t="str">
        <f t="shared" ca="1" si="64"/>
        <v>ID_988</v>
      </c>
      <c r="B2064" s="22">
        <v>45677</v>
      </c>
      <c r="C2064" s="23" t="str">
        <f>TEXT('Working Sheet'!$B2064,"mmm")</f>
        <v>Jan</v>
      </c>
      <c r="D2064" s="23" t="s">
        <v>25</v>
      </c>
      <c r="E2064" s="23" t="s">
        <v>19</v>
      </c>
      <c r="F2064" s="23" t="s">
        <v>23</v>
      </c>
      <c r="G2064" s="23" t="s">
        <v>20</v>
      </c>
      <c r="H2064" s="23" t="s">
        <v>36</v>
      </c>
      <c r="I2064" s="23" t="s">
        <v>31</v>
      </c>
      <c r="J2064" s="24">
        <v>150000</v>
      </c>
      <c r="K2064" s="23">
        <v>7</v>
      </c>
      <c r="L2064" s="23" t="s">
        <v>35</v>
      </c>
      <c r="M2064" s="25">
        <f t="shared" si="65"/>
        <v>120000</v>
      </c>
      <c r="N2064" s="25">
        <f>'Working Sheet'!$J2064*'Working Sheet'!$K2064</f>
        <v>1050000</v>
      </c>
      <c r="O2064" s="26">
        <f>'Working Sheet'!$M2064*'Working Sheet'!$K2064</f>
        <v>840000</v>
      </c>
      <c r="P2064" s="25">
        <f>'Working Sheet'!$N2064-'Working Sheet'!$O2064</f>
        <v>210000</v>
      </c>
    </row>
    <row r="2065" spans="1:16" ht="14.25" customHeight="1" x14ac:dyDescent="0.25">
      <c r="A2065" s="18" t="str">
        <f t="shared" ca="1" si="64"/>
        <v>ID_1022</v>
      </c>
      <c r="B2065" s="17">
        <v>45674</v>
      </c>
      <c r="C2065" s="18" t="str">
        <f>TEXT('Working Sheet'!$B2065,"mmm")</f>
        <v>Jan</v>
      </c>
      <c r="D2065" s="18" t="s">
        <v>29</v>
      </c>
      <c r="E2065" s="18" t="s">
        <v>26</v>
      </c>
      <c r="F2065" s="18" t="s">
        <v>23</v>
      </c>
      <c r="G2065" s="18" t="s">
        <v>20</v>
      </c>
      <c r="H2065" s="18" t="s">
        <v>33</v>
      </c>
      <c r="I2065" s="18" t="s">
        <v>22</v>
      </c>
      <c r="J2065" s="19">
        <v>180000</v>
      </c>
      <c r="K2065" s="18">
        <v>4</v>
      </c>
      <c r="L2065" s="18" t="s">
        <v>17</v>
      </c>
      <c r="M2065" s="20">
        <f t="shared" si="65"/>
        <v>144000</v>
      </c>
      <c r="N2065" s="20">
        <f>'Working Sheet'!$J2065*'Working Sheet'!$K2065</f>
        <v>720000</v>
      </c>
      <c r="O2065" s="21">
        <f>'Working Sheet'!$M2065*'Working Sheet'!$K2065</f>
        <v>576000</v>
      </c>
      <c r="P2065" s="20">
        <f>'Working Sheet'!$N2065-'Working Sheet'!$O2065</f>
        <v>144000</v>
      </c>
    </row>
    <row r="2066" spans="1:16" ht="14.25" customHeight="1" x14ac:dyDescent="0.25">
      <c r="A2066" s="23" t="str">
        <f t="shared" ca="1" si="64"/>
        <v>ID_322</v>
      </c>
      <c r="B2066" s="22">
        <v>45672</v>
      </c>
      <c r="C2066" s="23" t="str">
        <f>TEXT('Working Sheet'!$B2066,"mmm")</f>
        <v>Jan</v>
      </c>
      <c r="D2066" s="23" t="s">
        <v>29</v>
      </c>
      <c r="E2066" s="23" t="s">
        <v>26</v>
      </c>
      <c r="F2066" s="23" t="s">
        <v>23</v>
      </c>
      <c r="G2066" s="23" t="s">
        <v>20</v>
      </c>
      <c r="H2066" s="23" t="s">
        <v>15</v>
      </c>
      <c r="I2066" s="23" t="s">
        <v>16</v>
      </c>
      <c r="J2066" s="24">
        <v>85000</v>
      </c>
      <c r="K2066" s="23">
        <v>8</v>
      </c>
      <c r="L2066" s="23" t="s">
        <v>17</v>
      </c>
      <c r="M2066" s="25">
        <f t="shared" si="65"/>
        <v>68000</v>
      </c>
      <c r="N2066" s="25">
        <f>'Working Sheet'!$J2066*'Working Sheet'!$K2066</f>
        <v>680000</v>
      </c>
      <c r="O2066" s="26">
        <f>'Working Sheet'!$M2066*'Working Sheet'!$K2066</f>
        <v>544000</v>
      </c>
      <c r="P2066" s="25">
        <f>'Working Sheet'!$N2066-'Working Sheet'!$O2066</f>
        <v>136000</v>
      </c>
    </row>
    <row r="2067" spans="1:16" ht="14.25" customHeight="1" x14ac:dyDescent="0.25">
      <c r="A2067" s="18" t="str">
        <f t="shared" ca="1" si="64"/>
        <v>ID_1681</v>
      </c>
      <c r="B2067" s="17">
        <v>45741</v>
      </c>
      <c r="C2067" s="18" t="str">
        <f>TEXT('Working Sheet'!$B2067,"mmm")</f>
        <v>Mar</v>
      </c>
      <c r="D2067" s="18" t="s">
        <v>29</v>
      </c>
      <c r="E2067" s="18" t="s">
        <v>32</v>
      </c>
      <c r="F2067" s="18" t="s">
        <v>23</v>
      </c>
      <c r="G2067" s="18" t="s">
        <v>20</v>
      </c>
      <c r="H2067" s="18" t="s">
        <v>34</v>
      </c>
      <c r="I2067" s="18" t="s">
        <v>16</v>
      </c>
      <c r="J2067" s="19">
        <v>320000</v>
      </c>
      <c r="K2067" s="18">
        <v>4</v>
      </c>
      <c r="L2067" s="18" t="s">
        <v>24</v>
      </c>
      <c r="M2067" s="20">
        <f t="shared" si="65"/>
        <v>256000</v>
      </c>
      <c r="N2067" s="20">
        <f>'Working Sheet'!$J2067*'Working Sheet'!$K2067</f>
        <v>1280000</v>
      </c>
      <c r="O2067" s="21">
        <f>'Working Sheet'!$M2067*'Working Sheet'!$K2067</f>
        <v>1024000</v>
      </c>
      <c r="P2067" s="20">
        <f>'Working Sheet'!$N2067-'Working Sheet'!$O2067</f>
        <v>256000</v>
      </c>
    </row>
    <row r="2068" spans="1:16" ht="14.25" customHeight="1" x14ac:dyDescent="0.25">
      <c r="A2068" s="23" t="str">
        <f t="shared" ca="1" si="64"/>
        <v>ID_83</v>
      </c>
      <c r="B2068" s="22">
        <v>45746</v>
      </c>
      <c r="C2068" s="23" t="str">
        <f>TEXT('Working Sheet'!$B2068,"mmm")</f>
        <v>Mar</v>
      </c>
      <c r="D2068" s="23" t="s">
        <v>11</v>
      </c>
      <c r="E2068" s="23" t="s">
        <v>26</v>
      </c>
      <c r="F2068" s="23" t="s">
        <v>13</v>
      </c>
      <c r="G2068" s="23" t="s">
        <v>20</v>
      </c>
      <c r="H2068" s="23" t="s">
        <v>40</v>
      </c>
      <c r="I2068" s="23" t="s">
        <v>31</v>
      </c>
      <c r="J2068" s="24">
        <v>250000</v>
      </c>
      <c r="K2068" s="23">
        <v>6</v>
      </c>
      <c r="L2068" s="23" t="s">
        <v>35</v>
      </c>
      <c r="M2068" s="25">
        <f t="shared" si="65"/>
        <v>200000</v>
      </c>
      <c r="N2068" s="25">
        <f>'Working Sheet'!$J2068*'Working Sheet'!$K2068</f>
        <v>1500000</v>
      </c>
      <c r="O2068" s="26">
        <f>'Working Sheet'!$M2068*'Working Sheet'!$K2068</f>
        <v>1200000</v>
      </c>
      <c r="P2068" s="25">
        <f>'Working Sheet'!$N2068-'Working Sheet'!$O2068</f>
        <v>300000</v>
      </c>
    </row>
    <row r="2069" spans="1:16" ht="14.25" customHeight="1" x14ac:dyDescent="0.25">
      <c r="A2069" s="18" t="str">
        <f t="shared" ca="1" si="64"/>
        <v>ID_536</v>
      </c>
      <c r="B2069" s="17">
        <v>45736</v>
      </c>
      <c r="C2069" s="18" t="str">
        <f>TEXT('Working Sheet'!$B2069,"mmm")</f>
        <v>Mar</v>
      </c>
      <c r="D2069" s="18" t="s">
        <v>11</v>
      </c>
      <c r="E2069" s="18" t="s">
        <v>26</v>
      </c>
      <c r="F2069" s="18" t="s">
        <v>13</v>
      </c>
      <c r="G2069" s="18" t="s">
        <v>20</v>
      </c>
      <c r="H2069" s="18" t="s">
        <v>41</v>
      </c>
      <c r="I2069" s="18" t="s">
        <v>22</v>
      </c>
      <c r="J2069" s="19">
        <v>220000</v>
      </c>
      <c r="K2069" s="18">
        <v>5</v>
      </c>
      <c r="L2069" s="18" t="s">
        <v>28</v>
      </c>
      <c r="M2069" s="20">
        <f t="shared" si="65"/>
        <v>176000</v>
      </c>
      <c r="N2069" s="20">
        <f>'Working Sheet'!$J2069*'Working Sheet'!$K2069</f>
        <v>1100000</v>
      </c>
      <c r="O2069" s="21">
        <f>'Working Sheet'!$M2069*'Working Sheet'!$K2069</f>
        <v>880000</v>
      </c>
      <c r="P2069" s="20">
        <f>'Working Sheet'!$N2069-'Working Sheet'!$O2069</f>
        <v>220000</v>
      </c>
    </row>
    <row r="2070" spans="1:16" ht="14.25" customHeight="1" x14ac:dyDescent="0.25">
      <c r="A2070" s="23" t="str">
        <f t="shared" ca="1" si="64"/>
        <v>ID_482</v>
      </c>
      <c r="B2070" s="22">
        <v>45706</v>
      </c>
      <c r="C2070" s="23" t="str">
        <f>TEXT('Working Sheet'!$B2070,"mmm")</f>
        <v>Feb</v>
      </c>
      <c r="D2070" s="23" t="s">
        <v>25</v>
      </c>
      <c r="E2070" s="23" t="s">
        <v>19</v>
      </c>
      <c r="F2070" s="23" t="s">
        <v>23</v>
      </c>
      <c r="G2070" s="23" t="s">
        <v>20</v>
      </c>
      <c r="H2070" s="23" t="s">
        <v>30</v>
      </c>
      <c r="I2070" s="23" t="s">
        <v>31</v>
      </c>
      <c r="J2070" s="24">
        <v>300000</v>
      </c>
      <c r="K2070" s="23">
        <v>8</v>
      </c>
      <c r="L2070" s="23" t="s">
        <v>37</v>
      </c>
      <c r="M2070" s="25">
        <f t="shared" si="65"/>
        <v>240000</v>
      </c>
      <c r="N2070" s="25">
        <f>'Working Sheet'!$J2070*'Working Sheet'!$K2070</f>
        <v>2400000</v>
      </c>
      <c r="O2070" s="26">
        <f>'Working Sheet'!$M2070*'Working Sheet'!$K2070</f>
        <v>1920000</v>
      </c>
      <c r="P2070" s="25">
        <f>'Working Sheet'!$N2070-'Working Sheet'!$O2070</f>
        <v>480000</v>
      </c>
    </row>
    <row r="2071" spans="1:16" ht="14.25" customHeight="1" x14ac:dyDescent="0.25">
      <c r="A2071" s="18" t="str">
        <f t="shared" ca="1" si="64"/>
        <v>ID_729</v>
      </c>
      <c r="B2071" s="17">
        <v>45744</v>
      </c>
      <c r="C2071" s="18" t="str">
        <f>TEXT('Working Sheet'!$B2071,"mmm")</f>
        <v>Mar</v>
      </c>
      <c r="D2071" s="18" t="s">
        <v>25</v>
      </c>
      <c r="E2071" s="18" t="s">
        <v>32</v>
      </c>
      <c r="F2071" s="18" t="s">
        <v>13</v>
      </c>
      <c r="G2071" s="18" t="s">
        <v>20</v>
      </c>
      <c r="H2071" s="18" t="s">
        <v>27</v>
      </c>
      <c r="I2071" s="18" t="s">
        <v>22</v>
      </c>
      <c r="J2071" s="19">
        <v>60000</v>
      </c>
      <c r="K2071" s="18">
        <v>10</v>
      </c>
      <c r="L2071" s="18" t="s">
        <v>28</v>
      </c>
      <c r="M2071" s="20">
        <f t="shared" si="65"/>
        <v>48000</v>
      </c>
      <c r="N2071" s="20">
        <f>'Working Sheet'!$J2071*'Working Sheet'!$K2071</f>
        <v>600000</v>
      </c>
      <c r="O2071" s="21">
        <f>'Working Sheet'!$M2071*'Working Sheet'!$K2071</f>
        <v>480000</v>
      </c>
      <c r="P2071" s="20">
        <f>'Working Sheet'!$N2071-'Working Sheet'!$O2071</f>
        <v>120000</v>
      </c>
    </row>
    <row r="2072" spans="1:16" ht="14.25" customHeight="1" x14ac:dyDescent="0.25">
      <c r="A2072" s="23" t="str">
        <f t="shared" ca="1" si="64"/>
        <v>ID_1137</v>
      </c>
      <c r="B2072" s="22">
        <v>45663</v>
      </c>
      <c r="C2072" s="23" t="str">
        <f>TEXT('Working Sheet'!$B2072,"mmm")</f>
        <v>Jan</v>
      </c>
      <c r="D2072" s="23" t="s">
        <v>25</v>
      </c>
      <c r="E2072" s="23" t="s">
        <v>19</v>
      </c>
      <c r="F2072" s="23" t="s">
        <v>13</v>
      </c>
      <c r="G2072" s="23" t="s">
        <v>20</v>
      </c>
      <c r="H2072" s="23" t="s">
        <v>33</v>
      </c>
      <c r="I2072" s="23" t="s">
        <v>22</v>
      </c>
      <c r="J2072" s="24">
        <v>180000</v>
      </c>
      <c r="K2072" s="23">
        <v>6</v>
      </c>
      <c r="L2072" s="23" t="s">
        <v>39</v>
      </c>
      <c r="M2072" s="25">
        <f t="shared" si="65"/>
        <v>144000</v>
      </c>
      <c r="N2072" s="25">
        <f>'Working Sheet'!$J2072*'Working Sheet'!$K2072</f>
        <v>1080000</v>
      </c>
      <c r="O2072" s="26">
        <f>'Working Sheet'!$M2072*'Working Sheet'!$K2072</f>
        <v>864000</v>
      </c>
      <c r="P2072" s="25">
        <f>'Working Sheet'!$N2072-'Working Sheet'!$O2072</f>
        <v>216000</v>
      </c>
    </row>
    <row r="2073" spans="1:16" ht="14.25" customHeight="1" x14ac:dyDescent="0.25">
      <c r="A2073" s="18" t="str">
        <f t="shared" ca="1" si="64"/>
        <v>ID_1189</v>
      </c>
      <c r="B2073" s="17">
        <v>45767</v>
      </c>
      <c r="C2073" s="18" t="str">
        <f>TEXT('Working Sheet'!$B2073,"mmm")</f>
        <v>Apr</v>
      </c>
      <c r="D2073" s="18" t="s">
        <v>25</v>
      </c>
      <c r="E2073" s="18" t="s">
        <v>26</v>
      </c>
      <c r="F2073" s="18" t="s">
        <v>23</v>
      </c>
      <c r="G2073" s="18" t="s">
        <v>20</v>
      </c>
      <c r="H2073" s="18" t="s">
        <v>27</v>
      </c>
      <c r="I2073" s="18" t="s">
        <v>22</v>
      </c>
      <c r="J2073" s="19">
        <v>60000</v>
      </c>
      <c r="K2073" s="18">
        <v>3</v>
      </c>
      <c r="L2073" s="18" t="s">
        <v>37</v>
      </c>
      <c r="M2073" s="20">
        <f t="shared" si="65"/>
        <v>48000</v>
      </c>
      <c r="N2073" s="20">
        <f>'Working Sheet'!$J2073*'Working Sheet'!$K2073</f>
        <v>180000</v>
      </c>
      <c r="O2073" s="21">
        <f>'Working Sheet'!$M2073*'Working Sheet'!$K2073</f>
        <v>144000</v>
      </c>
      <c r="P2073" s="20">
        <f>'Working Sheet'!$N2073-'Working Sheet'!$O2073</f>
        <v>36000</v>
      </c>
    </row>
    <row r="2074" spans="1:16" ht="14.25" customHeight="1" x14ac:dyDescent="0.25">
      <c r="A2074" s="23" t="str">
        <f t="shared" ca="1" si="64"/>
        <v>ID_906</v>
      </c>
      <c r="B2074" s="22">
        <v>45686</v>
      </c>
      <c r="C2074" s="23" t="str">
        <f>TEXT('Working Sheet'!$B2074,"mmm")</f>
        <v>Jan</v>
      </c>
      <c r="D2074" s="23" t="s">
        <v>25</v>
      </c>
      <c r="E2074" s="23" t="s">
        <v>26</v>
      </c>
      <c r="F2074" s="23" t="s">
        <v>13</v>
      </c>
      <c r="G2074" s="23" t="s">
        <v>20</v>
      </c>
      <c r="H2074" s="23" t="s">
        <v>21</v>
      </c>
      <c r="I2074" s="23" t="s">
        <v>22</v>
      </c>
      <c r="J2074" s="24">
        <v>30000</v>
      </c>
      <c r="K2074" s="23">
        <v>4</v>
      </c>
      <c r="L2074" s="23" t="s">
        <v>24</v>
      </c>
      <c r="M2074" s="25">
        <f t="shared" si="65"/>
        <v>24000</v>
      </c>
      <c r="N2074" s="25">
        <f>'Working Sheet'!$J2074*'Working Sheet'!$K2074</f>
        <v>120000</v>
      </c>
      <c r="O2074" s="26">
        <f>'Working Sheet'!$M2074*'Working Sheet'!$K2074</f>
        <v>96000</v>
      </c>
      <c r="P2074" s="25">
        <f>'Working Sheet'!$N2074-'Working Sheet'!$O2074</f>
        <v>24000</v>
      </c>
    </row>
    <row r="2075" spans="1:16" ht="14.25" customHeight="1" x14ac:dyDescent="0.25">
      <c r="A2075" s="18" t="str">
        <f t="shared" ca="1" si="64"/>
        <v>ID_884</v>
      </c>
      <c r="B2075" s="17">
        <v>45755</v>
      </c>
      <c r="C2075" s="18" t="str">
        <f>TEXT('Working Sheet'!$B2075,"mmm")</f>
        <v>Apr</v>
      </c>
      <c r="D2075" s="18" t="s">
        <v>18</v>
      </c>
      <c r="E2075" s="18" t="s">
        <v>12</v>
      </c>
      <c r="F2075" s="18" t="s">
        <v>23</v>
      </c>
      <c r="G2075" s="18" t="s">
        <v>20</v>
      </c>
      <c r="H2075" s="18" t="s">
        <v>27</v>
      </c>
      <c r="I2075" s="18" t="s">
        <v>22</v>
      </c>
      <c r="J2075" s="19">
        <v>60000</v>
      </c>
      <c r="K2075" s="18">
        <v>4</v>
      </c>
      <c r="L2075" s="18" t="s">
        <v>37</v>
      </c>
      <c r="M2075" s="20">
        <f t="shared" si="65"/>
        <v>48000</v>
      </c>
      <c r="N2075" s="20">
        <f>'Working Sheet'!$J2075*'Working Sheet'!$K2075</f>
        <v>240000</v>
      </c>
      <c r="O2075" s="21">
        <f>'Working Sheet'!$M2075*'Working Sheet'!$K2075</f>
        <v>192000</v>
      </c>
      <c r="P2075" s="20">
        <f>'Working Sheet'!$N2075-'Working Sheet'!$O2075</f>
        <v>48000</v>
      </c>
    </row>
    <row r="2076" spans="1:16" ht="14.25" customHeight="1" x14ac:dyDescent="0.25">
      <c r="A2076" s="23" t="str">
        <f t="shared" ca="1" si="64"/>
        <v>ID_1194</v>
      </c>
      <c r="B2076" s="22">
        <v>45718</v>
      </c>
      <c r="C2076" s="23" t="str">
        <f>TEXT('Working Sheet'!$B2076,"mmm")</f>
        <v>Mar</v>
      </c>
      <c r="D2076" s="23" t="s">
        <v>11</v>
      </c>
      <c r="E2076" s="23" t="s">
        <v>26</v>
      </c>
      <c r="F2076" s="23" t="s">
        <v>23</v>
      </c>
      <c r="G2076" s="23" t="s">
        <v>20</v>
      </c>
      <c r="H2076" s="23" t="s">
        <v>33</v>
      </c>
      <c r="I2076" s="23" t="s">
        <v>22</v>
      </c>
      <c r="J2076" s="24">
        <v>180000</v>
      </c>
      <c r="K2076" s="23">
        <v>5</v>
      </c>
      <c r="L2076" s="23" t="s">
        <v>28</v>
      </c>
      <c r="M2076" s="25">
        <f t="shared" si="65"/>
        <v>144000</v>
      </c>
      <c r="N2076" s="25">
        <f>'Working Sheet'!$J2076*'Working Sheet'!$K2076</f>
        <v>900000</v>
      </c>
      <c r="O2076" s="26">
        <f>'Working Sheet'!$M2076*'Working Sheet'!$K2076</f>
        <v>720000</v>
      </c>
      <c r="P2076" s="25">
        <f>'Working Sheet'!$N2076-'Working Sheet'!$O2076</f>
        <v>180000</v>
      </c>
    </row>
    <row r="2077" spans="1:16" ht="14.25" customHeight="1" x14ac:dyDescent="0.25">
      <c r="A2077" s="18" t="str">
        <f t="shared" ca="1" si="64"/>
        <v>ID_374</v>
      </c>
      <c r="B2077" s="17">
        <v>45684</v>
      </c>
      <c r="C2077" s="18" t="str">
        <f>TEXT('Working Sheet'!$B2077,"mmm")</f>
        <v>Jan</v>
      </c>
      <c r="D2077" s="18" t="s">
        <v>29</v>
      </c>
      <c r="E2077" s="18" t="s">
        <v>12</v>
      </c>
      <c r="F2077" s="18" t="s">
        <v>13</v>
      </c>
      <c r="G2077" s="18" t="s">
        <v>20</v>
      </c>
      <c r="H2077" s="18" t="s">
        <v>15</v>
      </c>
      <c r="I2077" s="18" t="s">
        <v>16</v>
      </c>
      <c r="J2077" s="19">
        <v>85000</v>
      </c>
      <c r="K2077" s="18">
        <v>9</v>
      </c>
      <c r="L2077" s="18" t="s">
        <v>24</v>
      </c>
      <c r="M2077" s="20">
        <f t="shared" si="65"/>
        <v>68000</v>
      </c>
      <c r="N2077" s="20">
        <f>'Working Sheet'!$J2077*'Working Sheet'!$K2077</f>
        <v>765000</v>
      </c>
      <c r="O2077" s="21">
        <f>'Working Sheet'!$M2077*'Working Sheet'!$K2077</f>
        <v>612000</v>
      </c>
      <c r="P2077" s="20">
        <f>'Working Sheet'!$N2077-'Working Sheet'!$O2077</f>
        <v>153000</v>
      </c>
    </row>
    <row r="2078" spans="1:16" ht="14.25" customHeight="1" x14ac:dyDescent="0.25">
      <c r="A2078" s="23" t="str">
        <f t="shared" ca="1" si="64"/>
        <v>ID_1074</v>
      </c>
      <c r="B2078" s="22">
        <v>45746</v>
      </c>
      <c r="C2078" s="23" t="str">
        <f>TEXT('Working Sheet'!$B2078,"mmm")</f>
        <v>Mar</v>
      </c>
      <c r="D2078" s="23" t="s">
        <v>11</v>
      </c>
      <c r="E2078" s="23" t="s">
        <v>32</v>
      </c>
      <c r="F2078" s="23" t="s">
        <v>13</v>
      </c>
      <c r="G2078" s="23" t="s">
        <v>20</v>
      </c>
      <c r="H2078" s="23" t="s">
        <v>15</v>
      </c>
      <c r="I2078" s="23" t="s">
        <v>16</v>
      </c>
      <c r="J2078" s="24">
        <v>85000</v>
      </c>
      <c r="K2078" s="23">
        <v>9</v>
      </c>
      <c r="L2078" s="23" t="s">
        <v>37</v>
      </c>
      <c r="M2078" s="25">
        <f t="shared" si="65"/>
        <v>68000</v>
      </c>
      <c r="N2078" s="25">
        <f>'Working Sheet'!$J2078*'Working Sheet'!$K2078</f>
        <v>765000</v>
      </c>
      <c r="O2078" s="26">
        <f>'Working Sheet'!$M2078*'Working Sheet'!$K2078</f>
        <v>612000</v>
      </c>
      <c r="P2078" s="25">
        <f>'Working Sheet'!$N2078-'Working Sheet'!$O2078</f>
        <v>153000</v>
      </c>
    </row>
    <row r="2079" spans="1:16" ht="14.25" customHeight="1" x14ac:dyDescent="0.25">
      <c r="A2079" s="18" t="str">
        <f t="shared" ca="1" si="64"/>
        <v>ID_552</v>
      </c>
      <c r="B2079" s="17">
        <v>45688</v>
      </c>
      <c r="C2079" s="18" t="str">
        <f>TEXT('Working Sheet'!$B2079,"mmm")</f>
        <v>Jan</v>
      </c>
      <c r="D2079" s="18" t="s">
        <v>29</v>
      </c>
      <c r="E2079" s="18" t="s">
        <v>12</v>
      </c>
      <c r="F2079" s="18" t="s">
        <v>23</v>
      </c>
      <c r="G2079" s="18" t="s">
        <v>20</v>
      </c>
      <c r="H2079" s="18" t="s">
        <v>33</v>
      </c>
      <c r="I2079" s="18" t="s">
        <v>22</v>
      </c>
      <c r="J2079" s="19">
        <v>180000</v>
      </c>
      <c r="K2079" s="18">
        <v>8</v>
      </c>
      <c r="L2079" s="18" t="s">
        <v>39</v>
      </c>
      <c r="M2079" s="20">
        <f t="shared" si="65"/>
        <v>144000</v>
      </c>
      <c r="N2079" s="20">
        <f>'Working Sheet'!$J2079*'Working Sheet'!$K2079</f>
        <v>1440000</v>
      </c>
      <c r="O2079" s="21">
        <f>'Working Sheet'!$M2079*'Working Sheet'!$K2079</f>
        <v>1152000</v>
      </c>
      <c r="P2079" s="20">
        <f>'Working Sheet'!$N2079-'Working Sheet'!$O2079</f>
        <v>288000</v>
      </c>
    </row>
    <row r="2080" spans="1:16" ht="14.25" customHeight="1" x14ac:dyDescent="0.25">
      <c r="A2080" s="23" t="str">
        <f t="shared" ca="1" si="64"/>
        <v>ID_1668</v>
      </c>
      <c r="B2080" s="22">
        <v>45667</v>
      </c>
      <c r="C2080" s="23" t="str">
        <f>TEXT('Working Sheet'!$B2080,"mmm")</f>
        <v>Jan</v>
      </c>
      <c r="D2080" s="23" t="s">
        <v>29</v>
      </c>
      <c r="E2080" s="23" t="s">
        <v>19</v>
      </c>
      <c r="F2080" s="23" t="s">
        <v>23</v>
      </c>
      <c r="G2080" s="23" t="s">
        <v>20</v>
      </c>
      <c r="H2080" s="23" t="s">
        <v>36</v>
      </c>
      <c r="I2080" s="23" t="s">
        <v>31</v>
      </c>
      <c r="J2080" s="24">
        <v>150000</v>
      </c>
      <c r="K2080" s="23">
        <v>2</v>
      </c>
      <c r="L2080" s="23" t="s">
        <v>39</v>
      </c>
      <c r="M2080" s="25">
        <f t="shared" si="65"/>
        <v>120000</v>
      </c>
      <c r="N2080" s="25">
        <f>'Working Sheet'!$J2080*'Working Sheet'!$K2080</f>
        <v>300000</v>
      </c>
      <c r="O2080" s="26">
        <f>'Working Sheet'!$M2080*'Working Sheet'!$K2080</f>
        <v>240000</v>
      </c>
      <c r="P2080" s="25">
        <f>'Working Sheet'!$N2080-'Working Sheet'!$O2080</f>
        <v>60000</v>
      </c>
    </row>
    <row r="2081" spans="1:16" ht="14.25" customHeight="1" x14ac:dyDescent="0.25">
      <c r="A2081" s="18" t="str">
        <f t="shared" ca="1" si="64"/>
        <v>ID_816</v>
      </c>
      <c r="B2081" s="17">
        <v>45663</v>
      </c>
      <c r="C2081" s="18" t="str">
        <f>TEXT('Working Sheet'!$B2081,"mmm")</f>
        <v>Jan</v>
      </c>
      <c r="D2081" s="18" t="s">
        <v>18</v>
      </c>
      <c r="E2081" s="18" t="s">
        <v>26</v>
      </c>
      <c r="F2081" s="18" t="s">
        <v>23</v>
      </c>
      <c r="G2081" s="18" t="s">
        <v>20</v>
      </c>
      <c r="H2081" s="18" t="s">
        <v>21</v>
      </c>
      <c r="I2081" s="18" t="s">
        <v>22</v>
      </c>
      <c r="J2081" s="19">
        <v>30000</v>
      </c>
      <c r="K2081" s="18">
        <v>3</v>
      </c>
      <c r="L2081" s="18" t="s">
        <v>17</v>
      </c>
      <c r="M2081" s="20">
        <f t="shared" si="65"/>
        <v>24000</v>
      </c>
      <c r="N2081" s="20">
        <f>'Working Sheet'!$J2081*'Working Sheet'!$K2081</f>
        <v>90000</v>
      </c>
      <c r="O2081" s="21">
        <f>'Working Sheet'!$M2081*'Working Sheet'!$K2081</f>
        <v>72000</v>
      </c>
      <c r="P2081" s="20">
        <f>'Working Sheet'!$N2081-'Working Sheet'!$O2081</f>
        <v>18000</v>
      </c>
    </row>
    <row r="2082" spans="1:16" ht="14.25" customHeight="1" x14ac:dyDescent="0.25">
      <c r="A2082" s="23" t="str">
        <f t="shared" ca="1" si="64"/>
        <v>ID_955</v>
      </c>
      <c r="B2082" s="22">
        <v>45746</v>
      </c>
      <c r="C2082" s="23" t="str">
        <f>TEXT('Working Sheet'!$B2082,"mmm")</f>
        <v>Mar</v>
      </c>
      <c r="D2082" s="23" t="s">
        <v>29</v>
      </c>
      <c r="E2082" s="23" t="s">
        <v>12</v>
      </c>
      <c r="F2082" s="23" t="s">
        <v>23</v>
      </c>
      <c r="G2082" s="23" t="s">
        <v>20</v>
      </c>
      <c r="H2082" s="23" t="s">
        <v>21</v>
      </c>
      <c r="I2082" s="23" t="s">
        <v>22</v>
      </c>
      <c r="J2082" s="24">
        <v>30000</v>
      </c>
      <c r="K2082" s="23">
        <v>5</v>
      </c>
      <c r="L2082" s="23" t="s">
        <v>24</v>
      </c>
      <c r="M2082" s="25">
        <f t="shared" si="65"/>
        <v>24000</v>
      </c>
      <c r="N2082" s="25">
        <f>'Working Sheet'!$J2082*'Working Sheet'!$K2082</f>
        <v>150000</v>
      </c>
      <c r="O2082" s="26">
        <f>'Working Sheet'!$M2082*'Working Sheet'!$K2082</f>
        <v>120000</v>
      </c>
      <c r="P2082" s="25">
        <f>'Working Sheet'!$N2082-'Working Sheet'!$O2082</f>
        <v>30000</v>
      </c>
    </row>
    <row r="2083" spans="1:16" ht="14.25" customHeight="1" x14ac:dyDescent="0.25">
      <c r="A2083" s="18" t="str">
        <f t="shared" ca="1" si="64"/>
        <v>ID_579</v>
      </c>
      <c r="B2083" s="17">
        <v>45772</v>
      </c>
      <c r="C2083" s="18" t="str">
        <f>TEXT('Working Sheet'!$B2083,"mmm")</f>
        <v>Apr</v>
      </c>
      <c r="D2083" s="18" t="s">
        <v>18</v>
      </c>
      <c r="E2083" s="18" t="s">
        <v>19</v>
      </c>
      <c r="F2083" s="18" t="s">
        <v>23</v>
      </c>
      <c r="G2083" s="18" t="s">
        <v>20</v>
      </c>
      <c r="H2083" s="18" t="s">
        <v>21</v>
      </c>
      <c r="I2083" s="18" t="s">
        <v>22</v>
      </c>
      <c r="J2083" s="19">
        <v>30000</v>
      </c>
      <c r="K2083" s="18">
        <v>7</v>
      </c>
      <c r="L2083" s="18" t="s">
        <v>39</v>
      </c>
      <c r="M2083" s="20">
        <f t="shared" si="65"/>
        <v>24000</v>
      </c>
      <c r="N2083" s="20">
        <f>'Working Sheet'!$J2083*'Working Sheet'!$K2083</f>
        <v>210000</v>
      </c>
      <c r="O2083" s="21">
        <f>'Working Sheet'!$M2083*'Working Sheet'!$K2083</f>
        <v>168000</v>
      </c>
      <c r="P2083" s="20">
        <f>'Working Sheet'!$N2083-'Working Sheet'!$O2083</f>
        <v>42000</v>
      </c>
    </row>
    <row r="2084" spans="1:16" ht="14.25" customHeight="1" x14ac:dyDescent="0.25">
      <c r="A2084" s="23" t="str">
        <f t="shared" ca="1" si="64"/>
        <v>ID_108</v>
      </c>
      <c r="B2084" s="22">
        <v>45755</v>
      </c>
      <c r="C2084" s="23" t="str">
        <f>TEXT('Working Sheet'!$B2084,"mmm")</f>
        <v>Apr</v>
      </c>
      <c r="D2084" s="23" t="s">
        <v>18</v>
      </c>
      <c r="E2084" s="23" t="s">
        <v>12</v>
      </c>
      <c r="F2084" s="23" t="s">
        <v>13</v>
      </c>
      <c r="G2084" s="23" t="s">
        <v>20</v>
      </c>
      <c r="H2084" s="23" t="s">
        <v>33</v>
      </c>
      <c r="I2084" s="23" t="s">
        <v>22</v>
      </c>
      <c r="J2084" s="24">
        <v>180000</v>
      </c>
      <c r="K2084" s="23">
        <v>4</v>
      </c>
      <c r="L2084" s="23" t="s">
        <v>17</v>
      </c>
      <c r="M2084" s="25">
        <f t="shared" si="65"/>
        <v>144000</v>
      </c>
      <c r="N2084" s="25">
        <f>'Working Sheet'!$J2084*'Working Sheet'!$K2084</f>
        <v>720000</v>
      </c>
      <c r="O2084" s="26">
        <f>'Working Sheet'!$M2084*'Working Sheet'!$K2084</f>
        <v>576000</v>
      </c>
      <c r="P2084" s="25">
        <f>'Working Sheet'!$N2084-'Working Sheet'!$O2084</f>
        <v>144000</v>
      </c>
    </row>
    <row r="2085" spans="1:16" ht="14.25" customHeight="1" x14ac:dyDescent="0.25">
      <c r="A2085" s="18" t="str">
        <f t="shared" ca="1" si="64"/>
        <v>ID_538</v>
      </c>
      <c r="B2085" s="17">
        <v>45695</v>
      </c>
      <c r="C2085" s="18" t="str">
        <f>TEXT('Working Sheet'!$B2085,"mmm")</f>
        <v>Feb</v>
      </c>
      <c r="D2085" s="18" t="s">
        <v>18</v>
      </c>
      <c r="E2085" s="18" t="s">
        <v>12</v>
      </c>
      <c r="F2085" s="18" t="s">
        <v>23</v>
      </c>
      <c r="G2085" s="18" t="s">
        <v>20</v>
      </c>
      <c r="H2085" s="18" t="s">
        <v>33</v>
      </c>
      <c r="I2085" s="18" t="s">
        <v>22</v>
      </c>
      <c r="J2085" s="19">
        <v>180000</v>
      </c>
      <c r="K2085" s="18">
        <v>1</v>
      </c>
      <c r="L2085" s="18" t="s">
        <v>35</v>
      </c>
      <c r="M2085" s="20">
        <f t="shared" si="65"/>
        <v>144000</v>
      </c>
      <c r="N2085" s="20">
        <f>'Working Sheet'!$J2085*'Working Sheet'!$K2085</f>
        <v>180000</v>
      </c>
      <c r="O2085" s="21">
        <f>'Working Sheet'!$M2085*'Working Sheet'!$K2085</f>
        <v>144000</v>
      </c>
      <c r="P2085" s="20">
        <f>'Working Sheet'!$N2085-'Working Sheet'!$O2085</f>
        <v>36000</v>
      </c>
    </row>
    <row r="2086" spans="1:16" ht="14.25" customHeight="1" x14ac:dyDescent="0.25">
      <c r="A2086" s="23" t="str">
        <f t="shared" ca="1" si="64"/>
        <v>ID_2089</v>
      </c>
      <c r="B2086" s="22">
        <v>45737</v>
      </c>
      <c r="C2086" s="23" t="str">
        <f>TEXT('Working Sheet'!$B2086,"mmm")</f>
        <v>Mar</v>
      </c>
      <c r="D2086" s="23" t="s">
        <v>25</v>
      </c>
      <c r="E2086" s="23" t="s">
        <v>19</v>
      </c>
      <c r="F2086" s="23" t="s">
        <v>13</v>
      </c>
      <c r="G2086" s="23" t="s">
        <v>20</v>
      </c>
      <c r="H2086" s="23" t="s">
        <v>27</v>
      </c>
      <c r="I2086" s="23" t="s">
        <v>22</v>
      </c>
      <c r="J2086" s="24">
        <v>60000</v>
      </c>
      <c r="K2086" s="23">
        <v>10</v>
      </c>
      <c r="L2086" s="23" t="s">
        <v>37</v>
      </c>
      <c r="M2086" s="25">
        <f t="shared" si="65"/>
        <v>48000</v>
      </c>
      <c r="N2086" s="25">
        <f>'Working Sheet'!$J2086*'Working Sheet'!$K2086</f>
        <v>600000</v>
      </c>
      <c r="O2086" s="26">
        <f>'Working Sheet'!$M2086*'Working Sheet'!$K2086</f>
        <v>480000</v>
      </c>
      <c r="P2086" s="25">
        <f>'Working Sheet'!$N2086-'Working Sheet'!$O2086</f>
        <v>120000</v>
      </c>
    </row>
    <row r="2087" spans="1:16" ht="14.25" customHeight="1" x14ac:dyDescent="0.25">
      <c r="A2087" s="18" t="str">
        <f t="shared" ca="1" si="64"/>
        <v>ID_1921</v>
      </c>
      <c r="B2087" s="17">
        <v>45719</v>
      </c>
      <c r="C2087" s="18" t="str">
        <f>TEXT('Working Sheet'!$B2087,"mmm")</f>
        <v>Mar</v>
      </c>
      <c r="D2087" s="18" t="s">
        <v>29</v>
      </c>
      <c r="E2087" s="18" t="s">
        <v>19</v>
      </c>
      <c r="F2087" s="18" t="s">
        <v>13</v>
      </c>
      <c r="G2087" s="18" t="s">
        <v>20</v>
      </c>
      <c r="H2087" s="18" t="s">
        <v>40</v>
      </c>
      <c r="I2087" s="18" t="s">
        <v>31</v>
      </c>
      <c r="J2087" s="19">
        <v>250000</v>
      </c>
      <c r="K2087" s="18">
        <v>8</v>
      </c>
      <c r="L2087" s="18" t="s">
        <v>28</v>
      </c>
      <c r="M2087" s="20">
        <f t="shared" si="65"/>
        <v>200000</v>
      </c>
      <c r="N2087" s="20">
        <f>'Working Sheet'!$J2087*'Working Sheet'!$K2087</f>
        <v>2000000</v>
      </c>
      <c r="O2087" s="21">
        <f>'Working Sheet'!$M2087*'Working Sheet'!$K2087</f>
        <v>1600000</v>
      </c>
      <c r="P2087" s="20">
        <f>'Working Sheet'!$N2087-'Working Sheet'!$O2087</f>
        <v>400000</v>
      </c>
    </row>
    <row r="2088" spans="1:16" ht="14.25" customHeight="1" x14ac:dyDescent="0.25">
      <c r="A2088" s="23" t="str">
        <f t="shared" ca="1" si="64"/>
        <v>ID_1508</v>
      </c>
      <c r="B2088" s="22">
        <v>45673</v>
      </c>
      <c r="C2088" s="23" t="str">
        <f>TEXT('Working Sheet'!$B2088,"mmm")</f>
        <v>Jan</v>
      </c>
      <c r="D2088" s="23" t="s">
        <v>29</v>
      </c>
      <c r="E2088" s="23" t="s">
        <v>26</v>
      </c>
      <c r="F2088" s="23" t="s">
        <v>13</v>
      </c>
      <c r="G2088" s="23" t="s">
        <v>20</v>
      </c>
      <c r="H2088" s="23" t="s">
        <v>21</v>
      </c>
      <c r="I2088" s="23" t="s">
        <v>22</v>
      </c>
      <c r="J2088" s="24">
        <v>30000</v>
      </c>
      <c r="K2088" s="23">
        <v>8</v>
      </c>
      <c r="L2088" s="23" t="s">
        <v>37</v>
      </c>
      <c r="M2088" s="25">
        <f t="shared" si="65"/>
        <v>24000</v>
      </c>
      <c r="N2088" s="25">
        <f>'Working Sheet'!$J2088*'Working Sheet'!$K2088</f>
        <v>240000</v>
      </c>
      <c r="O2088" s="26">
        <f>'Working Sheet'!$M2088*'Working Sheet'!$K2088</f>
        <v>192000</v>
      </c>
      <c r="P2088" s="25">
        <f>'Working Sheet'!$N2088-'Working Sheet'!$O2088</f>
        <v>48000</v>
      </c>
    </row>
    <row r="2089" spans="1:16" ht="14.25" customHeight="1" x14ac:dyDescent="0.25">
      <c r="A2089" s="18" t="str">
        <f t="shared" ca="1" si="64"/>
        <v>ID_184</v>
      </c>
      <c r="B2089" s="17">
        <v>45742</v>
      </c>
      <c r="C2089" s="18" t="str">
        <f>TEXT('Working Sheet'!$B2089,"mmm")</f>
        <v>Mar</v>
      </c>
      <c r="D2089" s="18" t="s">
        <v>29</v>
      </c>
      <c r="E2089" s="18" t="s">
        <v>12</v>
      </c>
      <c r="F2089" s="18" t="s">
        <v>23</v>
      </c>
      <c r="G2089" s="18" t="s">
        <v>14</v>
      </c>
      <c r="H2089" s="18" t="s">
        <v>33</v>
      </c>
      <c r="I2089" s="18" t="s">
        <v>22</v>
      </c>
      <c r="J2089" s="19">
        <v>180000</v>
      </c>
      <c r="K2089" s="18">
        <v>4</v>
      </c>
      <c r="L2089" s="18" t="s">
        <v>28</v>
      </c>
      <c r="M2089" s="20">
        <f t="shared" si="65"/>
        <v>144000</v>
      </c>
      <c r="N2089" s="20">
        <f>'Working Sheet'!$J2089*'Working Sheet'!$K2089</f>
        <v>720000</v>
      </c>
      <c r="O2089" s="21">
        <f>'Working Sheet'!$M2089*'Working Sheet'!$K2089</f>
        <v>576000</v>
      </c>
      <c r="P2089" s="20">
        <f>'Working Sheet'!$N2089-'Working Sheet'!$O2089</f>
        <v>144000</v>
      </c>
    </row>
    <row r="2090" spans="1:16" ht="14.25" customHeight="1" x14ac:dyDescent="0.25">
      <c r="A2090" s="23" t="str">
        <f t="shared" ca="1" si="64"/>
        <v>ID_2072</v>
      </c>
      <c r="B2090" s="22">
        <v>45695</v>
      </c>
      <c r="C2090" s="23" t="str">
        <f>TEXT('Working Sheet'!$B2090,"mmm")</f>
        <v>Feb</v>
      </c>
      <c r="D2090" s="23" t="s">
        <v>18</v>
      </c>
      <c r="E2090" s="23" t="s">
        <v>19</v>
      </c>
      <c r="F2090" s="23" t="s">
        <v>23</v>
      </c>
      <c r="G2090" s="23" t="s">
        <v>14</v>
      </c>
      <c r="H2090" s="23" t="s">
        <v>36</v>
      </c>
      <c r="I2090" s="23" t="s">
        <v>31</v>
      </c>
      <c r="J2090" s="24">
        <v>150000</v>
      </c>
      <c r="K2090" s="23">
        <v>1</v>
      </c>
      <c r="L2090" s="23" t="s">
        <v>28</v>
      </c>
      <c r="M2090" s="25">
        <f t="shared" si="65"/>
        <v>120000</v>
      </c>
      <c r="N2090" s="25">
        <f>'Working Sheet'!$J2090*'Working Sheet'!$K2090</f>
        <v>150000</v>
      </c>
      <c r="O2090" s="26">
        <f>'Working Sheet'!$M2090*'Working Sheet'!$K2090</f>
        <v>120000</v>
      </c>
      <c r="P2090" s="25">
        <f>'Working Sheet'!$N2090-'Working Sheet'!$O2090</f>
        <v>30000</v>
      </c>
    </row>
    <row r="2091" spans="1:16" ht="14.25" customHeight="1" x14ac:dyDescent="0.25">
      <c r="A2091" s="18" t="str">
        <f t="shared" ca="1" si="64"/>
        <v>ID_116</v>
      </c>
      <c r="B2091" s="17">
        <v>45756</v>
      </c>
      <c r="C2091" s="18" t="str">
        <f>TEXT('Working Sheet'!$B2091,"mmm")</f>
        <v>Apr</v>
      </c>
      <c r="D2091" s="18" t="s">
        <v>29</v>
      </c>
      <c r="E2091" s="18" t="s">
        <v>32</v>
      </c>
      <c r="F2091" s="18" t="s">
        <v>13</v>
      </c>
      <c r="G2091" s="18" t="s">
        <v>20</v>
      </c>
      <c r="H2091" s="18" t="s">
        <v>30</v>
      </c>
      <c r="I2091" s="18" t="s">
        <v>31</v>
      </c>
      <c r="J2091" s="19">
        <v>300000</v>
      </c>
      <c r="K2091" s="18">
        <v>3</v>
      </c>
      <c r="L2091" s="18" t="s">
        <v>17</v>
      </c>
      <c r="M2091" s="20">
        <f t="shared" si="65"/>
        <v>240000</v>
      </c>
      <c r="N2091" s="20">
        <f>'Working Sheet'!$J2091*'Working Sheet'!$K2091</f>
        <v>900000</v>
      </c>
      <c r="O2091" s="21">
        <f>'Working Sheet'!$M2091*'Working Sheet'!$K2091</f>
        <v>720000</v>
      </c>
      <c r="P2091" s="20">
        <f>'Working Sheet'!$N2091-'Working Sheet'!$O2091</f>
        <v>180000</v>
      </c>
    </row>
    <row r="2092" spans="1:16" ht="14.25" customHeight="1" x14ac:dyDescent="0.25">
      <c r="A2092" s="23" t="str">
        <f t="shared" ca="1" si="64"/>
        <v>ID_636</v>
      </c>
      <c r="B2092" s="22">
        <v>45755</v>
      </c>
      <c r="C2092" s="23" t="str">
        <f>TEXT('Working Sheet'!$B2092,"mmm")</f>
        <v>Apr</v>
      </c>
      <c r="D2092" s="23" t="s">
        <v>11</v>
      </c>
      <c r="E2092" s="23" t="s">
        <v>26</v>
      </c>
      <c r="F2092" s="23" t="s">
        <v>13</v>
      </c>
      <c r="G2092" s="23" t="s">
        <v>14</v>
      </c>
      <c r="H2092" s="23" t="s">
        <v>34</v>
      </c>
      <c r="I2092" s="23" t="s">
        <v>16</v>
      </c>
      <c r="J2092" s="24">
        <v>320000</v>
      </c>
      <c r="K2092" s="23">
        <v>5</v>
      </c>
      <c r="L2092" s="23" t="s">
        <v>17</v>
      </c>
      <c r="M2092" s="25">
        <f t="shared" si="65"/>
        <v>256000</v>
      </c>
      <c r="N2092" s="25">
        <f>'Working Sheet'!$J2092*'Working Sheet'!$K2092</f>
        <v>1600000</v>
      </c>
      <c r="O2092" s="26">
        <f>'Working Sheet'!$M2092*'Working Sheet'!$K2092</f>
        <v>1280000</v>
      </c>
      <c r="P2092" s="25">
        <f>'Working Sheet'!$N2092-'Working Sheet'!$O2092</f>
        <v>320000</v>
      </c>
    </row>
    <row r="2093" spans="1:16" ht="14.25" customHeight="1" x14ac:dyDescent="0.25">
      <c r="A2093" s="18" t="str">
        <f t="shared" ca="1" si="64"/>
        <v>ID_1500</v>
      </c>
      <c r="B2093" s="17">
        <v>45711</v>
      </c>
      <c r="C2093" s="18" t="str">
        <f>TEXT('Working Sheet'!$B2093,"mmm")</f>
        <v>Feb</v>
      </c>
      <c r="D2093" s="18" t="s">
        <v>11</v>
      </c>
      <c r="E2093" s="18" t="s">
        <v>32</v>
      </c>
      <c r="F2093" s="18" t="s">
        <v>23</v>
      </c>
      <c r="G2093" s="18" t="s">
        <v>14</v>
      </c>
      <c r="H2093" s="18" t="s">
        <v>30</v>
      </c>
      <c r="I2093" s="18" t="s">
        <v>31</v>
      </c>
      <c r="J2093" s="19">
        <v>300000</v>
      </c>
      <c r="K2093" s="18">
        <v>1</v>
      </c>
      <c r="L2093" s="18" t="s">
        <v>24</v>
      </c>
      <c r="M2093" s="20">
        <f t="shared" si="65"/>
        <v>240000</v>
      </c>
      <c r="N2093" s="20">
        <f>'Working Sheet'!$J2093*'Working Sheet'!$K2093</f>
        <v>300000</v>
      </c>
      <c r="O2093" s="21">
        <f>'Working Sheet'!$M2093*'Working Sheet'!$K2093</f>
        <v>240000</v>
      </c>
      <c r="P2093" s="20">
        <f>'Working Sheet'!$N2093-'Working Sheet'!$O2093</f>
        <v>60000</v>
      </c>
    </row>
    <row r="2094" spans="1:16" ht="14.25" customHeight="1" x14ac:dyDescent="0.25">
      <c r="A2094" s="23" t="str">
        <f t="shared" ca="1" si="64"/>
        <v>ID_1851</v>
      </c>
      <c r="B2094" s="22">
        <v>45713</v>
      </c>
      <c r="C2094" s="23" t="str">
        <f>TEXT('Working Sheet'!$B2094,"mmm")</f>
        <v>Feb</v>
      </c>
      <c r="D2094" s="23" t="s">
        <v>11</v>
      </c>
      <c r="E2094" s="23" t="s">
        <v>19</v>
      </c>
      <c r="F2094" s="23" t="s">
        <v>23</v>
      </c>
      <c r="G2094" s="23" t="s">
        <v>14</v>
      </c>
      <c r="H2094" s="23" t="s">
        <v>36</v>
      </c>
      <c r="I2094" s="23" t="s">
        <v>31</v>
      </c>
      <c r="J2094" s="24">
        <v>150000</v>
      </c>
      <c r="K2094" s="23">
        <v>4</v>
      </c>
      <c r="L2094" s="23" t="s">
        <v>28</v>
      </c>
      <c r="M2094" s="25">
        <f t="shared" si="65"/>
        <v>120000</v>
      </c>
      <c r="N2094" s="25">
        <f>'Working Sheet'!$J2094*'Working Sheet'!$K2094</f>
        <v>600000</v>
      </c>
      <c r="O2094" s="26">
        <f>'Working Sheet'!$M2094*'Working Sheet'!$K2094</f>
        <v>480000</v>
      </c>
      <c r="P2094" s="25">
        <f>'Working Sheet'!$N2094-'Working Sheet'!$O2094</f>
        <v>120000</v>
      </c>
    </row>
    <row r="2095" spans="1:16" ht="14.25" customHeight="1" x14ac:dyDescent="0.25">
      <c r="A2095" s="18" t="str">
        <f t="shared" ca="1" si="64"/>
        <v>ID_2007</v>
      </c>
      <c r="B2095" s="17">
        <v>45777</v>
      </c>
      <c r="C2095" s="18" t="str">
        <f>TEXT('Working Sheet'!$B2095,"mmm")</f>
        <v>Apr</v>
      </c>
      <c r="D2095" s="18" t="s">
        <v>25</v>
      </c>
      <c r="E2095" s="18" t="s">
        <v>12</v>
      </c>
      <c r="F2095" s="18" t="s">
        <v>23</v>
      </c>
      <c r="G2095" s="18" t="s">
        <v>14</v>
      </c>
      <c r="H2095" s="18" t="s">
        <v>40</v>
      </c>
      <c r="I2095" s="18" t="s">
        <v>31</v>
      </c>
      <c r="J2095" s="19">
        <v>250000</v>
      </c>
      <c r="K2095" s="18">
        <v>2</v>
      </c>
      <c r="L2095" s="18" t="s">
        <v>35</v>
      </c>
      <c r="M2095" s="20">
        <f t="shared" si="65"/>
        <v>200000</v>
      </c>
      <c r="N2095" s="20">
        <f>'Working Sheet'!$J2095*'Working Sheet'!$K2095</f>
        <v>500000</v>
      </c>
      <c r="O2095" s="21">
        <f>'Working Sheet'!$M2095*'Working Sheet'!$K2095</f>
        <v>400000</v>
      </c>
      <c r="P2095" s="20">
        <f>'Working Sheet'!$N2095-'Working Sheet'!$O2095</f>
        <v>100000</v>
      </c>
    </row>
    <row r="2096" spans="1:16" ht="14.25" customHeight="1" x14ac:dyDescent="0.25">
      <c r="A2096" s="23" t="str">
        <f t="shared" ca="1" si="64"/>
        <v>ID_1052</v>
      </c>
      <c r="B2096" s="22">
        <v>45767</v>
      </c>
      <c r="C2096" s="23" t="str">
        <f>TEXT('Working Sheet'!$B2096,"mmm")</f>
        <v>Apr</v>
      </c>
      <c r="D2096" s="23" t="s">
        <v>29</v>
      </c>
      <c r="E2096" s="23" t="s">
        <v>19</v>
      </c>
      <c r="F2096" s="23" t="s">
        <v>13</v>
      </c>
      <c r="G2096" s="23" t="s">
        <v>20</v>
      </c>
      <c r="H2096" s="23" t="s">
        <v>40</v>
      </c>
      <c r="I2096" s="23" t="s">
        <v>31</v>
      </c>
      <c r="J2096" s="24">
        <v>250000</v>
      </c>
      <c r="K2096" s="23">
        <v>10</v>
      </c>
      <c r="L2096" s="23" t="s">
        <v>37</v>
      </c>
      <c r="M2096" s="25">
        <f t="shared" si="65"/>
        <v>200000</v>
      </c>
      <c r="N2096" s="25">
        <f>'Working Sheet'!$J2096*'Working Sheet'!$K2096</f>
        <v>2500000</v>
      </c>
      <c r="O2096" s="26">
        <f>'Working Sheet'!$M2096*'Working Sheet'!$K2096</f>
        <v>2000000</v>
      </c>
      <c r="P2096" s="25">
        <f>'Working Sheet'!$N2096-'Working Sheet'!$O2096</f>
        <v>500000</v>
      </c>
    </row>
    <row r="2097" spans="1:16" ht="14.25" customHeight="1" x14ac:dyDescent="0.25">
      <c r="A2097" s="18" t="str">
        <f t="shared" ca="1" si="64"/>
        <v>ID_1216</v>
      </c>
      <c r="B2097" s="17">
        <v>45766</v>
      </c>
      <c r="C2097" s="18" t="str">
        <f>TEXT('Working Sheet'!$B2097,"mmm")</f>
        <v>Apr</v>
      </c>
      <c r="D2097" s="18" t="s">
        <v>25</v>
      </c>
      <c r="E2097" s="18" t="s">
        <v>32</v>
      </c>
      <c r="F2097" s="18" t="s">
        <v>23</v>
      </c>
      <c r="G2097" s="18" t="s">
        <v>20</v>
      </c>
      <c r="H2097" s="18" t="s">
        <v>36</v>
      </c>
      <c r="I2097" s="18" t="s">
        <v>31</v>
      </c>
      <c r="J2097" s="19">
        <v>150000</v>
      </c>
      <c r="K2097" s="18">
        <v>2</v>
      </c>
      <c r="L2097" s="18" t="s">
        <v>17</v>
      </c>
      <c r="M2097" s="20">
        <f t="shared" si="65"/>
        <v>120000</v>
      </c>
      <c r="N2097" s="20">
        <f>'Working Sheet'!$J2097*'Working Sheet'!$K2097</f>
        <v>300000</v>
      </c>
      <c r="O2097" s="21">
        <f>'Working Sheet'!$M2097*'Working Sheet'!$K2097</f>
        <v>240000</v>
      </c>
      <c r="P2097" s="20">
        <f>'Working Sheet'!$N2097-'Working Sheet'!$O2097</f>
        <v>60000</v>
      </c>
    </row>
    <row r="2098" spans="1:16" ht="14.25" customHeight="1" x14ac:dyDescent="0.25">
      <c r="A2098" s="23" t="str">
        <f t="shared" ca="1" si="64"/>
        <v>ID_1409</v>
      </c>
      <c r="B2098" s="22">
        <v>45724</v>
      </c>
      <c r="C2098" s="23" t="str">
        <f>TEXT('Working Sheet'!$B2098,"mmm")</f>
        <v>Mar</v>
      </c>
      <c r="D2098" s="23" t="s">
        <v>25</v>
      </c>
      <c r="E2098" s="23" t="s">
        <v>12</v>
      </c>
      <c r="F2098" s="23" t="s">
        <v>13</v>
      </c>
      <c r="G2098" s="23" t="s">
        <v>14</v>
      </c>
      <c r="H2098" s="23" t="s">
        <v>40</v>
      </c>
      <c r="I2098" s="23" t="s">
        <v>31</v>
      </c>
      <c r="J2098" s="24">
        <v>250000</v>
      </c>
      <c r="K2098" s="23">
        <v>9</v>
      </c>
      <c r="L2098" s="23" t="s">
        <v>35</v>
      </c>
      <c r="M2098" s="25">
        <f t="shared" si="65"/>
        <v>200000</v>
      </c>
      <c r="N2098" s="25">
        <f>'Working Sheet'!$J2098*'Working Sheet'!$K2098</f>
        <v>2250000</v>
      </c>
      <c r="O2098" s="26">
        <f>'Working Sheet'!$M2098*'Working Sheet'!$K2098</f>
        <v>1800000</v>
      </c>
      <c r="P2098" s="25">
        <f>'Working Sheet'!$N2098-'Working Sheet'!$O2098</f>
        <v>450000</v>
      </c>
    </row>
    <row r="2099" spans="1:16" ht="14.25" customHeight="1" x14ac:dyDescent="0.25">
      <c r="A2099" s="18" t="str">
        <f t="shared" ca="1" si="64"/>
        <v>ID_165</v>
      </c>
      <c r="B2099" s="17">
        <v>45693</v>
      </c>
      <c r="C2099" s="18" t="str">
        <f>TEXT('Working Sheet'!$B2099,"mmm")</f>
        <v>Feb</v>
      </c>
      <c r="D2099" s="18" t="s">
        <v>25</v>
      </c>
      <c r="E2099" s="18" t="s">
        <v>12</v>
      </c>
      <c r="F2099" s="18" t="s">
        <v>13</v>
      </c>
      <c r="G2099" s="18" t="s">
        <v>14</v>
      </c>
      <c r="H2099" s="18" t="s">
        <v>34</v>
      </c>
      <c r="I2099" s="18" t="s">
        <v>16</v>
      </c>
      <c r="J2099" s="19">
        <v>320000</v>
      </c>
      <c r="K2099" s="18">
        <v>4</v>
      </c>
      <c r="L2099" s="18" t="s">
        <v>24</v>
      </c>
      <c r="M2099" s="20">
        <f t="shared" si="65"/>
        <v>256000</v>
      </c>
      <c r="N2099" s="20">
        <f>'Working Sheet'!$J2099*'Working Sheet'!$K2099</f>
        <v>1280000</v>
      </c>
      <c r="O2099" s="21">
        <f>'Working Sheet'!$M2099*'Working Sheet'!$K2099</f>
        <v>1024000</v>
      </c>
      <c r="P2099" s="20">
        <f>'Working Sheet'!$N2099-'Working Sheet'!$O2099</f>
        <v>256000</v>
      </c>
    </row>
    <row r="2100" spans="1:16" ht="15" customHeight="1" x14ac:dyDescent="0.25">
      <c r="A2100" s="30" t="s">
        <v>59</v>
      </c>
      <c r="B2100" s="30"/>
      <c r="C2100" s="30"/>
      <c r="D2100" s="30"/>
      <c r="E2100" s="30"/>
      <c r="F2100" s="30"/>
      <c r="G2100" s="30"/>
      <c r="H2100" s="30"/>
      <c r="I2100" s="30"/>
      <c r="J2100" s="30"/>
      <c r="K2100" s="30"/>
      <c r="L2100" s="30"/>
      <c r="M2100" s="30"/>
      <c r="N2100" s="32">
        <f>SUBTOTAL(109,Table3[Revenue])</f>
        <v>2328370000</v>
      </c>
      <c r="O2100" s="31"/>
      <c r="P2100" s="32">
        <f>SUBTOTAL(109,Table3[Profit])</f>
        <v>465674000</v>
      </c>
    </row>
  </sheetData>
  <sheetProtection autoFilter="0"/>
  <pageMargins left="0.75" right="0.75" top="1" bottom="1" header="0" footer="0"/>
  <pageSetup orientation="landscape"/>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5159BF7-E854-4A15-B73A-354B7F9F5C3A}">
  <sheetPr codeName="Sheet4"/>
  <dimension ref="A1:N44"/>
  <sheetViews>
    <sheetView workbookViewId="0">
      <selection activeCell="L16" sqref="L16"/>
    </sheetView>
  </sheetViews>
  <sheetFormatPr defaultColWidth="16.5703125" defaultRowHeight="15" x14ac:dyDescent="0.25"/>
  <cols>
    <col min="1" max="1" width="13.140625" bestFit="1" customWidth="1"/>
    <col min="2" max="2" width="15.5703125" style="8" bestFit="1" customWidth="1"/>
    <col min="4" max="4" width="15.28515625" bestFit="1" customWidth="1"/>
    <col min="7" max="7" width="12.5703125" bestFit="1" customWidth="1"/>
    <col min="10" max="10" width="17.85546875" bestFit="1" customWidth="1"/>
    <col min="12" max="12" width="13.140625" bestFit="1" customWidth="1"/>
    <col min="13" max="13" width="15.42578125" style="8" bestFit="1" customWidth="1"/>
  </cols>
  <sheetData>
    <row r="1" spans="1:13" x14ac:dyDescent="0.25">
      <c r="A1" s="5" t="s">
        <v>47</v>
      </c>
      <c r="B1" s="8" t="s">
        <v>46</v>
      </c>
    </row>
    <row r="2" spans="1:13" x14ac:dyDescent="0.25">
      <c r="A2" s="3" t="s">
        <v>38</v>
      </c>
      <c r="B2" s="8">
        <v>105336000</v>
      </c>
      <c r="L2" s="5" t="s">
        <v>47</v>
      </c>
      <c r="M2" s="8" t="s">
        <v>55</v>
      </c>
    </row>
    <row r="3" spans="1:13" x14ac:dyDescent="0.25">
      <c r="A3" s="3" t="s">
        <v>34</v>
      </c>
      <c r="B3" s="8">
        <v>69248000</v>
      </c>
      <c r="L3" s="3" t="s">
        <v>32</v>
      </c>
      <c r="M3" s="8">
        <v>423312000</v>
      </c>
    </row>
    <row r="4" spans="1:13" x14ac:dyDescent="0.25">
      <c r="A4" s="3" t="s">
        <v>30</v>
      </c>
      <c r="B4" s="8">
        <v>68640000</v>
      </c>
      <c r="L4" s="3" t="s">
        <v>26</v>
      </c>
      <c r="M4" s="8">
        <v>486788000</v>
      </c>
    </row>
    <row r="5" spans="1:13" x14ac:dyDescent="0.25">
      <c r="A5" s="3" t="s">
        <v>40</v>
      </c>
      <c r="B5" s="8">
        <v>51950000</v>
      </c>
      <c r="L5" s="3" t="s">
        <v>19</v>
      </c>
      <c r="M5" s="8">
        <v>493812000</v>
      </c>
    </row>
    <row r="6" spans="1:13" x14ac:dyDescent="0.25">
      <c r="A6" s="3" t="s">
        <v>41</v>
      </c>
      <c r="B6" s="8">
        <v>48312000</v>
      </c>
      <c r="L6" s="3" t="s">
        <v>12</v>
      </c>
      <c r="M6" s="8">
        <v>458784000</v>
      </c>
    </row>
    <row r="7" spans="1:13" x14ac:dyDescent="0.25">
      <c r="A7" s="3" t="s">
        <v>33</v>
      </c>
      <c r="B7" s="8">
        <v>44964000</v>
      </c>
      <c r="M7"/>
    </row>
    <row r="8" spans="1:13" x14ac:dyDescent="0.25">
      <c r="A8" s="3" t="s">
        <v>36</v>
      </c>
      <c r="B8" s="8">
        <v>38850000</v>
      </c>
      <c r="M8"/>
    </row>
    <row r="9" spans="1:13" x14ac:dyDescent="0.25">
      <c r="A9" s="3" t="s">
        <v>15</v>
      </c>
      <c r="B9" s="8">
        <v>18088000</v>
      </c>
    </row>
    <row r="10" spans="1:13" x14ac:dyDescent="0.25">
      <c r="A10" s="3" t="s">
        <v>27</v>
      </c>
      <c r="B10" s="8">
        <v>13416000</v>
      </c>
    </row>
    <row r="11" spans="1:13" x14ac:dyDescent="0.25">
      <c r="A11" s="3" t="s">
        <v>21</v>
      </c>
      <c r="B11" s="8">
        <v>6870000</v>
      </c>
    </row>
    <row r="12" spans="1:13" x14ac:dyDescent="0.25">
      <c r="B12"/>
    </row>
    <row r="15" spans="1:13" x14ac:dyDescent="0.25">
      <c r="A15" s="5" t="s">
        <v>47</v>
      </c>
      <c r="B15" s="8" t="s">
        <v>48</v>
      </c>
    </row>
    <row r="16" spans="1:13" x14ac:dyDescent="0.25">
      <c r="A16" s="3" t="s">
        <v>35</v>
      </c>
      <c r="B16" s="8">
        <v>434805000</v>
      </c>
      <c r="L16" s="5" t="s">
        <v>47</v>
      </c>
      <c r="M16" s="8" t="s">
        <v>48</v>
      </c>
    </row>
    <row r="17" spans="1:14" x14ac:dyDescent="0.25">
      <c r="A17" s="3" t="s">
        <v>28</v>
      </c>
      <c r="B17" s="8">
        <v>397665000</v>
      </c>
      <c r="L17" s="3" t="s">
        <v>52</v>
      </c>
      <c r="M17" s="9">
        <v>547065000</v>
      </c>
    </row>
    <row r="18" spans="1:14" x14ac:dyDescent="0.25">
      <c r="A18" s="3" t="s">
        <v>24</v>
      </c>
      <c r="B18" s="8">
        <v>378660000</v>
      </c>
      <c r="L18" s="3" t="s">
        <v>51</v>
      </c>
      <c r="M18" s="9">
        <v>552405000</v>
      </c>
    </row>
    <row r="19" spans="1:14" x14ac:dyDescent="0.25">
      <c r="A19" s="3" t="s">
        <v>37</v>
      </c>
      <c r="B19" s="8">
        <v>378035000</v>
      </c>
      <c r="L19" s="3" t="s">
        <v>53</v>
      </c>
      <c r="M19" s="9">
        <v>633440000</v>
      </c>
    </row>
    <row r="20" spans="1:14" x14ac:dyDescent="0.25">
      <c r="A20" s="3" t="s">
        <v>17</v>
      </c>
      <c r="B20" s="8">
        <v>371370000</v>
      </c>
      <c r="L20" s="3" t="s">
        <v>54</v>
      </c>
      <c r="M20" s="9">
        <v>582155000</v>
      </c>
    </row>
    <row r="21" spans="1:14" x14ac:dyDescent="0.25">
      <c r="A21" s="3" t="s">
        <v>39</v>
      </c>
      <c r="B21" s="8">
        <v>367835000</v>
      </c>
      <c r="L21" s="3" t="s">
        <v>50</v>
      </c>
      <c r="M21" s="9">
        <v>13305000</v>
      </c>
    </row>
    <row r="22" spans="1:14" x14ac:dyDescent="0.25">
      <c r="B22"/>
      <c r="M22"/>
    </row>
    <row r="27" spans="1:14" x14ac:dyDescent="0.25">
      <c r="A27" t="s">
        <v>48</v>
      </c>
      <c r="D27" t="s">
        <v>55</v>
      </c>
      <c r="G27" s="8" t="s">
        <v>46</v>
      </c>
      <c r="J27" s="8" t="s">
        <v>56</v>
      </c>
      <c r="M27" s="9" t="s">
        <v>57</v>
      </c>
    </row>
    <row r="28" spans="1:14" x14ac:dyDescent="0.25">
      <c r="A28" s="8">
        <v>2328370000</v>
      </c>
      <c r="B28" s="6" t="str">
        <f>"$"&amp;TEXT(GETPIVOTDATA("Revenue",$A$27)/1000000000,"0.00")&amp;"B"</f>
        <v>$2.33B</v>
      </c>
      <c r="D28" s="4">
        <v>1862696000</v>
      </c>
      <c r="E28" s="7" t="str">
        <f>"$"&amp;TEXT(GETPIVOTDATA("COGS",$D$27)/1000000000,"0.00")&amp;"B"</f>
        <v>$1.86B</v>
      </c>
      <c r="G28" s="8">
        <v>465674000</v>
      </c>
      <c r="H28" s="8" t="str">
        <f>"$"&amp;TEXT(GETPIVOTDATA("Profit",$G$27)/1000000,"0.00")&amp;"M"</f>
        <v>$465.67M</v>
      </c>
      <c r="J28" s="9">
        <v>2098</v>
      </c>
      <c r="K28">
        <f>GETPIVOTDATA("Customer",$J$27)</f>
        <v>2098</v>
      </c>
      <c r="M28" s="9">
        <v>11488</v>
      </c>
      <c r="N28">
        <f>GETPIVOTDATA("Quantity",$M$27)</f>
        <v>11488</v>
      </c>
    </row>
    <row r="29" spans="1:14" x14ac:dyDescent="0.25">
      <c r="M29"/>
    </row>
    <row r="30" spans="1:14" x14ac:dyDescent="0.25">
      <c r="M30"/>
    </row>
    <row r="31" spans="1:14" x14ac:dyDescent="0.25">
      <c r="M31"/>
    </row>
    <row r="32" spans="1:14" x14ac:dyDescent="0.25">
      <c r="M32"/>
    </row>
    <row r="33" spans="13:13" x14ac:dyDescent="0.25">
      <c r="M33"/>
    </row>
    <row r="34" spans="13:13" x14ac:dyDescent="0.25">
      <c r="M34"/>
    </row>
    <row r="35" spans="13:13" x14ac:dyDescent="0.25">
      <c r="M35"/>
    </row>
    <row r="36" spans="13:13" x14ac:dyDescent="0.25">
      <c r="M36"/>
    </row>
    <row r="37" spans="13:13" x14ac:dyDescent="0.25">
      <c r="M37"/>
    </row>
    <row r="38" spans="13:13" x14ac:dyDescent="0.25">
      <c r="M38"/>
    </row>
    <row r="39" spans="13:13" x14ac:dyDescent="0.25">
      <c r="M39"/>
    </row>
    <row r="40" spans="13:13" x14ac:dyDescent="0.25">
      <c r="M40"/>
    </row>
    <row r="41" spans="13:13" x14ac:dyDescent="0.25">
      <c r="M41"/>
    </row>
    <row r="42" spans="13:13" x14ac:dyDescent="0.25">
      <c r="M42"/>
    </row>
    <row r="43" spans="13:13" x14ac:dyDescent="0.25">
      <c r="M43"/>
    </row>
    <row r="44" spans="13:13" x14ac:dyDescent="0.25">
      <c r="M44"/>
    </row>
  </sheetData>
  <sheetProtection selectLockedCells="1" autoFilter="0" pivotTables="0" selectUnlockedCells="1"/>
  <pageMargins left="0.7" right="0.7" top="0.75" bottom="0.75" header="0.3" footer="0.3"/>
  <drawing r:id="rId10"/>
  <extLst>
    <ext xmlns:x14="http://schemas.microsoft.com/office/spreadsheetml/2009/9/main" uri="{A8765BA9-456A-4dab-B4F3-ACF838C121DE}">
      <x14:slicerList>
        <x14:slicer r:id="rId11"/>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07B3554-D162-4E0D-8226-7D37DE6B1B5D}">
  <sheetPr codeName="Sheet6"/>
  <dimension ref="A21:A22"/>
  <sheetViews>
    <sheetView showGridLines="0" workbookViewId="0">
      <selection activeCell="A35" sqref="A35"/>
    </sheetView>
  </sheetViews>
  <sheetFormatPr defaultRowHeight="15" x14ac:dyDescent="0.25"/>
  <cols>
    <col min="1" max="1" width="14.7109375" customWidth="1"/>
  </cols>
  <sheetData>
    <row r="21" ht="7.5" customHeight="1" x14ac:dyDescent="0.25"/>
    <row r="22" hidden="1" x14ac:dyDescent="0.25"/>
  </sheetData>
  <sheetProtection algorithmName="SHA-512" hashValue="cziym1a/sE3tABVmXIeUeqkzoVLOesWV+j7i1JNv9CU1VMI+55x188rjPoK4TRxp8ycopr7OAOdaOHQgzT0GjA==" saltValue="YQCj7TZX99/NQ5pjZ12UQA==" spinCount="100000" sheet="1" objects="1" selectLockedCells="1" pivotTables="0" selectUnlockedCells="1"/>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0EAA2C6-4CBB-4375-B32D-16A43E2F3C5C}">
  <dimension ref="A1:AF21"/>
  <sheetViews>
    <sheetView showGridLines="0" zoomScaleNormal="100" workbookViewId="0">
      <selection activeCell="A24" sqref="A24"/>
    </sheetView>
  </sheetViews>
  <sheetFormatPr defaultRowHeight="15" x14ac:dyDescent="0.25"/>
  <cols>
    <col min="1" max="1" width="159" customWidth="1"/>
  </cols>
  <sheetData>
    <row r="1" spans="1:32" ht="21" x14ac:dyDescent="0.35">
      <c r="A1" s="33" t="s">
        <v>58</v>
      </c>
    </row>
    <row r="2" spans="1:32" ht="64.5" customHeight="1" x14ac:dyDescent="0.25">
      <c r="A2" s="39" t="s">
        <v>66</v>
      </c>
    </row>
    <row r="3" spans="1:32" ht="31.5" x14ac:dyDescent="0.25">
      <c r="A3" s="39" t="s">
        <v>67</v>
      </c>
    </row>
    <row r="6" spans="1:32" ht="18" customHeight="1" x14ac:dyDescent="0.25">
      <c r="A6" s="36" t="s">
        <v>61</v>
      </c>
      <c r="B6" s="36"/>
      <c r="C6" s="36"/>
      <c r="D6" s="36"/>
      <c r="E6" s="36"/>
      <c r="F6" s="36"/>
      <c r="G6" s="36"/>
      <c r="H6" s="36"/>
      <c r="I6" s="36"/>
      <c r="J6" s="36"/>
      <c r="K6" s="36"/>
      <c r="L6" s="36"/>
      <c r="M6" s="36"/>
      <c r="N6" s="36"/>
      <c r="O6" s="36"/>
      <c r="P6" s="36"/>
      <c r="Q6" s="36"/>
      <c r="R6" s="36"/>
      <c r="S6" s="36"/>
      <c r="T6" s="36"/>
      <c r="U6" s="36"/>
    </row>
    <row r="7" spans="1:32" ht="15.75" x14ac:dyDescent="0.25">
      <c r="A7" s="40" t="s">
        <v>70</v>
      </c>
      <c r="B7" s="29"/>
      <c r="C7" s="29"/>
      <c r="D7" s="29"/>
      <c r="E7" s="29"/>
      <c r="F7" s="29"/>
      <c r="G7" s="29"/>
      <c r="H7" s="29"/>
      <c r="I7" s="29"/>
      <c r="J7" s="29"/>
      <c r="K7" s="29"/>
      <c r="L7" s="29"/>
      <c r="M7" s="29"/>
      <c r="N7" s="29"/>
      <c r="O7" s="29"/>
      <c r="P7" s="29"/>
      <c r="Q7" s="29"/>
      <c r="R7" s="29"/>
      <c r="S7" s="29"/>
      <c r="T7" s="29"/>
      <c r="U7" s="29"/>
    </row>
    <row r="8" spans="1:32" ht="15.75" x14ac:dyDescent="0.25">
      <c r="A8" s="40" t="s">
        <v>71</v>
      </c>
      <c r="B8" s="29"/>
      <c r="C8" s="29"/>
      <c r="D8" s="29"/>
      <c r="E8" s="29"/>
      <c r="F8" s="29"/>
      <c r="G8" s="29"/>
      <c r="H8" s="29"/>
      <c r="I8" s="29"/>
      <c r="J8" s="29"/>
      <c r="K8" s="29"/>
      <c r="L8" s="29"/>
      <c r="M8" s="29"/>
      <c r="N8" s="29"/>
      <c r="O8" s="29"/>
      <c r="P8" s="29"/>
      <c r="Q8" s="29"/>
      <c r="R8" s="29"/>
      <c r="S8" s="29"/>
      <c r="T8" s="29"/>
      <c r="U8" s="29"/>
    </row>
    <row r="9" spans="1:32" ht="15.75" x14ac:dyDescent="0.25">
      <c r="A9" s="40" t="s">
        <v>72</v>
      </c>
      <c r="B9" s="29"/>
      <c r="C9" s="29"/>
      <c r="D9" s="29"/>
      <c r="E9" s="29"/>
      <c r="F9" s="29"/>
      <c r="G9" s="29"/>
      <c r="H9" s="29"/>
      <c r="I9" s="29"/>
      <c r="J9" s="29"/>
      <c r="K9" s="29"/>
      <c r="L9" s="29"/>
      <c r="M9" s="29"/>
      <c r="N9" s="29"/>
      <c r="O9" s="29"/>
      <c r="P9" s="29"/>
      <c r="Q9" s="29"/>
      <c r="R9" s="29"/>
      <c r="S9" s="29"/>
      <c r="T9" s="29"/>
      <c r="U9" s="29"/>
    </row>
    <row r="10" spans="1:32" ht="31.5" x14ac:dyDescent="0.25">
      <c r="A10" s="39" t="s">
        <v>73</v>
      </c>
      <c r="B10" s="37"/>
      <c r="C10" s="37"/>
      <c r="D10" s="37"/>
      <c r="E10" s="29"/>
      <c r="F10" s="29"/>
      <c r="G10" s="29"/>
      <c r="H10" s="29"/>
      <c r="I10" s="29"/>
      <c r="J10" s="29"/>
      <c r="K10" s="29"/>
      <c r="L10" s="29"/>
      <c r="M10" s="29"/>
      <c r="N10" s="29"/>
      <c r="O10" s="29"/>
      <c r="P10" s="29"/>
      <c r="Q10" s="29"/>
      <c r="R10" s="29"/>
      <c r="S10" s="29"/>
      <c r="T10" s="29"/>
      <c r="U10" s="29"/>
    </row>
    <row r="11" spans="1:32" x14ac:dyDescent="0.25">
      <c r="A11" s="41"/>
      <c r="B11" s="41"/>
      <c r="C11" s="41"/>
      <c r="D11" s="41"/>
      <c r="E11" s="41"/>
      <c r="F11" s="41"/>
      <c r="G11" s="41"/>
      <c r="H11" s="41"/>
      <c r="I11" s="41"/>
      <c r="J11" s="41"/>
      <c r="K11" s="41"/>
      <c r="L11" s="41"/>
      <c r="M11" s="41"/>
      <c r="N11" s="41"/>
      <c r="O11" s="41"/>
      <c r="P11" s="41"/>
      <c r="Q11" s="41"/>
      <c r="R11" s="41"/>
      <c r="S11" s="41"/>
      <c r="T11" s="41"/>
      <c r="U11" s="41"/>
    </row>
    <row r="12" spans="1:32" x14ac:dyDescent="0.25">
      <c r="A12" s="41"/>
      <c r="B12" s="41"/>
      <c r="C12" s="41"/>
      <c r="D12" s="41"/>
      <c r="E12" s="41"/>
      <c r="F12" s="41"/>
      <c r="G12" s="41"/>
      <c r="H12" s="41"/>
      <c r="I12" s="41"/>
      <c r="J12" s="41"/>
      <c r="K12" s="41"/>
      <c r="L12" s="41"/>
      <c r="M12" s="41"/>
      <c r="N12" s="41"/>
      <c r="O12" s="41"/>
      <c r="P12" s="41"/>
      <c r="Q12" s="41"/>
      <c r="R12" s="41"/>
      <c r="S12" s="41"/>
      <c r="T12" s="41"/>
      <c r="U12" s="41"/>
    </row>
    <row r="13" spans="1:32" ht="21" x14ac:dyDescent="0.25">
      <c r="A13" s="36" t="s">
        <v>60</v>
      </c>
      <c r="B13" s="36"/>
      <c r="C13" s="36"/>
      <c r="D13" s="36"/>
      <c r="E13" s="36"/>
      <c r="F13" s="36"/>
      <c r="G13" s="36"/>
      <c r="H13" s="36"/>
      <c r="I13" s="36"/>
      <c r="J13" s="36"/>
      <c r="K13" s="36"/>
      <c r="L13" s="36"/>
      <c r="M13" s="36"/>
      <c r="N13" s="36"/>
      <c r="O13" s="36"/>
      <c r="P13" s="36"/>
      <c r="Q13" s="36"/>
      <c r="R13" s="36"/>
      <c r="S13" s="36"/>
      <c r="T13" s="36"/>
      <c r="U13" s="36"/>
    </row>
    <row r="14" spans="1:32" ht="34.5" customHeight="1" x14ac:dyDescent="0.25">
      <c r="A14" s="39" t="s">
        <v>62</v>
      </c>
      <c r="B14" s="34"/>
      <c r="C14" s="35"/>
      <c r="D14" s="35"/>
      <c r="E14" s="35"/>
      <c r="F14" s="35"/>
      <c r="G14" s="35"/>
      <c r="H14" s="35"/>
      <c r="I14" s="35"/>
      <c r="J14" s="35"/>
      <c r="K14" s="35"/>
      <c r="L14" s="35"/>
      <c r="M14" s="35"/>
      <c r="N14" s="35"/>
      <c r="O14" s="35"/>
      <c r="P14" s="35"/>
      <c r="Q14" s="35"/>
      <c r="R14" s="35"/>
      <c r="S14" s="35"/>
      <c r="T14" s="35"/>
      <c r="U14" s="35"/>
      <c r="V14" s="35"/>
      <c r="W14" s="35"/>
      <c r="X14" s="35"/>
      <c r="Y14" s="35"/>
      <c r="Z14" s="35"/>
      <c r="AA14" s="35"/>
      <c r="AB14" s="35"/>
      <c r="AC14" s="35"/>
      <c r="AD14" s="35"/>
      <c r="AE14" s="35"/>
      <c r="AF14" s="35"/>
    </row>
    <row r="15" spans="1:32" ht="30" customHeight="1" x14ac:dyDescent="0.25">
      <c r="A15" s="39" t="s">
        <v>63</v>
      </c>
    </row>
    <row r="16" spans="1:32" ht="30" customHeight="1" x14ac:dyDescent="0.25">
      <c r="A16" s="39" t="s">
        <v>64</v>
      </c>
    </row>
    <row r="17" spans="1:1" ht="31.5" x14ac:dyDescent="0.25">
      <c r="A17" s="39" t="s">
        <v>65</v>
      </c>
    </row>
    <row r="20" spans="1:1" x14ac:dyDescent="0.25">
      <c r="A20" s="38" t="s">
        <v>68</v>
      </c>
    </row>
    <row r="21" spans="1:1" ht="31.5" x14ac:dyDescent="0.25">
      <c r="A21" s="39" t="s">
        <v>69</v>
      </c>
    </row>
  </sheetData>
  <mergeCells count="2">
    <mergeCell ref="A11:U11"/>
    <mergeCell ref="A12:U12"/>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Sales Data</vt:lpstr>
      <vt:lpstr>Working Sheet</vt:lpstr>
      <vt:lpstr>Pivot Table &amp; Chart</vt:lpstr>
      <vt:lpstr>Dashboard</vt:lpstr>
      <vt:lpstr>Key Insights &amp; Findings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Gift Obinna</cp:lastModifiedBy>
  <cp:lastPrinted>2026-04-02T21:02:16Z</cp:lastPrinted>
  <dcterms:created xsi:type="dcterms:W3CDTF">2025-11-23T21:32:00Z</dcterms:created>
  <dcterms:modified xsi:type="dcterms:W3CDTF">2026-09-05T12:41:33Z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730EC6D0DFEFD46B647C2369B9B01CBA_42</vt:lpwstr>
  </property>
  <property fmtid="{D5CDD505-2E9C-101B-9397-08002B2CF9AE}" pid="3" name="KSOProductBuildVer">
    <vt:lpwstr>1033-12.1.0.25242</vt:lpwstr>
  </property>
  <property fmtid="{D5CDD505-2E9C-101B-9397-08002B2CF9AE}" pid="4" name="CalculationRule">
    <vt:i4>0</vt:i4>
  </property>
</Properties>
</file>